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mc:AlternateContent xmlns:mc="http://schemas.openxmlformats.org/markup-compatibility/2006">
    <mc:Choice Requires="x15">
      <x15ac:absPath xmlns:x15ac="http://schemas.microsoft.com/office/spreadsheetml/2010/11/ac" url="/Users/sabazafar/Desktop/"/>
    </mc:Choice>
  </mc:AlternateContent>
  <xr:revisionPtr revIDLastSave="0" documentId="13_ncr:1_{699314D3-A43E-4646-B95E-039581CE66FB}" xr6:coauthVersionLast="47" xr6:coauthVersionMax="47" xr10:uidLastSave="{00000000-0000-0000-0000-000000000000}"/>
  <bookViews>
    <workbookView xWindow="1720" yWindow="1780" windowWidth="28140" windowHeight="17500" xr2:uid="{00000000-000D-0000-FFFF-FFFF00000000}"/>
  </bookViews>
  <sheets>
    <sheet name="Pivot-Table" sheetId="2" r:id="rId1"/>
    <sheet name="DashBoard" sheetId="3" r:id="rId2"/>
    <sheet name="Record Data" sheetId="1" r:id="rId3"/>
  </sheets>
  <definedNames>
    <definedName name="_xlnm._FilterDatabase" localSheetId="1" hidden="1">DashBoard!$C$6:$K$7</definedName>
    <definedName name="_xlnm._FilterDatabase" localSheetId="2" hidden="1">'Record Data'!$K$1:$K$2001</definedName>
    <definedName name="_xlnm.Print_Area" localSheetId="1">DashBoard!$A$2:$O$57</definedName>
    <definedName name="Slicer_Category">#N/A</definedName>
    <definedName name="Slicer_Region">#N/A</definedName>
    <definedName name="Slicer_Salesperson">#N/A</definedName>
  </definedNames>
  <calcPr calcId="191029"/>
  <pivotCaches>
    <pivotCache cacheId="103"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7" i="3" l="1"/>
  <c r="I7" i="3" s="1"/>
  <c r="C7" i="3"/>
  <c r="I2" i="1"/>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J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4" i="1"/>
  <c r="I1035" i="1"/>
  <c r="I1036" i="1"/>
  <c r="I1037" i="1"/>
  <c r="I1038" i="1"/>
  <c r="I1039" i="1"/>
  <c r="I1040" i="1"/>
  <c r="I1041" i="1"/>
  <c r="I1042" i="1"/>
  <c r="I1043" i="1"/>
  <c r="I1044" i="1"/>
  <c r="I1045" i="1"/>
  <c r="I1046" i="1"/>
  <c r="I1047" i="1"/>
  <c r="I1048" i="1"/>
  <c r="I1049" i="1"/>
  <c r="I1050" i="1"/>
  <c r="I1051" i="1"/>
  <c r="I1052" i="1"/>
  <c r="I1053" i="1"/>
  <c r="I1054" i="1"/>
  <c r="I1055" i="1"/>
  <c r="I1056" i="1"/>
  <c r="I1057" i="1"/>
  <c r="I1058" i="1"/>
  <c r="I1059" i="1"/>
  <c r="I1060" i="1"/>
  <c r="I1061" i="1"/>
  <c r="I1062" i="1"/>
  <c r="I1063" i="1"/>
  <c r="I1064" i="1"/>
  <c r="I1065" i="1"/>
  <c r="I1066" i="1"/>
  <c r="I1067" i="1"/>
  <c r="I1068" i="1"/>
  <c r="I1069" i="1"/>
  <c r="I1070" i="1"/>
  <c r="I1071" i="1"/>
  <c r="I1072" i="1"/>
  <c r="I1073" i="1"/>
  <c r="I1074" i="1"/>
  <c r="I1075" i="1"/>
  <c r="I1076" i="1"/>
  <c r="I1077" i="1"/>
  <c r="I1078" i="1"/>
  <c r="I1079" i="1"/>
  <c r="I1080" i="1"/>
  <c r="I1081" i="1"/>
  <c r="I1082" i="1"/>
  <c r="I1083" i="1"/>
  <c r="I1084" i="1"/>
  <c r="I1085" i="1"/>
  <c r="I1086" i="1"/>
  <c r="I1087" i="1"/>
  <c r="I1088" i="1"/>
  <c r="I1089" i="1"/>
  <c r="I1090" i="1"/>
  <c r="I1091" i="1"/>
  <c r="I1092" i="1"/>
  <c r="I1093" i="1"/>
  <c r="I1094" i="1"/>
  <c r="I1095" i="1"/>
  <c r="I1096" i="1"/>
  <c r="I1097" i="1"/>
  <c r="I1098" i="1"/>
  <c r="I1099" i="1"/>
  <c r="I1100" i="1"/>
  <c r="I1101" i="1"/>
  <c r="I1102" i="1"/>
  <c r="I1103" i="1"/>
  <c r="I1104" i="1"/>
  <c r="I1105" i="1"/>
  <c r="I1106" i="1"/>
  <c r="I1107" i="1"/>
  <c r="I1108" i="1"/>
  <c r="I1109" i="1"/>
  <c r="I1110" i="1"/>
  <c r="I1111" i="1"/>
  <c r="I1112" i="1"/>
  <c r="I1113" i="1"/>
  <c r="I1114" i="1"/>
  <c r="I1115" i="1"/>
  <c r="I1116" i="1"/>
  <c r="I1117" i="1"/>
  <c r="I1118" i="1"/>
  <c r="I1119" i="1"/>
  <c r="I1120" i="1"/>
  <c r="I1121" i="1"/>
  <c r="I1122" i="1"/>
  <c r="I1123" i="1"/>
  <c r="I1124" i="1"/>
  <c r="I1125" i="1"/>
  <c r="I1126" i="1"/>
  <c r="I1127" i="1"/>
  <c r="I1128" i="1"/>
  <c r="I1129" i="1"/>
  <c r="I1130" i="1"/>
  <c r="I1131" i="1"/>
  <c r="I1132" i="1"/>
  <c r="I1133" i="1"/>
  <c r="I1134" i="1"/>
  <c r="I1135" i="1"/>
  <c r="I1136" i="1"/>
  <c r="I1137" i="1"/>
  <c r="I1138" i="1"/>
  <c r="I1139" i="1"/>
  <c r="I1140" i="1"/>
  <c r="I1141" i="1"/>
  <c r="I1142" i="1"/>
  <c r="I1143" i="1"/>
  <c r="I1144" i="1"/>
  <c r="I1145" i="1"/>
  <c r="I1146" i="1"/>
  <c r="I1147" i="1"/>
  <c r="I1148" i="1"/>
  <c r="I1149" i="1"/>
  <c r="I1150" i="1"/>
  <c r="I1151" i="1"/>
  <c r="I1152" i="1"/>
  <c r="I1153" i="1"/>
  <c r="I1154" i="1"/>
  <c r="I1155" i="1"/>
  <c r="I1156" i="1"/>
  <c r="I1157" i="1"/>
  <c r="I1158" i="1"/>
  <c r="I1159" i="1"/>
  <c r="I1160" i="1"/>
  <c r="I1161" i="1"/>
  <c r="I1162" i="1"/>
  <c r="I1163" i="1"/>
  <c r="I1164" i="1"/>
  <c r="I1165" i="1"/>
  <c r="I1166" i="1"/>
  <c r="I1167" i="1"/>
  <c r="I1168" i="1"/>
  <c r="I1169" i="1"/>
  <c r="I1170" i="1"/>
  <c r="I1171" i="1"/>
  <c r="I1172" i="1"/>
  <c r="I1173" i="1"/>
  <c r="I1174" i="1"/>
  <c r="I1175" i="1"/>
  <c r="I1176" i="1"/>
  <c r="I1177" i="1"/>
  <c r="I1178" i="1"/>
  <c r="I1179" i="1"/>
  <c r="I1180" i="1"/>
  <c r="I1181" i="1"/>
  <c r="I1182" i="1"/>
  <c r="I1183" i="1"/>
  <c r="I1184" i="1"/>
  <c r="I1185" i="1"/>
  <c r="I1186" i="1"/>
  <c r="I1187" i="1"/>
  <c r="I1188" i="1"/>
  <c r="I1189" i="1"/>
  <c r="I1190" i="1"/>
  <c r="I1191" i="1"/>
  <c r="I1192" i="1"/>
  <c r="I1193" i="1"/>
  <c r="I1194" i="1"/>
  <c r="I1195" i="1"/>
  <c r="I1196" i="1"/>
  <c r="I1197" i="1"/>
  <c r="I1198" i="1"/>
  <c r="I1199" i="1"/>
  <c r="I1200" i="1"/>
  <c r="I1201" i="1"/>
  <c r="I1202" i="1"/>
  <c r="I1203" i="1"/>
  <c r="I1204" i="1"/>
  <c r="I1205" i="1"/>
  <c r="I1206" i="1"/>
  <c r="I1207" i="1"/>
  <c r="I1208" i="1"/>
  <c r="I1209" i="1"/>
  <c r="I1210" i="1"/>
  <c r="I1211" i="1"/>
  <c r="I1212" i="1"/>
  <c r="I1213" i="1"/>
  <c r="I1214" i="1"/>
  <c r="I1215" i="1"/>
  <c r="I1216" i="1"/>
  <c r="I1217" i="1"/>
  <c r="I1218" i="1"/>
  <c r="I1219" i="1"/>
  <c r="I1220" i="1"/>
  <c r="I1221" i="1"/>
  <c r="I1222" i="1"/>
  <c r="I1223" i="1"/>
  <c r="I1224" i="1"/>
  <c r="I1225" i="1"/>
  <c r="I1226" i="1"/>
  <c r="I1227" i="1"/>
  <c r="I1228" i="1"/>
  <c r="I1229" i="1"/>
  <c r="I1230" i="1"/>
  <c r="I1231" i="1"/>
  <c r="I1232" i="1"/>
  <c r="I1233" i="1"/>
  <c r="I1234" i="1"/>
  <c r="I1235" i="1"/>
  <c r="I1236" i="1"/>
  <c r="I1237" i="1"/>
  <c r="I1238" i="1"/>
  <c r="I1239" i="1"/>
  <c r="I1240" i="1"/>
  <c r="I1241" i="1"/>
  <c r="I1242" i="1"/>
  <c r="I1243" i="1"/>
  <c r="I1244" i="1"/>
  <c r="I1245" i="1"/>
  <c r="I1246" i="1"/>
  <c r="I1247" i="1"/>
  <c r="I1248" i="1"/>
  <c r="I1249" i="1"/>
  <c r="I1250" i="1"/>
  <c r="I1251" i="1"/>
  <c r="I1252" i="1"/>
  <c r="I1253" i="1"/>
  <c r="I1254" i="1"/>
  <c r="I1255" i="1"/>
  <c r="I1256" i="1"/>
  <c r="I1257" i="1"/>
  <c r="I1258" i="1"/>
  <c r="I1259" i="1"/>
  <c r="I1260" i="1"/>
  <c r="I1261" i="1"/>
  <c r="I1262" i="1"/>
  <c r="I1263" i="1"/>
  <c r="I1264" i="1"/>
  <c r="I1265" i="1"/>
  <c r="I1266" i="1"/>
  <c r="I1267" i="1"/>
  <c r="I1268" i="1"/>
  <c r="I1269" i="1"/>
  <c r="I1270" i="1"/>
  <c r="I1271" i="1"/>
  <c r="I1272" i="1"/>
  <c r="I1273" i="1"/>
  <c r="I1274" i="1"/>
  <c r="I1275" i="1"/>
  <c r="I1276" i="1"/>
  <c r="I1277" i="1"/>
  <c r="I1278" i="1"/>
  <c r="I1279" i="1"/>
  <c r="I1280" i="1"/>
  <c r="I1281" i="1"/>
  <c r="I1282" i="1"/>
  <c r="I1283" i="1"/>
  <c r="I1284" i="1"/>
  <c r="I1285" i="1"/>
  <c r="I1286" i="1"/>
  <c r="I1287" i="1"/>
  <c r="I1288" i="1"/>
  <c r="I1289" i="1"/>
  <c r="I1290" i="1"/>
  <c r="I1291" i="1"/>
  <c r="I1292" i="1"/>
  <c r="I1293" i="1"/>
  <c r="I1294" i="1"/>
  <c r="I1295" i="1"/>
  <c r="I1296" i="1"/>
  <c r="I1297" i="1"/>
  <c r="I1298" i="1"/>
  <c r="I1299" i="1"/>
  <c r="I1300" i="1"/>
  <c r="I1301" i="1"/>
  <c r="I1302" i="1"/>
  <c r="I1303" i="1"/>
  <c r="I1304" i="1"/>
  <c r="I1305" i="1"/>
  <c r="I1306" i="1"/>
  <c r="I1307" i="1"/>
  <c r="I1308" i="1"/>
  <c r="I1309" i="1"/>
  <c r="I1310" i="1"/>
  <c r="I1311" i="1"/>
  <c r="I1312" i="1"/>
  <c r="I1313" i="1"/>
  <c r="I1314" i="1"/>
  <c r="I1315" i="1"/>
  <c r="I1316" i="1"/>
  <c r="I1317" i="1"/>
  <c r="I1318" i="1"/>
  <c r="I1319" i="1"/>
  <c r="I1320" i="1"/>
  <c r="I1321" i="1"/>
  <c r="I1322" i="1"/>
  <c r="I1323" i="1"/>
  <c r="I1324" i="1"/>
  <c r="I1325" i="1"/>
  <c r="I1326" i="1"/>
  <c r="I1327" i="1"/>
  <c r="I1328" i="1"/>
  <c r="I1329" i="1"/>
  <c r="I1330" i="1"/>
  <c r="I1331" i="1"/>
  <c r="I1332" i="1"/>
  <c r="I1333" i="1"/>
  <c r="I1334" i="1"/>
  <c r="I1335" i="1"/>
  <c r="I1336" i="1"/>
  <c r="I1337" i="1"/>
  <c r="I1338" i="1"/>
  <c r="I1339" i="1"/>
  <c r="I1340" i="1"/>
  <c r="I1341" i="1"/>
  <c r="I1342" i="1"/>
  <c r="I1343" i="1"/>
  <c r="I1344" i="1"/>
  <c r="I1345" i="1"/>
  <c r="I1346" i="1"/>
  <c r="I1347" i="1"/>
  <c r="I1348" i="1"/>
  <c r="I1349" i="1"/>
  <c r="I1350" i="1"/>
  <c r="I1351" i="1"/>
  <c r="I1352" i="1"/>
  <c r="I1353" i="1"/>
  <c r="I1354" i="1"/>
  <c r="I1355" i="1"/>
  <c r="I1356" i="1"/>
  <c r="I1357" i="1"/>
  <c r="I1358" i="1"/>
  <c r="I1359" i="1"/>
  <c r="I1360" i="1"/>
  <c r="I1361" i="1"/>
  <c r="I1362" i="1"/>
  <c r="I1363" i="1"/>
  <c r="I1364" i="1"/>
  <c r="I1365" i="1"/>
  <c r="I1366" i="1"/>
  <c r="I1367" i="1"/>
  <c r="I1368" i="1"/>
  <c r="I1369" i="1"/>
  <c r="I1370" i="1"/>
  <c r="I1371" i="1"/>
  <c r="I1372" i="1"/>
  <c r="I1373" i="1"/>
  <c r="I1374" i="1"/>
  <c r="I1375" i="1"/>
  <c r="I1376" i="1"/>
  <c r="I1377" i="1"/>
  <c r="I1378" i="1"/>
  <c r="I1379" i="1"/>
  <c r="I1380" i="1"/>
  <c r="I1381" i="1"/>
  <c r="I1382" i="1"/>
  <c r="I1383" i="1"/>
  <c r="I1384" i="1"/>
  <c r="I1385" i="1"/>
  <c r="I1386" i="1"/>
  <c r="I1387" i="1"/>
  <c r="I1388" i="1"/>
  <c r="I1389" i="1"/>
  <c r="I1390" i="1"/>
  <c r="I1391" i="1"/>
  <c r="I1392" i="1"/>
  <c r="I1393" i="1"/>
  <c r="I1394" i="1"/>
  <c r="I1395" i="1"/>
  <c r="I1396" i="1"/>
  <c r="I1397" i="1"/>
  <c r="I1398" i="1"/>
  <c r="I1399" i="1"/>
  <c r="I1400" i="1"/>
  <c r="I1401" i="1"/>
  <c r="I1402" i="1"/>
  <c r="I1403" i="1"/>
  <c r="I1404" i="1"/>
  <c r="I1405" i="1"/>
  <c r="I1406" i="1"/>
  <c r="I1407" i="1"/>
  <c r="I1408" i="1"/>
  <c r="I1409" i="1"/>
  <c r="I1410" i="1"/>
  <c r="I1411" i="1"/>
  <c r="I1412" i="1"/>
  <c r="I1413" i="1"/>
  <c r="I1414" i="1"/>
  <c r="I1415" i="1"/>
  <c r="I1416" i="1"/>
  <c r="I1417" i="1"/>
  <c r="I1418" i="1"/>
  <c r="I1419" i="1"/>
  <c r="I1420" i="1"/>
  <c r="I1421" i="1"/>
  <c r="I1422" i="1"/>
  <c r="I1423" i="1"/>
  <c r="I1424" i="1"/>
  <c r="I1425" i="1"/>
  <c r="I1426" i="1"/>
  <c r="I1427" i="1"/>
  <c r="I1428" i="1"/>
  <c r="I1429" i="1"/>
  <c r="I1430" i="1"/>
  <c r="I1431" i="1"/>
  <c r="I1432" i="1"/>
  <c r="I1433" i="1"/>
  <c r="I1434" i="1"/>
  <c r="I1435" i="1"/>
  <c r="I1436" i="1"/>
  <c r="I1437" i="1"/>
  <c r="I1438" i="1"/>
  <c r="I1439" i="1"/>
  <c r="I1440" i="1"/>
  <c r="I1441" i="1"/>
  <c r="I1442" i="1"/>
  <c r="I1443" i="1"/>
  <c r="I1444" i="1"/>
  <c r="I1445" i="1"/>
  <c r="I1446" i="1"/>
  <c r="I1447" i="1"/>
  <c r="I1448" i="1"/>
  <c r="I1449" i="1"/>
  <c r="I1450" i="1"/>
  <c r="I1451" i="1"/>
  <c r="I1452" i="1"/>
  <c r="I1453" i="1"/>
  <c r="I1454" i="1"/>
  <c r="I1455" i="1"/>
  <c r="I1456" i="1"/>
  <c r="I1457" i="1"/>
  <c r="I1458" i="1"/>
  <c r="I1459" i="1"/>
  <c r="I1460" i="1"/>
  <c r="I1461" i="1"/>
  <c r="I1462" i="1"/>
  <c r="I1463" i="1"/>
  <c r="I1464" i="1"/>
  <c r="I1465" i="1"/>
  <c r="I1466" i="1"/>
  <c r="I1467" i="1"/>
  <c r="I1468" i="1"/>
  <c r="I1469" i="1"/>
  <c r="I1470" i="1"/>
  <c r="I1471" i="1"/>
  <c r="I1472" i="1"/>
  <c r="I1473" i="1"/>
  <c r="I1474" i="1"/>
  <c r="I1475" i="1"/>
  <c r="I1476" i="1"/>
  <c r="I1477" i="1"/>
  <c r="I1478" i="1"/>
  <c r="I1479" i="1"/>
  <c r="I1480" i="1"/>
  <c r="I1481" i="1"/>
  <c r="I1482" i="1"/>
  <c r="I1483" i="1"/>
  <c r="I1484" i="1"/>
  <c r="I1485" i="1"/>
  <c r="I1486" i="1"/>
  <c r="I1487" i="1"/>
  <c r="I1488" i="1"/>
  <c r="I1489" i="1"/>
  <c r="I1490" i="1"/>
  <c r="I1491" i="1"/>
  <c r="I1492" i="1"/>
  <c r="I1493" i="1"/>
  <c r="I1494" i="1"/>
  <c r="I1495" i="1"/>
  <c r="I1496" i="1"/>
  <c r="I1497" i="1"/>
  <c r="I1498" i="1"/>
  <c r="I1499" i="1"/>
  <c r="I1500" i="1"/>
  <c r="I1501" i="1"/>
  <c r="I1502" i="1"/>
  <c r="I1503" i="1"/>
  <c r="I1504" i="1"/>
  <c r="I1505" i="1"/>
  <c r="I1506" i="1"/>
  <c r="I1507" i="1"/>
  <c r="I1508" i="1"/>
  <c r="I1509" i="1"/>
  <c r="I1510" i="1"/>
  <c r="I1511" i="1"/>
  <c r="I1512" i="1"/>
  <c r="I1513" i="1"/>
  <c r="I1514" i="1"/>
  <c r="I1515" i="1"/>
  <c r="I1516" i="1"/>
  <c r="I1517" i="1"/>
  <c r="I1518" i="1"/>
  <c r="I1519" i="1"/>
  <c r="I1520" i="1"/>
  <c r="I1521" i="1"/>
  <c r="I1522" i="1"/>
  <c r="I1523" i="1"/>
  <c r="I1524" i="1"/>
  <c r="I1525" i="1"/>
  <c r="I1526" i="1"/>
  <c r="I1527" i="1"/>
  <c r="I1528" i="1"/>
  <c r="I1529" i="1"/>
  <c r="I1530" i="1"/>
  <c r="I1531" i="1"/>
  <c r="I1532" i="1"/>
  <c r="I1533" i="1"/>
  <c r="I1534" i="1"/>
  <c r="I1535" i="1"/>
  <c r="I1536" i="1"/>
  <c r="I1537" i="1"/>
  <c r="I1538" i="1"/>
  <c r="I1539" i="1"/>
  <c r="I1540" i="1"/>
  <c r="I1541" i="1"/>
  <c r="I1542" i="1"/>
  <c r="I1543" i="1"/>
  <c r="I1544" i="1"/>
  <c r="I1545" i="1"/>
  <c r="I1546" i="1"/>
  <c r="I1547" i="1"/>
  <c r="I1548" i="1"/>
  <c r="I1549" i="1"/>
  <c r="I1550" i="1"/>
  <c r="I1551" i="1"/>
  <c r="I1552" i="1"/>
  <c r="I1553" i="1"/>
  <c r="I1554" i="1"/>
  <c r="I1555" i="1"/>
  <c r="I1556" i="1"/>
  <c r="I1557" i="1"/>
  <c r="I1558" i="1"/>
  <c r="I1559" i="1"/>
  <c r="I1560" i="1"/>
  <c r="I1561" i="1"/>
  <c r="I1562" i="1"/>
  <c r="I1563" i="1"/>
  <c r="I1564" i="1"/>
  <c r="I1565" i="1"/>
  <c r="I1566" i="1"/>
  <c r="I1567" i="1"/>
  <c r="I1568" i="1"/>
  <c r="I1569" i="1"/>
  <c r="I1570" i="1"/>
  <c r="I1571" i="1"/>
  <c r="I1572" i="1"/>
  <c r="I1573" i="1"/>
  <c r="I1574" i="1"/>
  <c r="I1575" i="1"/>
  <c r="I1576" i="1"/>
  <c r="I1577" i="1"/>
  <c r="I1578" i="1"/>
  <c r="I1579" i="1"/>
  <c r="I1580" i="1"/>
  <c r="I1581" i="1"/>
  <c r="I1582" i="1"/>
  <c r="I1583" i="1"/>
  <c r="I1584" i="1"/>
  <c r="I1585" i="1"/>
  <c r="I1586" i="1"/>
  <c r="I1587" i="1"/>
  <c r="I1588" i="1"/>
  <c r="I1589" i="1"/>
  <c r="I1590" i="1"/>
  <c r="I1591" i="1"/>
  <c r="I1592" i="1"/>
  <c r="I1593" i="1"/>
  <c r="I1594" i="1"/>
  <c r="I1595" i="1"/>
  <c r="I1596" i="1"/>
  <c r="I1597" i="1"/>
  <c r="I1598" i="1"/>
  <c r="I1599" i="1"/>
  <c r="I1600" i="1"/>
  <c r="I1601" i="1"/>
  <c r="I1602" i="1"/>
  <c r="I1603" i="1"/>
  <c r="I1604" i="1"/>
  <c r="I1605" i="1"/>
  <c r="I1606" i="1"/>
  <c r="I1607" i="1"/>
  <c r="I1608" i="1"/>
  <c r="I1609" i="1"/>
  <c r="I1610" i="1"/>
  <c r="I1611" i="1"/>
  <c r="I1612" i="1"/>
  <c r="I1613" i="1"/>
  <c r="I1614" i="1"/>
  <c r="I1615" i="1"/>
  <c r="I1616" i="1"/>
  <c r="I1617" i="1"/>
  <c r="I1618" i="1"/>
  <c r="I1619" i="1"/>
  <c r="I1620" i="1"/>
  <c r="I1621" i="1"/>
  <c r="I1622" i="1"/>
  <c r="I1623" i="1"/>
  <c r="I1624" i="1"/>
  <c r="I1625" i="1"/>
  <c r="I1626" i="1"/>
  <c r="I1627" i="1"/>
  <c r="I1628" i="1"/>
  <c r="I1629" i="1"/>
  <c r="I1630" i="1"/>
  <c r="I1631" i="1"/>
  <c r="I1632" i="1"/>
  <c r="I1633" i="1"/>
  <c r="I1634" i="1"/>
  <c r="I1635" i="1"/>
  <c r="I1636" i="1"/>
  <c r="I1637" i="1"/>
  <c r="I1638" i="1"/>
  <c r="I1639" i="1"/>
  <c r="I1640" i="1"/>
  <c r="I1641" i="1"/>
  <c r="I1642" i="1"/>
  <c r="I1643" i="1"/>
  <c r="I1644" i="1"/>
  <c r="I1645" i="1"/>
  <c r="I1646" i="1"/>
  <c r="I1647" i="1"/>
  <c r="I1648" i="1"/>
  <c r="I1649" i="1"/>
  <c r="I1650" i="1"/>
  <c r="I1651" i="1"/>
  <c r="I1652" i="1"/>
  <c r="I1653" i="1"/>
  <c r="I1654" i="1"/>
  <c r="I1655" i="1"/>
  <c r="I1656" i="1"/>
  <c r="I1657" i="1"/>
  <c r="I1658" i="1"/>
  <c r="I1659" i="1"/>
  <c r="I1660" i="1"/>
  <c r="I1661" i="1"/>
  <c r="I1662" i="1"/>
  <c r="I1663" i="1"/>
  <c r="I1664" i="1"/>
  <c r="I1665" i="1"/>
  <c r="I1666" i="1"/>
  <c r="I1667" i="1"/>
  <c r="I1668" i="1"/>
  <c r="I1669" i="1"/>
  <c r="I1670" i="1"/>
  <c r="I1671" i="1"/>
  <c r="I1672" i="1"/>
  <c r="I1673" i="1"/>
  <c r="I1674" i="1"/>
  <c r="I1675" i="1"/>
  <c r="I1676" i="1"/>
  <c r="I1677" i="1"/>
  <c r="I1678" i="1"/>
  <c r="I1679" i="1"/>
  <c r="I1680" i="1"/>
  <c r="I1681" i="1"/>
  <c r="I1682" i="1"/>
  <c r="I1683" i="1"/>
  <c r="I1684" i="1"/>
  <c r="I1685" i="1"/>
  <c r="I1686" i="1"/>
  <c r="I1687" i="1"/>
  <c r="I1688" i="1"/>
  <c r="I1689" i="1"/>
  <c r="I1690" i="1"/>
  <c r="I1691" i="1"/>
  <c r="I1692" i="1"/>
  <c r="I1693" i="1"/>
  <c r="I1694" i="1"/>
  <c r="I1695" i="1"/>
  <c r="I1696" i="1"/>
  <c r="I1697" i="1"/>
  <c r="I1698" i="1"/>
  <c r="I1699" i="1"/>
  <c r="I1700" i="1"/>
  <c r="I1701" i="1"/>
  <c r="I1702" i="1"/>
  <c r="I1703" i="1"/>
  <c r="I1704" i="1"/>
  <c r="I1705" i="1"/>
  <c r="I1706" i="1"/>
  <c r="I1707" i="1"/>
  <c r="I1708" i="1"/>
  <c r="I1709" i="1"/>
  <c r="I1710" i="1"/>
  <c r="I1711" i="1"/>
  <c r="I1712" i="1"/>
  <c r="I1713" i="1"/>
  <c r="I1714" i="1"/>
  <c r="I1715" i="1"/>
  <c r="I1716" i="1"/>
  <c r="I1717" i="1"/>
  <c r="I1718" i="1"/>
  <c r="I1719" i="1"/>
  <c r="I1720" i="1"/>
  <c r="I1721" i="1"/>
  <c r="I1722" i="1"/>
  <c r="I1723" i="1"/>
  <c r="I1724" i="1"/>
  <c r="I1725" i="1"/>
  <c r="I1726" i="1"/>
  <c r="I1727" i="1"/>
  <c r="I1728" i="1"/>
  <c r="I1729" i="1"/>
  <c r="I1730" i="1"/>
  <c r="I1731" i="1"/>
  <c r="I1732" i="1"/>
  <c r="I1733" i="1"/>
  <c r="I1734" i="1"/>
  <c r="I1735" i="1"/>
  <c r="I1736" i="1"/>
  <c r="I1737" i="1"/>
  <c r="I1738" i="1"/>
  <c r="I1739" i="1"/>
  <c r="I1740" i="1"/>
  <c r="I1741" i="1"/>
  <c r="I1742" i="1"/>
  <c r="I1743" i="1"/>
  <c r="I1744" i="1"/>
  <c r="I1745" i="1"/>
  <c r="I1746" i="1"/>
  <c r="I1747" i="1"/>
  <c r="I1748" i="1"/>
  <c r="I1749" i="1"/>
  <c r="I1750" i="1"/>
  <c r="I1751" i="1"/>
  <c r="I1752" i="1"/>
  <c r="I1753" i="1"/>
  <c r="I1754" i="1"/>
  <c r="I1755" i="1"/>
  <c r="I1756" i="1"/>
  <c r="I1757" i="1"/>
  <c r="I1758" i="1"/>
  <c r="I1759" i="1"/>
  <c r="I1760" i="1"/>
  <c r="I1761" i="1"/>
  <c r="I1762" i="1"/>
  <c r="I1763" i="1"/>
  <c r="I1764" i="1"/>
  <c r="I1765" i="1"/>
  <c r="I1766" i="1"/>
  <c r="I1767" i="1"/>
  <c r="I1768" i="1"/>
  <c r="I1769" i="1"/>
  <c r="I1770" i="1"/>
  <c r="I1771" i="1"/>
  <c r="I1772" i="1"/>
  <c r="I1773" i="1"/>
  <c r="I1774" i="1"/>
  <c r="I1775" i="1"/>
  <c r="I1776" i="1"/>
  <c r="I1777" i="1"/>
  <c r="I1778" i="1"/>
  <c r="I1779" i="1"/>
  <c r="I1780" i="1"/>
  <c r="I1781" i="1"/>
  <c r="I1782" i="1"/>
  <c r="I1783" i="1"/>
  <c r="I1784" i="1"/>
  <c r="I1785" i="1"/>
  <c r="I1786" i="1"/>
  <c r="I1787" i="1"/>
  <c r="I1788" i="1"/>
  <c r="I1789" i="1"/>
  <c r="I1790" i="1"/>
  <c r="I1791" i="1"/>
  <c r="I1792" i="1"/>
  <c r="I1793" i="1"/>
  <c r="I1794" i="1"/>
  <c r="I1795" i="1"/>
  <c r="I1796" i="1"/>
  <c r="I1797" i="1"/>
  <c r="I1798" i="1"/>
  <c r="I1799" i="1"/>
  <c r="I1800" i="1"/>
  <c r="I1801" i="1"/>
  <c r="I1802" i="1"/>
  <c r="I1803" i="1"/>
  <c r="I1804" i="1"/>
  <c r="I1805" i="1"/>
  <c r="I1806" i="1"/>
  <c r="I1807" i="1"/>
  <c r="I1808" i="1"/>
  <c r="I1809" i="1"/>
  <c r="I1810" i="1"/>
  <c r="I1811" i="1"/>
  <c r="I1812" i="1"/>
  <c r="I1813" i="1"/>
  <c r="I1814" i="1"/>
  <c r="I1815" i="1"/>
  <c r="I1816" i="1"/>
  <c r="I1817" i="1"/>
  <c r="I1818" i="1"/>
  <c r="I1819" i="1"/>
  <c r="I1820" i="1"/>
  <c r="I1821" i="1"/>
  <c r="I1822" i="1"/>
  <c r="I1823" i="1"/>
  <c r="I1824" i="1"/>
  <c r="I1825" i="1"/>
  <c r="I1826" i="1"/>
  <c r="I1827" i="1"/>
  <c r="I1828" i="1"/>
  <c r="I1829" i="1"/>
  <c r="I1830" i="1"/>
  <c r="I1831" i="1"/>
  <c r="I1832" i="1"/>
  <c r="I1833" i="1"/>
  <c r="I1834" i="1"/>
  <c r="I1835" i="1"/>
  <c r="I1836" i="1"/>
  <c r="I1837" i="1"/>
  <c r="I1838" i="1"/>
  <c r="I1839" i="1"/>
  <c r="I1840" i="1"/>
  <c r="I1841" i="1"/>
  <c r="I1842" i="1"/>
  <c r="I1843" i="1"/>
  <c r="I1844" i="1"/>
  <c r="I1845" i="1"/>
  <c r="I1846" i="1"/>
  <c r="I1847" i="1"/>
  <c r="I1848" i="1"/>
  <c r="I1849" i="1"/>
  <c r="I1850" i="1"/>
  <c r="I1851" i="1"/>
  <c r="I1852" i="1"/>
  <c r="I1853" i="1"/>
  <c r="I1854" i="1"/>
  <c r="I1855" i="1"/>
  <c r="I1856" i="1"/>
  <c r="I1857" i="1"/>
  <c r="I1858" i="1"/>
  <c r="I1859" i="1"/>
  <c r="I1860" i="1"/>
  <c r="I1861" i="1"/>
  <c r="I1862" i="1"/>
  <c r="I1863" i="1"/>
  <c r="I1864" i="1"/>
  <c r="I1865" i="1"/>
  <c r="I1866" i="1"/>
  <c r="I1867" i="1"/>
  <c r="I1868" i="1"/>
  <c r="I1869" i="1"/>
  <c r="I1870" i="1"/>
  <c r="I1871" i="1"/>
  <c r="I1872" i="1"/>
  <c r="I1873" i="1"/>
  <c r="I1874" i="1"/>
  <c r="I1875" i="1"/>
  <c r="I1876" i="1"/>
  <c r="I1877" i="1"/>
  <c r="I1878" i="1"/>
  <c r="I1879" i="1"/>
  <c r="I1880" i="1"/>
  <c r="I1881" i="1"/>
  <c r="I1882" i="1"/>
  <c r="I1883" i="1"/>
  <c r="I1884" i="1"/>
  <c r="I1885" i="1"/>
  <c r="I1886" i="1"/>
  <c r="I1887" i="1"/>
  <c r="I1888" i="1"/>
  <c r="I1889" i="1"/>
  <c r="I1890" i="1"/>
  <c r="I1891" i="1"/>
  <c r="I1892" i="1"/>
  <c r="I1893" i="1"/>
  <c r="I1894" i="1"/>
  <c r="I1895" i="1"/>
  <c r="I1896" i="1"/>
  <c r="I1897" i="1"/>
  <c r="I1898" i="1"/>
  <c r="I1899" i="1"/>
  <c r="I1900" i="1"/>
  <c r="I1901" i="1"/>
  <c r="I1902" i="1"/>
  <c r="I1903" i="1"/>
  <c r="I1904" i="1"/>
  <c r="I1905" i="1"/>
  <c r="I1906" i="1"/>
  <c r="I1907" i="1"/>
  <c r="I1908" i="1"/>
  <c r="I1909" i="1"/>
  <c r="I1910" i="1"/>
  <c r="I1911" i="1"/>
  <c r="I1912" i="1"/>
  <c r="I1913" i="1"/>
  <c r="I1914" i="1"/>
  <c r="I1915" i="1"/>
  <c r="I1916" i="1"/>
  <c r="I1917" i="1"/>
  <c r="I1918" i="1"/>
  <c r="I1919" i="1"/>
  <c r="I1920" i="1"/>
  <c r="I1921" i="1"/>
  <c r="I1922" i="1"/>
  <c r="I1923" i="1"/>
  <c r="I1924" i="1"/>
  <c r="I1925" i="1"/>
  <c r="I1926" i="1"/>
  <c r="I1927" i="1"/>
  <c r="I1928" i="1"/>
  <c r="I1929" i="1"/>
  <c r="I1930" i="1"/>
  <c r="I1931" i="1"/>
  <c r="I1932" i="1"/>
  <c r="I1933" i="1"/>
  <c r="I1934" i="1"/>
  <c r="I1935" i="1"/>
  <c r="I1936" i="1"/>
  <c r="I1937" i="1"/>
  <c r="I1938" i="1"/>
  <c r="I1939" i="1"/>
  <c r="I1940" i="1"/>
  <c r="I1941" i="1"/>
  <c r="I1942" i="1"/>
  <c r="I1943" i="1"/>
  <c r="I1944" i="1"/>
  <c r="I1945" i="1"/>
  <c r="I1946" i="1"/>
  <c r="I1947" i="1"/>
  <c r="I1948" i="1"/>
  <c r="I1949" i="1"/>
  <c r="I1950" i="1"/>
  <c r="I1951" i="1"/>
  <c r="I1952" i="1"/>
  <c r="I1953" i="1"/>
  <c r="I1954" i="1"/>
  <c r="I1955" i="1"/>
  <c r="I1956" i="1"/>
  <c r="I1957" i="1"/>
  <c r="I1958" i="1"/>
  <c r="I1959" i="1"/>
  <c r="I1960" i="1"/>
  <c r="I1961" i="1"/>
  <c r="I1962" i="1"/>
  <c r="I1963" i="1"/>
  <c r="I1964" i="1"/>
  <c r="I1965" i="1"/>
  <c r="I1966" i="1"/>
  <c r="I1967" i="1"/>
  <c r="I1968" i="1"/>
  <c r="I1969" i="1"/>
  <c r="I1970" i="1"/>
  <c r="I1971" i="1"/>
  <c r="I1972" i="1"/>
  <c r="I1973" i="1"/>
  <c r="I1974" i="1"/>
  <c r="I1975" i="1"/>
  <c r="I1976" i="1"/>
  <c r="I1977" i="1"/>
  <c r="I1978" i="1"/>
  <c r="I1979" i="1"/>
  <c r="I1980" i="1"/>
  <c r="I1981" i="1"/>
  <c r="I1982" i="1"/>
  <c r="I1983" i="1"/>
  <c r="I1984" i="1"/>
  <c r="I1985" i="1"/>
  <c r="I1986" i="1"/>
  <c r="I1987" i="1"/>
  <c r="I1988" i="1"/>
  <c r="I1989" i="1"/>
  <c r="I1990" i="1"/>
  <c r="I1991" i="1"/>
  <c r="I1992" i="1"/>
  <c r="I1993" i="1"/>
  <c r="I1994" i="1"/>
  <c r="I1995" i="1"/>
  <c r="I1996" i="1"/>
  <c r="I1997" i="1"/>
  <c r="I1998" i="1"/>
  <c r="I1999" i="1"/>
  <c r="I2000" i="1"/>
  <c r="I2001" i="1"/>
</calcChain>
</file>

<file path=xl/sharedStrings.xml><?xml version="1.0" encoding="utf-8"?>
<sst xmlns="http://schemas.openxmlformats.org/spreadsheetml/2006/main" count="8064" uniqueCount="52">
  <si>
    <t>Order_ID</t>
  </si>
  <si>
    <t>Order_Date</t>
  </si>
  <si>
    <t>Region</t>
  </si>
  <si>
    <t>Category</t>
  </si>
  <si>
    <t>Sub_Category</t>
  </si>
  <si>
    <t>Salesperson</t>
  </si>
  <si>
    <t>Sales</t>
  </si>
  <si>
    <t>Quantity</t>
  </si>
  <si>
    <t>Profit</t>
  </si>
  <si>
    <t>East</t>
  </si>
  <si>
    <t>West</t>
  </si>
  <si>
    <t>North</t>
  </si>
  <si>
    <t>South</t>
  </si>
  <si>
    <t>Office Supplies</t>
  </si>
  <si>
    <t>Furniture</t>
  </si>
  <si>
    <t>Technology</t>
  </si>
  <si>
    <t>Chairs</t>
  </si>
  <si>
    <t>Binders</t>
  </si>
  <si>
    <t>Accessories</t>
  </si>
  <si>
    <t>Phones</t>
  </si>
  <si>
    <t>Tables</t>
  </si>
  <si>
    <t>John</t>
  </si>
  <si>
    <t>Ali</t>
  </si>
  <si>
    <t>Sara</t>
  </si>
  <si>
    <t>Zain</t>
  </si>
  <si>
    <t>Emma</t>
  </si>
  <si>
    <t>Month</t>
  </si>
  <si>
    <t>Year</t>
  </si>
  <si>
    <t>Profit Margin</t>
  </si>
  <si>
    <t>Row Labels</t>
  </si>
  <si>
    <t>Grand Total</t>
  </si>
  <si>
    <t>Sum of Sales</t>
  </si>
  <si>
    <t>Sum of Profit</t>
  </si>
  <si>
    <t>Sales by Region</t>
  </si>
  <si>
    <t>Profit by Category</t>
  </si>
  <si>
    <t>Jan</t>
  </si>
  <si>
    <t>Feb</t>
  </si>
  <si>
    <t>Mar</t>
  </si>
  <si>
    <t>Apr</t>
  </si>
  <si>
    <t>May</t>
  </si>
  <si>
    <t>Jun</t>
  </si>
  <si>
    <t>Jul</t>
  </si>
  <si>
    <t>Aug</t>
  </si>
  <si>
    <t>Sep</t>
  </si>
  <si>
    <t>Oct</t>
  </si>
  <si>
    <t>Nov</t>
  </si>
  <si>
    <t>Dec</t>
  </si>
  <si>
    <t>Monthly Sales Trend</t>
  </si>
  <si>
    <t>SalesPerson Performance</t>
  </si>
  <si>
    <t>Sales Performance Dashboard</t>
  </si>
  <si>
    <t>Total Sales</t>
  </si>
  <si>
    <t>Total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</si>
</sst>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7" formatCode="[$EUR]\ #,##0"/>
  </numFmts>
  <fonts count="9" x14ac:knownFonts="1">
    <font>
      <sz val="11"/>
      <color theme="1"/>
      <name val="Franklin Gothic Book"/>
      <family val="2"/>
      <scheme val="minor"/>
    </font>
    <font>
      <b/>
      <sz val="11"/>
      <color theme="1"/>
      <name val="Franklin Gothic Book"/>
      <family val="2"/>
      <scheme val="minor"/>
    </font>
    <font>
      <sz val="11"/>
      <color theme="1"/>
      <name val="Franklin Gothic Book"/>
      <family val="2"/>
      <scheme val="minor"/>
    </font>
    <font>
      <b/>
      <sz val="14"/>
      <color theme="1"/>
      <name val="Franklin Gothic Book"/>
      <family val="2"/>
      <scheme val="minor"/>
    </font>
    <font>
      <b/>
      <sz val="48"/>
      <color theme="0"/>
      <name val="Calibri"/>
      <family val="2"/>
    </font>
    <font>
      <b/>
      <sz val="22"/>
      <color theme="0"/>
      <name val="Calibri"/>
      <family val="2"/>
    </font>
    <font>
      <sz val="22"/>
      <color theme="0"/>
      <name val="Calibri"/>
      <family val="2"/>
    </font>
    <font>
      <b/>
      <sz val="22"/>
      <color theme="1"/>
      <name val="Calibri"/>
      <family val="2"/>
    </font>
    <font>
      <b/>
      <sz val="22"/>
      <color theme="1"/>
      <name val="Franklin Gothic Book"/>
      <family val="2"/>
      <scheme val="minor"/>
    </font>
  </fonts>
  <fills count="5">
    <fill>
      <patternFill patternType="none"/>
    </fill>
    <fill>
      <patternFill patternType="gray125"/>
    </fill>
    <fill>
      <patternFill patternType="solid">
        <fgColor theme="0" tint="-4.9989318521683403E-2"/>
        <bgColor indexed="64"/>
      </patternFill>
    </fill>
    <fill>
      <patternFill patternType="solid">
        <fgColor theme="2"/>
        <bgColor indexed="64"/>
      </patternFill>
    </fill>
    <fill>
      <patternFill patternType="solid">
        <fgColor theme="2" tint="-0.249977111117893"/>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s>
  <cellStyleXfs count="2">
    <xf numFmtId="0" fontId="0" fillId="0" borderId="0"/>
    <xf numFmtId="9" fontId="2" fillId="0" borderId="0" applyFont="0" applyFill="0" applyBorder="0" applyAlignment="0" applyProtection="0"/>
  </cellStyleXfs>
  <cellXfs count="28">
    <xf numFmtId="0" fontId="0" fillId="0" borderId="0" xfId="0"/>
    <xf numFmtId="0" fontId="0" fillId="0" borderId="0" xfId="0" applyAlignment="1">
      <alignment horizontal="center"/>
    </xf>
    <xf numFmtId="14" fontId="0" fillId="0" borderId="0" xfId="0" applyNumberFormat="1" applyAlignment="1">
      <alignment horizontal="center"/>
    </xf>
    <xf numFmtId="0" fontId="0" fillId="0" borderId="0" xfId="0" applyAlignment="1">
      <alignment horizontal="left"/>
    </xf>
    <xf numFmtId="167" fontId="0" fillId="0" borderId="0" xfId="0" applyNumberFormat="1" applyAlignment="1">
      <alignment horizontal="center"/>
    </xf>
    <xf numFmtId="0" fontId="1" fillId="0" borderId="2" xfId="0" applyFont="1" applyBorder="1" applyAlignment="1">
      <alignment horizontal="center" vertical="top"/>
    </xf>
    <xf numFmtId="14" fontId="1" fillId="0" borderId="2" xfId="0" applyNumberFormat="1" applyFont="1" applyBorder="1" applyAlignment="1">
      <alignment horizontal="center" vertical="top"/>
    </xf>
    <xf numFmtId="167" fontId="1" fillId="0" borderId="2" xfId="0" applyNumberFormat="1" applyFont="1" applyBorder="1" applyAlignment="1">
      <alignment horizontal="center" vertical="top"/>
    </xf>
    <xf numFmtId="9" fontId="1" fillId="0" borderId="2" xfId="1" applyFont="1" applyBorder="1" applyAlignment="1">
      <alignment horizontal="center" vertical="top"/>
    </xf>
    <xf numFmtId="9" fontId="0" fillId="0" borderId="0" xfId="1" applyFont="1" applyAlignment="1">
      <alignment horizontal="center"/>
    </xf>
    <xf numFmtId="9" fontId="0" fillId="0" borderId="0" xfId="1" applyFont="1"/>
    <xf numFmtId="0" fontId="0" fillId="0" borderId="0" xfId="0" pivotButton="1"/>
    <xf numFmtId="167" fontId="0" fillId="0" borderId="0" xfId="0" applyNumberFormat="1"/>
    <xf numFmtId="0" fontId="3" fillId="0" borderId="0" xfId="0" applyFont="1" applyAlignment="1">
      <alignment horizontal="center"/>
    </xf>
    <xf numFmtId="15" fontId="0" fillId="0" borderId="0" xfId="0" applyNumberFormat="1"/>
    <xf numFmtId="0" fontId="0" fillId="2" borderId="0" xfId="0" applyFill="1" applyBorder="1"/>
    <xf numFmtId="15" fontId="0" fillId="2" borderId="0" xfId="0" applyNumberFormat="1" applyFill="1" applyBorder="1"/>
    <xf numFmtId="15" fontId="0" fillId="2" borderId="0" xfId="0" applyNumberFormat="1" applyFill="1" applyBorder="1" applyAlignment="1"/>
    <xf numFmtId="15" fontId="0" fillId="2" borderId="0" xfId="0" applyNumberFormat="1" applyFill="1" applyBorder="1" applyAlignment="1">
      <alignment horizontal="left"/>
    </xf>
    <xf numFmtId="15" fontId="4" fillId="4" borderId="0" xfId="0" applyNumberFormat="1" applyFont="1" applyFill="1" applyBorder="1" applyAlignment="1">
      <alignment horizontal="center" vertical="center"/>
    </xf>
    <xf numFmtId="15" fontId="7" fillId="2" borderId="0" xfId="0" applyNumberFormat="1" applyFont="1" applyFill="1" applyBorder="1" applyAlignment="1">
      <alignment horizontal="center"/>
    </xf>
    <xf numFmtId="15" fontId="8" fillId="2" borderId="0" xfId="0" applyNumberFormat="1" applyFont="1" applyFill="1" applyBorder="1" applyAlignment="1">
      <alignment horizontal="center"/>
    </xf>
    <xf numFmtId="15" fontId="5" fillId="3" borderId="1" xfId="0" applyNumberFormat="1" applyFont="1" applyFill="1" applyBorder="1" applyAlignment="1">
      <alignment horizontal="center"/>
    </xf>
    <xf numFmtId="15" fontId="5" fillId="3" borderId="1" xfId="0" applyNumberFormat="1" applyFont="1" applyFill="1" applyBorder="1" applyAlignment="1"/>
    <xf numFmtId="167" fontId="6" fillId="3" borderId="1" xfId="0" applyNumberFormat="1" applyFont="1" applyFill="1" applyBorder="1" applyAlignment="1">
      <alignment horizontal="center"/>
    </xf>
    <xf numFmtId="15" fontId="6" fillId="3" borderId="1" xfId="0" applyNumberFormat="1" applyFont="1" applyFill="1" applyBorder="1" applyAlignment="1">
      <alignment horizontal="center"/>
    </xf>
    <xf numFmtId="15" fontId="6" fillId="3" borderId="1" xfId="0" applyNumberFormat="1" applyFont="1" applyFill="1" applyBorder="1" applyAlignment="1"/>
    <xf numFmtId="9" fontId="6" fillId="3" borderId="1" xfId="0" applyNumberFormat="1" applyFont="1" applyFill="1" applyBorder="1" applyAlignment="1">
      <alignment horizontal="center"/>
    </xf>
  </cellXfs>
  <cellStyles count="2">
    <cellStyle name="Normal" xfId="0" builtinId="0"/>
    <cellStyle name="Percent" xfId="1" builtinId="5"/>
  </cellStyles>
  <dxfs count="34">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numFmt numFmtId="20" formatCode="dd\-mmm\-yy"/>
    </dxf>
    <dxf>
      <numFmt numFmtId="20" formatCode="dd\-mmm\-yy"/>
    </dxf>
    <dxf>
      <numFmt numFmtId="20" formatCode="dd\-mmm\-yy"/>
    </dxf>
    <dxf>
      <numFmt numFmtId="20" formatCode="dd\-mmm\-yy"/>
    </dxf>
    <dxf>
      <numFmt numFmtId="20" formatCode="dd\-mmm\-yy"/>
    </dxf>
    <dxf>
      <numFmt numFmtId="20" formatCode="dd\-mmm\-yy"/>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font>
        <b/>
        <i val="0"/>
        <strike val="0"/>
        <condense val="0"/>
        <extend val="0"/>
        <outline val="0"/>
        <shadow val="0"/>
        <u val="none"/>
        <vertAlign val="baseline"/>
        <sz val="11"/>
        <color theme="1"/>
        <name val="Franklin Gothic Book"/>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alignment horizontal="center" vertical="bottom" textRotation="0" wrapText="0" indent="0" justifyLastLine="0" shrinkToFit="0" readingOrder="0"/>
    </dxf>
    <dxf>
      <numFmt numFmtId="167" formatCode="[$EUR]\ #,##0"/>
      <alignment horizontal="center" vertical="bottom" textRotation="0" wrapText="0" indent="0" justifyLastLine="0" shrinkToFit="0" readingOrder="0"/>
    </dxf>
    <dxf>
      <alignment horizontal="center" vertical="bottom" textRotation="0" wrapText="0" indent="0" justifyLastLine="0" shrinkToFit="0" readingOrder="0"/>
    </dxf>
    <dxf>
      <numFmt numFmtId="167" formatCode="[$EUR]\ #,##0"/>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yyyy/mm/dd"/>
      <alignment horizontal="center" vertical="bottom" textRotation="0" wrapText="0" indent="0" justifyLastLine="0" shrinkToFit="0" readingOrder="0"/>
    </dxf>
    <dxf>
      <alignment horizontal="center" vertical="bottom" textRotation="0" wrapText="0" indent="0" justifyLastLine="0" shrinkToFit="0" readingOrder="0"/>
    </dxf>
    <dxf>
      <border outline="0">
        <bottom style="thin">
          <color auto="1"/>
        </bottom>
      </border>
    </dxf>
    <dxf>
      <border outline="0">
        <top style="thin">
          <color auto="1"/>
        </top>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[sales_cleaned.xlsx]DashBoard!PivotTable26</c:name>
    <c:fmtId val="0"/>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Sales by region</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JP"/>
        </a:p>
      </c:txPr>
    </c:title>
    <c:autoTitleDeleted val="0"/>
    <c:pivotFmts>
      <c:pivotFmt>
        <c:idx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circle"/>
          <c:size val="6"/>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JP"/>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DashBoard!$C$12</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JP"/>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DashBoard!$B$13:$B$17</c:f>
              <c:strCache>
                <c:ptCount val="4"/>
                <c:pt idx="0">
                  <c:v>East</c:v>
                </c:pt>
                <c:pt idx="1">
                  <c:v>North</c:v>
                </c:pt>
                <c:pt idx="2">
                  <c:v>South</c:v>
                </c:pt>
                <c:pt idx="3">
                  <c:v>West</c:v>
                </c:pt>
              </c:strCache>
            </c:strRef>
          </c:cat>
          <c:val>
            <c:numRef>
              <c:f>DashBoard!$C$13:$C$17</c:f>
              <c:numCache>
                <c:formatCode>d\-mmm\-yy</c:formatCode>
                <c:ptCount val="4"/>
                <c:pt idx="0">
                  <c:v>253458.51999999973</c:v>
                </c:pt>
                <c:pt idx="1">
                  <c:v>269626.18999999994</c:v>
                </c:pt>
                <c:pt idx="2">
                  <c:v>257189.27000000025</c:v>
                </c:pt>
                <c:pt idx="3">
                  <c:v>258923.96999999977</c:v>
                </c:pt>
              </c:numCache>
            </c:numRef>
          </c:val>
          <c:extLst>
            <c:ext xmlns:c16="http://schemas.microsoft.com/office/drawing/2014/chart" uri="{C3380CC4-5D6E-409C-BE32-E72D297353CC}">
              <c16:uniqueId val="{00000000-D2EA-054F-97AD-8CE5E7CB7C89}"/>
            </c:ext>
          </c:extLst>
        </c:ser>
        <c:dLbls>
          <c:dLblPos val="outEnd"/>
          <c:showLegendKey val="0"/>
          <c:showVal val="1"/>
          <c:showCatName val="0"/>
          <c:showSerName val="0"/>
          <c:showPercent val="0"/>
          <c:showBubbleSize val="0"/>
        </c:dLbls>
        <c:gapWidth val="355"/>
        <c:overlap val="-70"/>
        <c:axId val="1117148079"/>
        <c:axId val="1043489455"/>
      </c:barChart>
      <c:catAx>
        <c:axId val="1117148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JP"/>
          </a:p>
        </c:txPr>
        <c:crossAx val="1043489455"/>
        <c:crosses val="autoZero"/>
        <c:auto val="1"/>
        <c:lblAlgn val="ctr"/>
        <c:lblOffset val="100"/>
        <c:noMultiLvlLbl val="0"/>
      </c:catAx>
      <c:valAx>
        <c:axId val="1043489455"/>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d\-mmm\-yy"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JP"/>
          </a:p>
        </c:txPr>
        <c:crossAx val="11171480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JP"/>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JP"/>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[sales_cleaned.xlsx]Pivot-Table!PivotTable23</c:name>
    <c:fmtId val="2"/>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US" sz="1800" b="1">
                <a:latin typeface="Calibri" panose="020F0502020204030204" pitchFamily="34" charset="0"/>
                <a:cs typeface="Calibri" panose="020F0502020204030204" pitchFamily="34" charset="0"/>
              </a:rPr>
              <a:t>Profit by Catagory</a:t>
            </a: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JP"/>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pivotFmt>
      <c:pivotFmt>
        <c:idx val="9"/>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JP"/>
            </a:p>
          </c:txPr>
          <c:dLblPos val="ctr"/>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'Pivot-Table'!$E$3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JP"/>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'Pivot-Table'!$D$4:$D$7</c:f>
              <c:strCache>
                <c:ptCount val="3"/>
                <c:pt idx="0">
                  <c:v>Furniture</c:v>
                </c:pt>
                <c:pt idx="1">
                  <c:v>Office Supplies</c:v>
                </c:pt>
                <c:pt idx="2">
                  <c:v>Technology</c:v>
                </c:pt>
              </c:strCache>
            </c:strRef>
          </c:cat>
          <c:val>
            <c:numRef>
              <c:f>'Pivot-Table'!$E$4:$E$7</c:f>
              <c:numCache>
                <c:formatCode>[$EUR]\ #,##0</c:formatCode>
                <c:ptCount val="3"/>
                <c:pt idx="0">
                  <c:v>69976.78999999995</c:v>
                </c:pt>
                <c:pt idx="1">
                  <c:v>65783.850000000006</c:v>
                </c:pt>
                <c:pt idx="2">
                  <c:v>65742.600000000006</c:v>
                </c:pt>
              </c:numCache>
            </c:numRef>
          </c:val>
          <c:extLst>
            <c:ext xmlns:c16="http://schemas.microsoft.com/office/drawing/2014/chart" uri="{C3380CC4-5D6E-409C-BE32-E72D297353CC}">
              <c16:uniqueId val="{00000007-FA44-2048-ABA8-B8DAEA5081CF}"/>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JP"/>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JP"/>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[sales_cleaned.xlsx]Pivot-Table!PivotTable24</c:name>
    <c:fmtId val="2"/>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sz="1800">
                <a:latin typeface="Calibri" panose="020F0502020204030204" pitchFamily="34" charset="0"/>
                <a:cs typeface="Calibri" panose="020F0502020204030204" pitchFamily="34" charset="0"/>
              </a:rPr>
              <a:t>Monthly Sales Trend</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JP"/>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JP"/>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'Pivot-Table'!$H$3</c:f>
              <c:strCache>
                <c:ptCount val="1"/>
                <c:pt idx="0">
                  <c:v>Total</c:v>
                </c:pt>
              </c:strCache>
            </c:strRef>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'Pivot-Table'!$G$4:$G$16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'Pivot-Table'!$H$4:$H$16</c:f>
              <c:numCache>
                <c:formatCode>[$EUR]\ #,##0</c:formatCode>
                <c:ptCount val="12"/>
                <c:pt idx="0">
                  <c:v>98391.08</c:v>
                </c:pt>
                <c:pt idx="1">
                  <c:v>86415.180000000095</c:v>
                </c:pt>
                <c:pt idx="2">
                  <c:v>93330.760000000024</c:v>
                </c:pt>
                <c:pt idx="3">
                  <c:v>94967.219999999972</c:v>
                </c:pt>
                <c:pt idx="4">
                  <c:v>101691.67000000004</c:v>
                </c:pt>
                <c:pt idx="5">
                  <c:v>87898.96</c:v>
                </c:pt>
                <c:pt idx="6">
                  <c:v>85678.24000000002</c:v>
                </c:pt>
                <c:pt idx="7">
                  <c:v>78862.689999999944</c:v>
                </c:pt>
                <c:pt idx="8">
                  <c:v>71011.87000000001</c:v>
                </c:pt>
                <c:pt idx="9">
                  <c:v>77795.73</c:v>
                </c:pt>
                <c:pt idx="10">
                  <c:v>80462.880000000005</c:v>
                </c:pt>
                <c:pt idx="11">
                  <c:v>82691.670000000013</c:v>
                </c:pt>
              </c:numCache>
            </c:numRef>
          </c:val>
          <c:smooth val="0"/>
          <c:extLst>
            <c:ext xmlns:c16="http://schemas.microsoft.com/office/drawing/2014/chart" uri="{C3380CC4-5D6E-409C-BE32-E72D297353CC}">
              <c16:uniqueId val="{00000000-B986-674A-9020-685F5BD36D5E}"/>
            </c:ext>
          </c:extLst>
        </c:ser>
        <c:dLbls>
          <c:dLblPos val="ctr"/>
          <c:showLegendKey val="0"/>
          <c:showVal val="1"/>
          <c:showCatName val="0"/>
          <c:showSerName val="0"/>
          <c:showPercent val="0"/>
          <c:showBubbleSize val="0"/>
        </c:dLbls>
        <c:marker val="1"/>
        <c:smooth val="0"/>
        <c:axId val="464023215"/>
        <c:axId val="1096122095"/>
      </c:lineChart>
      <c:catAx>
        <c:axId val="46402321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JP"/>
          </a:p>
        </c:txPr>
        <c:crossAx val="1096122095"/>
        <c:crosses val="autoZero"/>
        <c:auto val="1"/>
        <c:lblAlgn val="ctr"/>
        <c:lblOffset val="100"/>
        <c:noMultiLvlLbl val="0"/>
      </c:catAx>
      <c:valAx>
        <c:axId val="1096122095"/>
        <c:scaling>
          <c:orientation val="minMax"/>
        </c:scaling>
        <c:delete val="0"/>
        <c:axPos val="l"/>
        <c:numFmt formatCode="[$EUR]\ #,##0"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JP"/>
          </a:p>
        </c:txPr>
        <c:crossAx val="4640232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JP"/>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JP"/>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[sales_cleaned.xlsx]Pivot-Table!PivotTable25</c:name>
    <c:fmtId val="2"/>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latin typeface="Calibri" panose="020F0502020204030204" pitchFamily="34" charset="0"/>
                <a:cs typeface="Calibri" panose="020F0502020204030204" pitchFamily="34" charset="0"/>
              </a:rPr>
              <a:t>Sales</a:t>
            </a:r>
            <a:r>
              <a:rPr lang="en-US" baseline="0">
                <a:latin typeface="Calibri" panose="020F0502020204030204" pitchFamily="34" charset="0"/>
                <a:cs typeface="Calibri" panose="020F0502020204030204" pitchFamily="34" charset="0"/>
              </a:rPr>
              <a:t> by persformance</a:t>
            </a:r>
            <a:endParaRPr lang="en-US">
              <a:latin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JP"/>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circle"/>
          <c:size val="6"/>
          <c:spPr>
            <a:gradFill>
              <a:gsLst>
                <a:gs pos="0">
                  <a:schemeClr val="accent1"/>
                </a:gs>
                <a:gs pos="46000">
                  <a:schemeClr val="accent1"/>
                </a:gs>
                <a:gs pos="100000">
                  <a:schemeClr val="accent1">
                    <a:lumMod val="20000"/>
                    <a:lumOff val="80000"/>
                    <a:alpha val="0"/>
                  </a:schemeClr>
                </a:gs>
              </a:gsLst>
              <a:path path="circle">
                <a:fillToRect l="50000" t="-80000" r="50000" b="180000"/>
              </a:path>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JP"/>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circle"/>
          <c:size val="6"/>
          <c:spPr>
            <a:gradFill>
              <a:gsLst>
                <a:gs pos="0">
                  <a:schemeClr val="accent2"/>
                </a:gs>
                <a:gs pos="46000">
                  <a:schemeClr val="accent2"/>
                </a:gs>
                <a:gs pos="100000">
                  <a:schemeClr val="accent2">
                    <a:lumMod val="20000"/>
                    <a:lumOff val="80000"/>
                    <a:alpha val="0"/>
                  </a:schemeClr>
                </a:gs>
              </a:gsLst>
              <a:path path="circle">
                <a:fillToRect l="50000" t="-80000" r="50000" b="180000"/>
              </a:path>
            </a:gradFill>
            <a:ln w="9525" cap="flat" cmpd="sng" algn="ctr">
              <a:solidFill>
                <a:schemeClr val="accent2">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JP"/>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'Pivot-Table'!$K$3</c:f>
              <c:strCache>
                <c:ptCount val="1"/>
                <c:pt idx="0">
                  <c:v>Sum of Profit</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JP"/>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'Pivot-Table'!$J$4:$J$9</c:f>
              <c:strCache>
                <c:ptCount val="5"/>
                <c:pt idx="0">
                  <c:v>Ali</c:v>
                </c:pt>
                <c:pt idx="1">
                  <c:v>Emma</c:v>
                </c:pt>
                <c:pt idx="2">
                  <c:v>John</c:v>
                </c:pt>
                <c:pt idx="3">
                  <c:v>Sara</c:v>
                </c:pt>
                <c:pt idx="4">
                  <c:v>Zain</c:v>
                </c:pt>
              </c:strCache>
            </c:strRef>
          </c:cat>
          <c:val>
            <c:numRef>
              <c:f>'Pivot-Table'!$K$4:$K$9</c:f>
              <c:numCache>
                <c:formatCode>[$EUR]\ #,##0</c:formatCode>
                <c:ptCount val="5"/>
                <c:pt idx="0">
                  <c:v>37566.969999999987</c:v>
                </c:pt>
                <c:pt idx="1">
                  <c:v>40702.880000000019</c:v>
                </c:pt>
                <c:pt idx="2">
                  <c:v>39777.460000000006</c:v>
                </c:pt>
                <c:pt idx="3">
                  <c:v>45259.679999999993</c:v>
                </c:pt>
                <c:pt idx="4">
                  <c:v>38196.249999999985</c:v>
                </c:pt>
              </c:numCache>
            </c:numRef>
          </c:val>
          <c:extLst>
            <c:ext xmlns:c16="http://schemas.microsoft.com/office/drawing/2014/chart" uri="{C3380CC4-5D6E-409C-BE32-E72D297353CC}">
              <c16:uniqueId val="{00000000-DB47-A748-846E-2D9588A56D33}"/>
            </c:ext>
          </c:extLst>
        </c:ser>
        <c:ser>
          <c:idx val="1"/>
          <c:order val="1"/>
          <c:tx>
            <c:strRef>
              <c:f>'Pivot-Table'!$L$3</c:f>
              <c:strCache>
                <c:ptCount val="1"/>
                <c:pt idx="0">
                  <c:v>Sum of Sales</c:v>
                </c:pt>
              </c:strCache>
            </c:strRef>
          </c:tx>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108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JP"/>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'Pivot-Table'!$J$4:$J$9</c:f>
              <c:strCache>
                <c:ptCount val="5"/>
                <c:pt idx="0">
                  <c:v>Ali</c:v>
                </c:pt>
                <c:pt idx="1">
                  <c:v>Emma</c:v>
                </c:pt>
                <c:pt idx="2">
                  <c:v>John</c:v>
                </c:pt>
                <c:pt idx="3">
                  <c:v>Sara</c:v>
                </c:pt>
                <c:pt idx="4">
                  <c:v>Zain</c:v>
                </c:pt>
              </c:strCache>
            </c:strRef>
          </c:cat>
          <c:val>
            <c:numRef>
              <c:f>'Pivot-Table'!$L$4:$L$9</c:f>
              <c:numCache>
                <c:formatCode>[$EUR]\ #,##0</c:formatCode>
                <c:ptCount val="5"/>
                <c:pt idx="0">
                  <c:v>196370.48999999987</c:v>
                </c:pt>
                <c:pt idx="1">
                  <c:v>217176.56</c:v>
                </c:pt>
                <c:pt idx="2">
                  <c:v>187623.45999999996</c:v>
                </c:pt>
                <c:pt idx="3">
                  <c:v>226021.83999999988</c:v>
                </c:pt>
                <c:pt idx="4">
                  <c:v>212005.5999999998</c:v>
                </c:pt>
              </c:numCache>
            </c:numRef>
          </c:val>
          <c:extLst>
            <c:ext xmlns:c16="http://schemas.microsoft.com/office/drawing/2014/chart" uri="{C3380CC4-5D6E-409C-BE32-E72D297353CC}">
              <c16:uniqueId val="{00000001-DB47-A748-846E-2D9588A56D33}"/>
            </c:ext>
          </c:extLst>
        </c:ser>
        <c:dLbls>
          <c:dLblPos val="inEnd"/>
          <c:showLegendKey val="0"/>
          <c:showVal val="1"/>
          <c:showCatName val="0"/>
          <c:showSerName val="0"/>
          <c:showPercent val="0"/>
          <c:showBubbleSize val="0"/>
        </c:dLbls>
        <c:gapWidth val="326"/>
        <c:overlap val="-58"/>
        <c:axId val="936661631"/>
        <c:axId val="965884143"/>
      </c:barChart>
      <c:catAx>
        <c:axId val="936661631"/>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JP"/>
          </a:p>
        </c:txPr>
        <c:crossAx val="965884143"/>
        <c:crosses val="autoZero"/>
        <c:auto val="1"/>
        <c:lblAlgn val="ctr"/>
        <c:lblOffset val="100"/>
        <c:noMultiLvlLbl val="0"/>
      </c:catAx>
      <c:valAx>
        <c:axId val="965884143"/>
        <c:scaling>
          <c:orientation val="minMax"/>
        </c:scaling>
        <c:delete val="0"/>
        <c:axPos val="b"/>
        <c:majorGridlines>
          <c:spPr>
            <a:ln w="9525" cap="flat" cmpd="sng" algn="ctr">
              <a:gradFill>
                <a:gsLst>
                  <a:gs pos="99000">
                    <a:schemeClr val="tx1">
                      <a:lumMod val="25000"/>
                      <a:lumOff val="75000"/>
                    </a:schemeClr>
                  </a:gs>
                  <a:gs pos="0">
                    <a:schemeClr val="tx1">
                      <a:lumMod val="15000"/>
                      <a:lumOff val="85000"/>
                    </a:schemeClr>
                  </a:gs>
                </a:gsLst>
                <a:lin ang="5400000" scaled="0"/>
              </a:gradFill>
              <a:round/>
            </a:ln>
            <a:effectLst/>
          </c:spPr>
        </c:majorGridlines>
        <c:numFmt formatCode="[$EUR]\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JP"/>
          </a:p>
        </c:txPr>
        <c:crossAx val="9366616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JP"/>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JP"/>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47977</xdr:colOff>
      <xdr:row>10</xdr:row>
      <xdr:rowOff>146755</xdr:rowOff>
    </xdr:from>
    <xdr:to>
      <xdr:col>8</xdr:col>
      <xdr:colOff>35277</xdr:colOff>
      <xdr:row>30</xdr:row>
      <xdr:rowOff>8467</xdr:rowOff>
    </xdr:to>
    <xdr:graphicFrame macro="">
      <xdr:nvGraphicFramePr>
        <xdr:cNvPr id="2" name="Chart 1">
          <a:extLst>
            <a:ext uri="{FF2B5EF4-FFF2-40B4-BE49-F238E27FC236}">
              <a16:creationId xmlns:a16="http://schemas.microsoft.com/office/drawing/2014/main" id="{4314F7E6-21A7-E446-A975-E82D97EF37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658282</xdr:colOff>
      <xdr:row>8</xdr:row>
      <xdr:rowOff>50800</xdr:rowOff>
    </xdr:from>
    <xdr:to>
      <xdr:col>7</xdr:col>
      <xdr:colOff>383115</xdr:colOff>
      <xdr:row>10</xdr:row>
      <xdr:rowOff>158749</xdr:rowOff>
    </xdr:to>
    <mc:AlternateContent xmlns:mc="http://schemas.openxmlformats.org/markup-compatibility/2006">
      <mc:Choice xmlns:a14="http://schemas.microsoft.com/office/drawing/2010/main" Requires="a14">
        <xdr:graphicFrame macro="">
          <xdr:nvGraphicFramePr>
            <xdr:cNvPr id="3" name="Region">
              <a:extLst>
                <a:ext uri="{FF2B5EF4-FFF2-40B4-BE49-F238E27FC236}">
                  <a16:creationId xmlns:a16="http://schemas.microsoft.com/office/drawing/2014/main" id="{9F7F3963-2DF4-986B-0CF8-E8653E40396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658282" y="2082800"/>
              <a:ext cx="4737100" cy="6667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261056</xdr:colOff>
      <xdr:row>10</xdr:row>
      <xdr:rowOff>159454</xdr:rowOff>
    </xdr:from>
    <xdr:to>
      <xdr:col>13</xdr:col>
      <xdr:colOff>88698</xdr:colOff>
      <xdr:row>30</xdr:row>
      <xdr:rowOff>8466</xdr:rowOff>
    </xdr:to>
    <xdr:graphicFrame macro="">
      <xdr:nvGraphicFramePr>
        <xdr:cNvPr id="4" name="Chart 3">
          <a:extLst>
            <a:ext uri="{FF2B5EF4-FFF2-40B4-BE49-F238E27FC236}">
              <a16:creationId xmlns:a16="http://schemas.microsoft.com/office/drawing/2014/main" id="{41C4FE65-48F5-9040-B77D-AFB9904070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9</xdr:col>
      <xdr:colOff>383116</xdr:colOff>
      <xdr:row>8</xdr:row>
      <xdr:rowOff>9173</xdr:rowOff>
    </xdr:from>
    <xdr:to>
      <xdr:col>12</xdr:col>
      <xdr:colOff>2545645</xdr:colOff>
      <xdr:row>10</xdr:row>
      <xdr:rowOff>141113</xdr:rowOff>
    </xdr:to>
    <mc:AlternateContent xmlns:mc="http://schemas.openxmlformats.org/markup-compatibility/2006">
      <mc:Choice xmlns:a14="http://schemas.microsoft.com/office/drawing/2010/main" Requires="a14">
        <xdr:graphicFrame macro="">
          <xdr:nvGraphicFramePr>
            <xdr:cNvPr id="5" name="Category">
              <a:extLst>
                <a:ext uri="{FF2B5EF4-FFF2-40B4-BE49-F238E27FC236}">
                  <a16:creationId xmlns:a16="http://schemas.microsoft.com/office/drawing/2014/main" id="{BB421A15-BF38-A417-C5CE-057BECD81986}"/>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7562849" y="2041173"/>
              <a:ext cx="4634796" cy="6907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34</xdr:row>
      <xdr:rowOff>300364</xdr:rowOff>
    </xdr:from>
    <xdr:to>
      <xdr:col>8</xdr:col>
      <xdr:colOff>0</xdr:colOff>
      <xdr:row>51</xdr:row>
      <xdr:rowOff>125890</xdr:rowOff>
    </xdr:to>
    <xdr:graphicFrame macro="">
      <xdr:nvGraphicFramePr>
        <xdr:cNvPr id="6" name="Chart 5">
          <a:extLst>
            <a:ext uri="{FF2B5EF4-FFF2-40B4-BE49-F238E27FC236}">
              <a16:creationId xmlns:a16="http://schemas.microsoft.com/office/drawing/2014/main" id="{01F85325-44E6-9A41-A163-E96991EF18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239887</xdr:colOff>
      <xdr:row>34</xdr:row>
      <xdr:rowOff>329495</xdr:rowOff>
    </xdr:from>
    <xdr:to>
      <xdr:col>13</xdr:col>
      <xdr:colOff>106840</xdr:colOff>
      <xdr:row>51</xdr:row>
      <xdr:rowOff>152401</xdr:rowOff>
    </xdr:to>
    <xdr:graphicFrame macro="">
      <xdr:nvGraphicFramePr>
        <xdr:cNvPr id="8" name="Chart 7">
          <a:extLst>
            <a:ext uri="{FF2B5EF4-FFF2-40B4-BE49-F238E27FC236}">
              <a16:creationId xmlns:a16="http://schemas.microsoft.com/office/drawing/2014/main" id="{49ADAF17-0C54-554F-BBFA-625A991714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9</xdr:col>
      <xdr:colOff>141816</xdr:colOff>
      <xdr:row>32</xdr:row>
      <xdr:rowOff>9879</xdr:rowOff>
    </xdr:from>
    <xdr:to>
      <xdr:col>12</xdr:col>
      <xdr:colOff>2734028</xdr:colOff>
      <xdr:row>34</xdr:row>
      <xdr:rowOff>317500</xdr:rowOff>
    </xdr:to>
    <mc:AlternateContent xmlns:mc="http://schemas.openxmlformats.org/markup-compatibility/2006">
      <mc:Choice xmlns:a14="http://schemas.microsoft.com/office/drawing/2010/main" Requires="a14">
        <xdr:graphicFrame macro="">
          <xdr:nvGraphicFramePr>
            <xdr:cNvPr id="9" name="Salesperson">
              <a:extLst>
                <a:ext uri="{FF2B5EF4-FFF2-40B4-BE49-F238E27FC236}">
                  <a16:creationId xmlns:a16="http://schemas.microsoft.com/office/drawing/2014/main" id="{F0E07A0E-3ABE-9BF8-1B55-434825A0823D}"/>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dr:sp macro="" textlink="">
          <xdr:nvSpPr>
            <xdr:cNvPr id="0" name=""/>
            <xdr:cNvSpPr>
              <a:spLocks noTextEdit="1"/>
            </xdr:cNvSpPr>
          </xdr:nvSpPr>
          <xdr:spPr>
            <a:xfrm>
              <a:off x="7321549" y="6698546"/>
              <a:ext cx="5064479" cy="68015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13</xdr:col>
      <xdr:colOff>370418</xdr:colOff>
      <xdr:row>18</xdr:row>
      <xdr:rowOff>178505</xdr:rowOff>
    </xdr:from>
    <xdr:ext cx="5168194" cy="4674305"/>
    <xdr:sp macro="" textlink="">
      <xdr:nvSpPr>
        <xdr:cNvPr id="10" name="TextBox 9">
          <a:extLst>
            <a:ext uri="{FF2B5EF4-FFF2-40B4-BE49-F238E27FC236}">
              <a16:creationId xmlns:a16="http://schemas.microsoft.com/office/drawing/2014/main" id="{AA13F09C-AFE7-35BC-CB05-6B77E705B22A}"/>
            </a:ext>
          </a:extLst>
        </xdr:cNvPr>
        <xdr:cNvSpPr txBox="1"/>
      </xdr:nvSpPr>
      <xdr:spPr>
        <a:xfrm>
          <a:off x="13324418" y="4259438"/>
          <a:ext cx="5168194" cy="4674305"/>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2400" b="1">
              <a:solidFill>
                <a:schemeClr val="tx1"/>
              </a:solidFill>
              <a:latin typeface="Calibri" panose="020F0502020204030204" pitchFamily="34" charset="0"/>
              <a:cs typeface="Calibri" panose="020F0502020204030204" pitchFamily="34" charset="0"/>
            </a:rPr>
            <a:t>Key Insights</a:t>
          </a:r>
        </a:p>
        <a:p>
          <a:pPr algn="l"/>
          <a:endParaRPr lang="en-US" sz="2400" b="1">
            <a:solidFill>
              <a:schemeClr val="tx1"/>
            </a:solidFill>
            <a:latin typeface="Calibri" panose="020F0502020204030204" pitchFamily="34" charset="0"/>
            <a:cs typeface="Calibri" panose="020F0502020204030204" pitchFamily="34" charset="0"/>
          </a:endParaRPr>
        </a:p>
        <a:p>
          <a:pPr algn="l"/>
          <a:r>
            <a:rPr lang="en-US" sz="1600">
              <a:solidFill>
                <a:schemeClr val="tx1"/>
              </a:solidFill>
            </a:rPr>
            <a:t>• North region is the top-performing region in terms of total sales, indicating strong market presence.</a:t>
          </a:r>
        </a:p>
        <a:p>
          <a:pPr algn="l"/>
          <a:endParaRPr lang="en-US" sz="1600">
            <a:solidFill>
              <a:schemeClr val="tx1"/>
            </a:solidFill>
          </a:endParaRPr>
        </a:p>
        <a:p>
          <a:pPr algn="l"/>
          <a:r>
            <a:rPr lang="en-US" sz="1600">
              <a:solidFill>
                <a:schemeClr val="tx1"/>
              </a:solidFill>
            </a:rPr>
            <a:t>• Technology category contributes the highest share of total profit, making it the most profitable segment.</a:t>
          </a:r>
        </a:p>
        <a:p>
          <a:pPr algn="l"/>
          <a:endParaRPr lang="en-US" sz="1600">
            <a:solidFill>
              <a:schemeClr val="tx1"/>
            </a:solidFill>
          </a:endParaRPr>
        </a:p>
        <a:p>
          <a:pPr algn="l"/>
          <a:r>
            <a:rPr lang="en-US" sz="1600">
              <a:solidFill>
                <a:schemeClr val="tx1"/>
              </a:solidFill>
            </a:rPr>
            <a:t>• Sales trend shows fluctuations throughout the year, with peak performance observed in mid-year months.</a:t>
          </a:r>
        </a:p>
        <a:p>
          <a:pPr algn="l"/>
          <a:endParaRPr lang="en-US" sz="1600">
            <a:solidFill>
              <a:schemeClr val="tx1"/>
            </a:solidFill>
          </a:endParaRPr>
        </a:p>
        <a:p>
          <a:pPr algn="l"/>
          <a:r>
            <a:rPr lang="en-US" sz="1600">
              <a:solidFill>
                <a:schemeClr val="tx1"/>
              </a:solidFill>
            </a:rPr>
            <a:t>• Certain months reflect lower sales performance, suggesting possible seasonal demand patterns.</a:t>
          </a:r>
        </a:p>
        <a:p>
          <a:pPr algn="l"/>
          <a:endParaRPr lang="en-US" sz="1600">
            <a:solidFill>
              <a:schemeClr val="tx1"/>
            </a:solidFill>
          </a:endParaRPr>
        </a:p>
        <a:p>
          <a:pPr algn="l"/>
          <a:r>
            <a:rPr lang="en-US" sz="1600">
              <a:solidFill>
                <a:schemeClr val="tx1"/>
              </a:solidFill>
            </a:rPr>
            <a:t>• Sales performance varies significantly across salespersons, highlighting opportunities for targeted performance improvement strategies.</a:t>
          </a:r>
        </a:p>
        <a:p>
          <a:pPr algn="l"/>
          <a:endParaRPr lang="en-US" sz="1100">
            <a:solidFill>
              <a:schemeClr val="bg1"/>
            </a:solidFill>
          </a:endParaRP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BA ZAFAR" refreshedDate="46109.548745717591" createdVersion="8" refreshedVersion="8" minRefreshableVersion="3" recordCount="2000" xr:uid="{A02D35B1-785C-964A-BF70-A07A0BEC4EA8}">
  <cacheSource type="worksheet">
    <worksheetSource name="SalesTable"/>
  </cacheSource>
  <cacheFields count="12">
    <cacheField name="Order_ID" numFmtId="0">
      <sharedItems containsSemiMixedTypes="0" containsString="0" containsNumber="1" containsInteger="1" minValue="10001" maxValue="12000"/>
    </cacheField>
    <cacheField name="Order_Date" numFmtId="14">
      <sharedItems containsSemiMixedTypes="0" containsNonDate="0" containsDate="1" containsString="0" minDate="2022-01-01T00:00:00" maxDate="2027-06-24T00:00:00"/>
    </cacheField>
    <cacheField name="Region" numFmtId="0">
      <sharedItems count="4">
        <s v="East"/>
        <s v="West"/>
        <s v="North"/>
        <s v="South"/>
      </sharedItems>
    </cacheField>
    <cacheField name="Category" numFmtId="0">
      <sharedItems count="3">
        <s v="Office Supplies"/>
        <s v="Furniture"/>
        <s v="Technology"/>
      </sharedItems>
    </cacheField>
    <cacheField name="Sub_Category" numFmtId="0">
      <sharedItems/>
    </cacheField>
    <cacheField name="Salesperson" numFmtId="0">
      <sharedItems count="5">
        <s v="John"/>
        <s v="Ali"/>
        <s v="Sara"/>
        <s v="Zain"/>
        <s v="Emma"/>
      </sharedItems>
    </cacheField>
    <cacheField name="Sales" numFmtId="167">
      <sharedItems containsSemiMixedTypes="0" containsString="0" containsNumber="1" minValue="50.23" maxValue="999.49"/>
    </cacheField>
    <cacheField name="Quantity" numFmtId="0">
      <sharedItems containsSemiMixedTypes="0" containsString="0" containsNumber="1" containsInteger="1" minValue="1" maxValue="9"/>
    </cacheField>
    <cacheField name="Month" numFmtId="0">
      <sharedItems count="12">
        <s v="Jan"/>
        <s v="Feb"/>
        <s v="Mar"/>
        <s v="Apr"/>
        <s v="May"/>
        <s v="Jun"/>
        <s v="Jul"/>
        <s v="Aug"/>
        <s v="Sep"/>
        <s v="Oct"/>
        <s v="Nov"/>
        <s v="Dec"/>
      </sharedItems>
    </cacheField>
    <cacheField name="Year" numFmtId="0">
      <sharedItems containsSemiMixedTypes="0" containsString="0" containsNumber="1" containsInteger="1" minValue="2022" maxValue="2027"/>
    </cacheField>
    <cacheField name="Profit" numFmtId="167">
      <sharedItems containsSemiMixedTypes="0" containsString="0" containsNumber="1" minValue="-99.9" maxValue="299.87"/>
    </cacheField>
    <cacheField name="Profit Margin" numFmtId="9">
      <sharedItems containsSemiMixedTypes="0" containsString="0" containsNumber="1" minValue="-1.6671298134180228" maxValue="4.8272510231923604"/>
    </cacheField>
  </cacheFields>
  <extLst>
    <ext xmlns:x14="http://schemas.microsoft.com/office/spreadsheetml/2009/9/main" uri="{725AE2AE-9491-48be-B2B4-4EB974FC3084}">
      <x14:pivotCacheDefinition pivotCacheId="47907193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n v="10001"/>
    <d v="2022-01-01T00:00:00"/>
    <x v="0"/>
    <x v="0"/>
    <s v="Chairs"/>
    <x v="0"/>
    <n v="843.23"/>
    <n v="5"/>
    <x v="0"/>
    <n v="2022"/>
    <n v="50.38"/>
    <n v="5.9746451146187873E-2"/>
  </r>
  <r>
    <n v="10002"/>
    <d v="2022-01-02T00:00:00"/>
    <x v="1"/>
    <x v="1"/>
    <s v="Chairs"/>
    <x v="1"/>
    <n v="724.83"/>
    <n v="9"/>
    <x v="0"/>
    <n v="2022"/>
    <n v="113.95"/>
    <n v="0.15720927665797496"/>
  </r>
  <r>
    <n v="10003"/>
    <d v="2022-01-03T00:00:00"/>
    <x v="2"/>
    <x v="0"/>
    <s v="Binders"/>
    <x v="0"/>
    <n v="156.88"/>
    <n v="1"/>
    <x v="0"/>
    <n v="2022"/>
    <n v="250.64"/>
    <n v="1.5976542580316164"/>
  </r>
  <r>
    <n v="10004"/>
    <d v="2022-01-04T00:00:00"/>
    <x v="0"/>
    <x v="0"/>
    <s v="Binders"/>
    <x v="2"/>
    <n v="749.12"/>
    <n v="4"/>
    <x v="0"/>
    <n v="2022"/>
    <n v="264.99"/>
    <n v="0.35373504912430587"/>
  </r>
  <r>
    <n v="10005"/>
    <d v="2022-01-05T00:00:00"/>
    <x v="0"/>
    <x v="2"/>
    <s v="Accessories"/>
    <x v="0"/>
    <n v="311.33999999999997"/>
    <n v="6"/>
    <x v="0"/>
    <n v="2022"/>
    <n v="6.39"/>
    <n v="2.0524185777606476E-2"/>
  </r>
  <r>
    <n v="10006"/>
    <d v="2022-01-06T00:00:00"/>
    <x v="1"/>
    <x v="2"/>
    <s v="Chairs"/>
    <x v="3"/>
    <n v="657.15"/>
    <n v="8"/>
    <x v="0"/>
    <n v="2022"/>
    <n v="84.86"/>
    <n v="0.12913337898501104"/>
  </r>
  <r>
    <n v="10007"/>
    <d v="2022-01-07T00:00:00"/>
    <x v="2"/>
    <x v="0"/>
    <s v="Chairs"/>
    <x v="0"/>
    <n v="373.91"/>
    <n v="3"/>
    <x v="0"/>
    <n v="2022"/>
    <n v="119.66"/>
    <n v="0.32002353507528547"/>
  </r>
  <r>
    <n v="10008"/>
    <d v="2022-01-08T00:00:00"/>
    <x v="2"/>
    <x v="2"/>
    <s v="Binders"/>
    <x v="2"/>
    <n v="997.79"/>
    <n v="5"/>
    <x v="0"/>
    <n v="2022"/>
    <n v="279.64"/>
    <n v="0.28025937321480471"/>
  </r>
  <r>
    <n v="10009"/>
    <d v="2022-01-09T00:00:00"/>
    <x v="0"/>
    <x v="1"/>
    <s v="Phones"/>
    <x v="1"/>
    <n v="300.37"/>
    <n v="7"/>
    <x v="0"/>
    <n v="2022"/>
    <n v="299.45"/>
    <n v="0.9969371108965609"/>
  </r>
  <r>
    <n v="10010"/>
    <d v="2022-01-10T00:00:00"/>
    <x v="3"/>
    <x v="1"/>
    <s v="Phones"/>
    <x v="4"/>
    <n v="315.17"/>
    <n v="1"/>
    <x v="0"/>
    <n v="2022"/>
    <n v="-5.84"/>
    <n v="-1.8529682393628833E-2"/>
  </r>
  <r>
    <n v="10011"/>
    <d v="2022-01-11T00:00:00"/>
    <x v="0"/>
    <x v="2"/>
    <s v="Tables"/>
    <x v="0"/>
    <n v="934.14"/>
    <n v="7"/>
    <x v="0"/>
    <n v="2022"/>
    <n v="190.79"/>
    <n v="0.20424133427537627"/>
  </r>
  <r>
    <n v="10012"/>
    <d v="2022-01-12T00:00:00"/>
    <x v="0"/>
    <x v="1"/>
    <s v="Binders"/>
    <x v="2"/>
    <n v="73.41"/>
    <n v="8"/>
    <x v="0"/>
    <n v="2022"/>
    <n v="51.21"/>
    <n v="0.69758888434818145"/>
  </r>
  <r>
    <n v="10013"/>
    <d v="2022-01-13T00:00:00"/>
    <x v="0"/>
    <x v="2"/>
    <s v="Tables"/>
    <x v="4"/>
    <n v="711.85"/>
    <n v="8"/>
    <x v="0"/>
    <n v="2022"/>
    <n v="-96.76"/>
    <n v="-0.13592751281871182"/>
  </r>
  <r>
    <n v="10014"/>
    <d v="2022-01-14T00:00:00"/>
    <x v="0"/>
    <x v="0"/>
    <s v="Binders"/>
    <x v="4"/>
    <n v="739.06"/>
    <n v="9"/>
    <x v="0"/>
    <n v="2022"/>
    <n v="-96.3"/>
    <n v="-0.13030065217979597"/>
  </r>
  <r>
    <n v="10015"/>
    <d v="2022-01-15T00:00:00"/>
    <x v="1"/>
    <x v="0"/>
    <s v="Accessories"/>
    <x v="3"/>
    <n v="844.56"/>
    <n v="6"/>
    <x v="0"/>
    <n v="2022"/>
    <n v="84.23"/>
    <n v="9.9732405039310426E-2"/>
  </r>
  <r>
    <n v="10016"/>
    <d v="2022-01-16T00:00:00"/>
    <x v="2"/>
    <x v="1"/>
    <s v="Chairs"/>
    <x v="4"/>
    <n v="975.72"/>
    <n v="6"/>
    <x v="0"/>
    <n v="2022"/>
    <n v="95.33"/>
    <n v="9.7702209650309513E-2"/>
  </r>
  <r>
    <n v="10017"/>
    <d v="2022-01-17T00:00:00"/>
    <x v="1"/>
    <x v="2"/>
    <s v="Accessories"/>
    <x v="2"/>
    <n v="976.82"/>
    <n v="2"/>
    <x v="0"/>
    <n v="2022"/>
    <n v="-90.97"/>
    <n v="-9.3128723818103637E-2"/>
  </r>
  <r>
    <n v="10018"/>
    <d v="2022-01-18T00:00:00"/>
    <x v="1"/>
    <x v="2"/>
    <s v="Binders"/>
    <x v="2"/>
    <n v="112.01"/>
    <n v="3"/>
    <x v="0"/>
    <n v="2022"/>
    <n v="174.77"/>
    <n v="1.5603071154361219"/>
  </r>
  <r>
    <n v="10019"/>
    <d v="2022-01-19T00:00:00"/>
    <x v="1"/>
    <x v="1"/>
    <s v="Chairs"/>
    <x v="0"/>
    <n v="830.75"/>
    <n v="4"/>
    <x v="0"/>
    <n v="2022"/>
    <n v="17.600000000000001"/>
    <n v="2.1185675594342462E-2"/>
  </r>
  <r>
    <n v="10020"/>
    <d v="2022-01-20T00:00:00"/>
    <x v="0"/>
    <x v="0"/>
    <s v="Phones"/>
    <x v="0"/>
    <n v="663.99"/>
    <n v="4"/>
    <x v="0"/>
    <n v="2022"/>
    <n v="123.96"/>
    <n v="0.1866895585776894"/>
  </r>
  <r>
    <n v="10021"/>
    <d v="2022-01-21T00:00:00"/>
    <x v="3"/>
    <x v="1"/>
    <s v="Phones"/>
    <x v="0"/>
    <n v="664.98"/>
    <n v="8"/>
    <x v="0"/>
    <n v="2022"/>
    <n v="20.37"/>
    <n v="3.0632500225570694E-2"/>
  </r>
  <r>
    <n v="10022"/>
    <d v="2022-01-22T00:00:00"/>
    <x v="2"/>
    <x v="0"/>
    <s v="Tables"/>
    <x v="4"/>
    <n v="171.93"/>
    <n v="1"/>
    <x v="0"/>
    <n v="2022"/>
    <n v="-33.15"/>
    <n v="-0.19281102774384923"/>
  </r>
  <r>
    <n v="10023"/>
    <d v="2022-01-23T00:00:00"/>
    <x v="3"/>
    <x v="2"/>
    <s v="Binders"/>
    <x v="4"/>
    <n v="667.68"/>
    <n v="4"/>
    <x v="0"/>
    <n v="2022"/>
    <n v="62.87"/>
    <n v="9.4161873951593575E-2"/>
  </r>
  <r>
    <n v="10024"/>
    <d v="2022-01-24T00:00:00"/>
    <x v="1"/>
    <x v="0"/>
    <s v="Binders"/>
    <x v="3"/>
    <n v="983.36"/>
    <n v="4"/>
    <x v="0"/>
    <n v="2022"/>
    <n v="-7.09"/>
    <n v="-7.2099739668076797E-3"/>
  </r>
  <r>
    <n v="10025"/>
    <d v="2022-01-25T00:00:00"/>
    <x v="1"/>
    <x v="1"/>
    <s v="Phones"/>
    <x v="0"/>
    <n v="916.23"/>
    <n v="1"/>
    <x v="0"/>
    <n v="2022"/>
    <n v="113.92"/>
    <n v="0.1243355925913799"/>
  </r>
  <r>
    <n v="10026"/>
    <d v="2022-01-26T00:00:00"/>
    <x v="3"/>
    <x v="2"/>
    <s v="Accessories"/>
    <x v="1"/>
    <n v="467.17"/>
    <n v="3"/>
    <x v="0"/>
    <n v="2022"/>
    <n v="-20.47"/>
    <n v="-4.3817025922041224E-2"/>
  </r>
  <r>
    <n v="10027"/>
    <d v="2022-01-27T00:00:00"/>
    <x v="3"/>
    <x v="1"/>
    <s v="Chairs"/>
    <x v="3"/>
    <n v="87.95"/>
    <n v="5"/>
    <x v="0"/>
    <n v="2022"/>
    <n v="103.36"/>
    <n v="1.1752131893121092"/>
  </r>
  <r>
    <n v="10028"/>
    <d v="2022-01-28T00:00:00"/>
    <x v="3"/>
    <x v="1"/>
    <s v="Accessories"/>
    <x v="1"/>
    <n v="394.18"/>
    <n v="6"/>
    <x v="0"/>
    <n v="2022"/>
    <n v="-37.049999999999997"/>
    <n v="-9.3992592216753754E-2"/>
  </r>
  <r>
    <n v="10029"/>
    <d v="2022-01-29T00:00:00"/>
    <x v="1"/>
    <x v="0"/>
    <s v="Accessories"/>
    <x v="4"/>
    <n v="835.07"/>
    <n v="9"/>
    <x v="0"/>
    <n v="2022"/>
    <n v="168.39"/>
    <n v="0.20164776605554022"/>
  </r>
  <r>
    <n v="10030"/>
    <d v="2022-01-30T00:00:00"/>
    <x v="1"/>
    <x v="1"/>
    <s v="Phones"/>
    <x v="3"/>
    <n v="716.42"/>
    <n v="9"/>
    <x v="0"/>
    <n v="2022"/>
    <n v="201.58"/>
    <n v="0.28137126266715057"/>
  </r>
  <r>
    <n v="10031"/>
    <d v="2022-01-31T00:00:00"/>
    <x v="2"/>
    <x v="0"/>
    <s v="Phones"/>
    <x v="3"/>
    <n v="486.38"/>
    <n v="9"/>
    <x v="0"/>
    <n v="2022"/>
    <n v="-55.84"/>
    <n v="-0.1148073522759982"/>
  </r>
  <r>
    <n v="10032"/>
    <d v="2022-02-01T00:00:00"/>
    <x v="2"/>
    <x v="2"/>
    <s v="Phones"/>
    <x v="2"/>
    <n v="102.35"/>
    <n v="1"/>
    <x v="1"/>
    <n v="2022"/>
    <n v="87.12"/>
    <n v="0.8511968734733758"/>
  </r>
  <r>
    <n v="10033"/>
    <d v="2022-02-02T00:00:00"/>
    <x v="1"/>
    <x v="0"/>
    <s v="Tables"/>
    <x v="4"/>
    <n v="455.55"/>
    <n v="9"/>
    <x v="1"/>
    <n v="2022"/>
    <n v="-71.650000000000006"/>
    <n v="-0.15728240588299858"/>
  </r>
  <r>
    <n v="10034"/>
    <d v="2022-02-03T00:00:00"/>
    <x v="3"/>
    <x v="2"/>
    <s v="Accessories"/>
    <x v="4"/>
    <n v="495.57"/>
    <n v="8"/>
    <x v="1"/>
    <n v="2022"/>
    <n v="139.27000000000001"/>
    <n v="0.28102992513671127"/>
  </r>
  <r>
    <n v="10035"/>
    <d v="2022-02-04T00:00:00"/>
    <x v="3"/>
    <x v="0"/>
    <s v="Binders"/>
    <x v="3"/>
    <n v="932.13"/>
    <n v="2"/>
    <x v="1"/>
    <n v="2022"/>
    <n v="5.76"/>
    <n v="6.179395577870039E-3"/>
  </r>
  <r>
    <n v="10036"/>
    <d v="2022-02-05T00:00:00"/>
    <x v="2"/>
    <x v="1"/>
    <s v="Chairs"/>
    <x v="4"/>
    <n v="659.03"/>
    <n v="1"/>
    <x v="1"/>
    <n v="2022"/>
    <n v="111.05"/>
    <n v="0.16850522737963369"/>
  </r>
  <r>
    <n v="10037"/>
    <d v="2022-02-06T00:00:00"/>
    <x v="1"/>
    <x v="0"/>
    <s v="Tables"/>
    <x v="3"/>
    <n v="346.07"/>
    <n v="1"/>
    <x v="1"/>
    <n v="2022"/>
    <n v="106.98"/>
    <n v="0.30912821105556682"/>
  </r>
  <r>
    <n v="10038"/>
    <d v="2022-02-07T00:00:00"/>
    <x v="2"/>
    <x v="0"/>
    <s v="Binders"/>
    <x v="2"/>
    <n v="549.04999999999995"/>
    <n v="6"/>
    <x v="1"/>
    <n v="2022"/>
    <n v="269.74"/>
    <n v="0.49128494672616341"/>
  </r>
  <r>
    <n v="10039"/>
    <d v="2022-02-08T00:00:00"/>
    <x v="2"/>
    <x v="2"/>
    <s v="Accessories"/>
    <x v="3"/>
    <n v="112.75"/>
    <n v="9"/>
    <x v="1"/>
    <n v="2022"/>
    <n v="119.63"/>
    <n v="1.061019955654102"/>
  </r>
  <r>
    <n v="10040"/>
    <d v="2022-02-09T00:00:00"/>
    <x v="0"/>
    <x v="1"/>
    <s v="Phones"/>
    <x v="4"/>
    <n v="973.94"/>
    <n v="7"/>
    <x v="1"/>
    <n v="2022"/>
    <n v="133.19999999999999"/>
    <n v="0.13676407170872948"/>
  </r>
  <r>
    <n v="10041"/>
    <d v="2022-02-10T00:00:00"/>
    <x v="0"/>
    <x v="0"/>
    <s v="Accessories"/>
    <x v="4"/>
    <n v="392.06"/>
    <n v="5"/>
    <x v="1"/>
    <n v="2022"/>
    <n v="60.66"/>
    <n v="0.15472121614038667"/>
  </r>
  <r>
    <n v="10042"/>
    <d v="2022-02-11T00:00:00"/>
    <x v="0"/>
    <x v="1"/>
    <s v="Chairs"/>
    <x v="3"/>
    <n v="503.97"/>
    <n v="2"/>
    <x v="1"/>
    <n v="2022"/>
    <n v="279.63"/>
    <n v="0.55485445562235847"/>
  </r>
  <r>
    <n v="10043"/>
    <d v="2022-02-12T00:00:00"/>
    <x v="3"/>
    <x v="0"/>
    <s v="Tables"/>
    <x v="3"/>
    <n v="387.52"/>
    <n v="1"/>
    <x v="1"/>
    <n v="2022"/>
    <n v="210.87"/>
    <n v="0.54415255986787781"/>
  </r>
  <r>
    <n v="10044"/>
    <d v="2022-02-13T00:00:00"/>
    <x v="1"/>
    <x v="0"/>
    <s v="Tables"/>
    <x v="3"/>
    <n v="698.39"/>
    <n v="2"/>
    <x v="1"/>
    <n v="2022"/>
    <n v="14.16"/>
    <n v="2.0275204398688414E-2"/>
  </r>
  <r>
    <n v="10045"/>
    <d v="2022-02-14T00:00:00"/>
    <x v="1"/>
    <x v="1"/>
    <s v="Chairs"/>
    <x v="0"/>
    <n v="679.12"/>
    <n v="1"/>
    <x v="1"/>
    <n v="2022"/>
    <n v="237.68"/>
    <n v="0.3499823300742137"/>
  </r>
  <r>
    <n v="10046"/>
    <d v="2022-02-15T00:00:00"/>
    <x v="1"/>
    <x v="0"/>
    <s v="Binders"/>
    <x v="4"/>
    <n v="729.56"/>
    <n v="3"/>
    <x v="1"/>
    <n v="2022"/>
    <n v="72.959999999999994"/>
    <n v="0.10000548275673009"/>
  </r>
  <r>
    <n v="10047"/>
    <d v="2022-02-16T00:00:00"/>
    <x v="1"/>
    <x v="1"/>
    <s v="Binders"/>
    <x v="4"/>
    <n v="304.74"/>
    <n v="6"/>
    <x v="1"/>
    <n v="2022"/>
    <n v="231.47"/>
    <n v="0.75956553127256021"/>
  </r>
  <r>
    <n v="10048"/>
    <d v="2022-02-17T00:00:00"/>
    <x v="0"/>
    <x v="0"/>
    <s v="Tables"/>
    <x v="0"/>
    <n v="349.89"/>
    <n v="8"/>
    <x v="1"/>
    <n v="2022"/>
    <n v="229.16"/>
    <n v="0.65494869816227963"/>
  </r>
  <r>
    <n v="10049"/>
    <d v="2022-02-18T00:00:00"/>
    <x v="3"/>
    <x v="2"/>
    <s v="Tables"/>
    <x v="3"/>
    <n v="168.99"/>
    <n v="3"/>
    <x v="1"/>
    <n v="2022"/>
    <n v="-24.45"/>
    <n v="-0.14468311734422154"/>
  </r>
  <r>
    <n v="10050"/>
    <d v="2022-02-19T00:00:00"/>
    <x v="3"/>
    <x v="1"/>
    <s v="Phones"/>
    <x v="2"/>
    <n v="672.73"/>
    <n v="9"/>
    <x v="1"/>
    <n v="2022"/>
    <n v="180.46"/>
    <n v="0.26825026385028167"/>
  </r>
  <r>
    <n v="10051"/>
    <d v="2022-02-20T00:00:00"/>
    <x v="0"/>
    <x v="0"/>
    <s v="Binders"/>
    <x v="3"/>
    <n v="87.81"/>
    <n v="5"/>
    <x v="1"/>
    <n v="2022"/>
    <n v="16.260000000000002"/>
    <n v="0.18517253160232322"/>
  </r>
  <r>
    <n v="10052"/>
    <d v="2022-02-21T00:00:00"/>
    <x v="3"/>
    <x v="0"/>
    <s v="Chairs"/>
    <x v="3"/>
    <n v="617.79999999999995"/>
    <n v="7"/>
    <x v="1"/>
    <n v="2022"/>
    <n v="19"/>
    <n v="3.0754289414049858E-2"/>
  </r>
  <r>
    <n v="10053"/>
    <d v="2022-02-22T00:00:00"/>
    <x v="0"/>
    <x v="2"/>
    <s v="Binders"/>
    <x v="0"/>
    <n v="876.21"/>
    <n v="8"/>
    <x v="1"/>
    <n v="2022"/>
    <n v="18.54"/>
    <n v="2.1159311124045604E-2"/>
  </r>
  <r>
    <n v="10054"/>
    <d v="2022-02-23T00:00:00"/>
    <x v="1"/>
    <x v="1"/>
    <s v="Phones"/>
    <x v="4"/>
    <n v="896.29"/>
    <n v="3"/>
    <x v="1"/>
    <n v="2022"/>
    <n v="190.23"/>
    <n v="0.21224157359783105"/>
  </r>
  <r>
    <n v="10055"/>
    <d v="2022-02-24T00:00:00"/>
    <x v="0"/>
    <x v="0"/>
    <s v="Tables"/>
    <x v="3"/>
    <n v="476.59"/>
    <n v="2"/>
    <x v="1"/>
    <n v="2022"/>
    <n v="-8.07"/>
    <n v="-1.6932793386348854E-2"/>
  </r>
  <r>
    <n v="10056"/>
    <d v="2022-02-25T00:00:00"/>
    <x v="1"/>
    <x v="2"/>
    <s v="Tables"/>
    <x v="4"/>
    <n v="486.34"/>
    <n v="2"/>
    <x v="1"/>
    <n v="2022"/>
    <n v="-99.64"/>
    <n v="-0.20487724637085167"/>
  </r>
  <r>
    <n v="10057"/>
    <d v="2022-02-26T00:00:00"/>
    <x v="1"/>
    <x v="0"/>
    <s v="Phones"/>
    <x v="1"/>
    <n v="123.12"/>
    <n v="5"/>
    <x v="1"/>
    <n v="2022"/>
    <n v="186.09"/>
    <n v="1.5114522417153995"/>
  </r>
  <r>
    <n v="10058"/>
    <d v="2022-02-27T00:00:00"/>
    <x v="2"/>
    <x v="1"/>
    <s v="Chairs"/>
    <x v="4"/>
    <n v="687.23"/>
    <n v="1"/>
    <x v="1"/>
    <n v="2022"/>
    <n v="-31.53"/>
    <n v="-4.5879836444858345E-2"/>
  </r>
  <r>
    <n v="10059"/>
    <d v="2022-02-28T00:00:00"/>
    <x v="0"/>
    <x v="0"/>
    <s v="Tables"/>
    <x v="2"/>
    <n v="830.2"/>
    <n v="2"/>
    <x v="1"/>
    <n v="2022"/>
    <n v="-58.21"/>
    <n v="-7.0115634786798359E-2"/>
  </r>
  <r>
    <n v="10060"/>
    <d v="2022-03-01T00:00:00"/>
    <x v="2"/>
    <x v="0"/>
    <s v="Accessories"/>
    <x v="2"/>
    <n v="282.42"/>
    <n v="9"/>
    <x v="2"/>
    <n v="2022"/>
    <n v="-4.99"/>
    <n v="-1.7668720345584591E-2"/>
  </r>
  <r>
    <n v="10061"/>
    <d v="2022-03-02T00:00:00"/>
    <x v="0"/>
    <x v="0"/>
    <s v="Tables"/>
    <x v="3"/>
    <n v="450.24"/>
    <n v="7"/>
    <x v="2"/>
    <n v="2022"/>
    <n v="51.96"/>
    <n v="0.11540511727078891"/>
  </r>
  <r>
    <n v="10062"/>
    <d v="2022-03-03T00:00:00"/>
    <x v="0"/>
    <x v="0"/>
    <s v="Accessories"/>
    <x v="4"/>
    <n v="846.9"/>
    <n v="6"/>
    <x v="2"/>
    <n v="2022"/>
    <n v="90.36"/>
    <n v="0.10669500531349628"/>
  </r>
  <r>
    <n v="10063"/>
    <d v="2022-03-04T00:00:00"/>
    <x v="2"/>
    <x v="2"/>
    <s v="Phones"/>
    <x v="3"/>
    <n v="883.26"/>
    <n v="9"/>
    <x v="2"/>
    <n v="2022"/>
    <n v="-82.17"/>
    <n v="-9.3030364785001027E-2"/>
  </r>
  <r>
    <n v="10064"/>
    <d v="2022-03-05T00:00:00"/>
    <x v="2"/>
    <x v="2"/>
    <s v="Phones"/>
    <x v="0"/>
    <n v="281.02"/>
    <n v="7"/>
    <x v="2"/>
    <n v="2022"/>
    <n v="288.23"/>
    <n v="1.0256565369012882"/>
  </r>
  <r>
    <n v="10065"/>
    <d v="2022-03-06T00:00:00"/>
    <x v="0"/>
    <x v="1"/>
    <s v="Tables"/>
    <x v="2"/>
    <n v="573.04"/>
    <n v="5"/>
    <x v="2"/>
    <n v="2022"/>
    <n v="186.43"/>
    <n v="0.32533505514449257"/>
  </r>
  <r>
    <n v="10066"/>
    <d v="2022-03-07T00:00:00"/>
    <x v="3"/>
    <x v="2"/>
    <s v="Binders"/>
    <x v="3"/>
    <n v="232.87"/>
    <n v="9"/>
    <x v="2"/>
    <n v="2022"/>
    <n v="29.28"/>
    <n v="0.12573538884356078"/>
  </r>
  <r>
    <n v="10067"/>
    <d v="2022-03-08T00:00:00"/>
    <x v="1"/>
    <x v="2"/>
    <s v="Accessories"/>
    <x v="0"/>
    <n v="146.78"/>
    <n v="6"/>
    <x v="2"/>
    <n v="2022"/>
    <n v="27.48"/>
    <n v="0.18721896716173866"/>
  </r>
  <r>
    <n v="10068"/>
    <d v="2022-03-09T00:00:00"/>
    <x v="2"/>
    <x v="1"/>
    <s v="Chairs"/>
    <x v="3"/>
    <n v="915.56"/>
    <n v="6"/>
    <x v="2"/>
    <n v="2022"/>
    <n v="79.42"/>
    <n v="8.6744724540172138E-2"/>
  </r>
  <r>
    <n v="10069"/>
    <d v="2022-03-10T00:00:00"/>
    <x v="1"/>
    <x v="2"/>
    <s v="Tables"/>
    <x v="4"/>
    <n v="829.48"/>
    <n v="4"/>
    <x v="2"/>
    <n v="2022"/>
    <n v="150.5"/>
    <n v="0.18143897381492019"/>
  </r>
  <r>
    <n v="10070"/>
    <d v="2022-03-11T00:00:00"/>
    <x v="3"/>
    <x v="2"/>
    <s v="Chairs"/>
    <x v="4"/>
    <n v="772.03"/>
    <n v="1"/>
    <x v="2"/>
    <n v="2022"/>
    <n v="-41.45"/>
    <n v="-5.3689623460228236E-2"/>
  </r>
  <r>
    <n v="10071"/>
    <d v="2022-03-12T00:00:00"/>
    <x v="3"/>
    <x v="1"/>
    <s v="Tables"/>
    <x v="4"/>
    <n v="96.33"/>
    <n v="5"/>
    <x v="2"/>
    <n v="2022"/>
    <n v="-24.43"/>
    <n v="-0.25360739125921311"/>
  </r>
  <r>
    <n v="10072"/>
    <d v="2022-03-13T00:00:00"/>
    <x v="3"/>
    <x v="1"/>
    <s v="Binders"/>
    <x v="4"/>
    <n v="851.54"/>
    <n v="9"/>
    <x v="2"/>
    <n v="2022"/>
    <n v="243.77"/>
    <n v="0.28626958216877657"/>
  </r>
  <r>
    <n v="10073"/>
    <d v="2022-03-14T00:00:00"/>
    <x v="2"/>
    <x v="1"/>
    <s v="Binders"/>
    <x v="1"/>
    <n v="466.14"/>
    <n v="8"/>
    <x v="2"/>
    <n v="2022"/>
    <n v="2.5"/>
    <n v="5.3631956064701591E-3"/>
  </r>
  <r>
    <n v="10074"/>
    <d v="2022-03-15T00:00:00"/>
    <x v="3"/>
    <x v="0"/>
    <s v="Binders"/>
    <x v="0"/>
    <n v="375.28"/>
    <n v="8"/>
    <x v="2"/>
    <n v="2022"/>
    <n v="52.08"/>
    <n v="0.13877638030270731"/>
  </r>
  <r>
    <n v="10075"/>
    <d v="2022-03-16T00:00:00"/>
    <x v="2"/>
    <x v="0"/>
    <s v="Binders"/>
    <x v="0"/>
    <n v="569.15"/>
    <n v="5"/>
    <x v="2"/>
    <n v="2022"/>
    <n v="248.51"/>
    <n v="0.43663357638583855"/>
  </r>
  <r>
    <n v="10076"/>
    <d v="2022-03-17T00:00:00"/>
    <x v="3"/>
    <x v="1"/>
    <s v="Phones"/>
    <x v="4"/>
    <n v="136.79"/>
    <n v="9"/>
    <x v="2"/>
    <n v="2022"/>
    <n v="165.26"/>
    <n v="1.2081292492141238"/>
  </r>
  <r>
    <n v="10077"/>
    <d v="2022-03-18T00:00:00"/>
    <x v="1"/>
    <x v="1"/>
    <s v="Phones"/>
    <x v="1"/>
    <n v="768.81"/>
    <n v="3"/>
    <x v="2"/>
    <n v="2022"/>
    <n v="36.68"/>
    <n v="4.7710097423290541E-2"/>
  </r>
  <r>
    <n v="10078"/>
    <d v="2022-03-19T00:00:00"/>
    <x v="1"/>
    <x v="1"/>
    <s v="Accessories"/>
    <x v="4"/>
    <n v="603.30999999999995"/>
    <n v="3"/>
    <x v="2"/>
    <n v="2022"/>
    <n v="173.48"/>
    <n v="0.28754703220566541"/>
  </r>
  <r>
    <n v="10079"/>
    <d v="2022-03-20T00:00:00"/>
    <x v="0"/>
    <x v="0"/>
    <s v="Chairs"/>
    <x v="1"/>
    <n v="227.26"/>
    <n v="1"/>
    <x v="2"/>
    <n v="2022"/>
    <n v="-92.13"/>
    <n v="-0.40539470210331779"/>
  </r>
  <r>
    <n v="10080"/>
    <d v="2022-03-21T00:00:00"/>
    <x v="1"/>
    <x v="0"/>
    <s v="Tables"/>
    <x v="4"/>
    <n v="228.82"/>
    <n v="9"/>
    <x v="2"/>
    <n v="2022"/>
    <n v="194.26"/>
    <n v="0.8489642513766279"/>
  </r>
  <r>
    <n v="10081"/>
    <d v="2022-03-22T00:00:00"/>
    <x v="0"/>
    <x v="2"/>
    <s v="Tables"/>
    <x v="2"/>
    <n v="225.04"/>
    <n v="6"/>
    <x v="2"/>
    <n v="2022"/>
    <n v="94.81"/>
    <n v="0.42130287948809103"/>
  </r>
  <r>
    <n v="10082"/>
    <d v="2022-03-23T00:00:00"/>
    <x v="1"/>
    <x v="2"/>
    <s v="Phones"/>
    <x v="2"/>
    <n v="104.15"/>
    <n v="2"/>
    <x v="2"/>
    <n v="2022"/>
    <n v="225.27"/>
    <n v="2.1629380700912146"/>
  </r>
  <r>
    <n v="10083"/>
    <d v="2022-03-24T00:00:00"/>
    <x v="2"/>
    <x v="1"/>
    <s v="Tables"/>
    <x v="3"/>
    <n v="608.41"/>
    <n v="8"/>
    <x v="2"/>
    <n v="2022"/>
    <n v="281.86"/>
    <n v="0.46327312174356111"/>
  </r>
  <r>
    <n v="10084"/>
    <d v="2022-03-25T00:00:00"/>
    <x v="1"/>
    <x v="0"/>
    <s v="Phones"/>
    <x v="4"/>
    <n v="848.33"/>
    <n v="9"/>
    <x v="2"/>
    <n v="2022"/>
    <n v="270.32"/>
    <n v="0.31864958212016548"/>
  </r>
  <r>
    <n v="10085"/>
    <d v="2022-03-26T00:00:00"/>
    <x v="0"/>
    <x v="0"/>
    <s v="Accessories"/>
    <x v="0"/>
    <n v="66.62"/>
    <n v="9"/>
    <x v="2"/>
    <n v="2022"/>
    <n v="263.70999999999998"/>
    <n v="3.9584208946262378"/>
  </r>
  <r>
    <n v="10086"/>
    <d v="2022-03-27T00:00:00"/>
    <x v="0"/>
    <x v="0"/>
    <s v="Chairs"/>
    <x v="3"/>
    <n v="96.55"/>
    <n v="2"/>
    <x v="2"/>
    <n v="2022"/>
    <n v="104.87"/>
    <n v="1.0861729673744174"/>
  </r>
  <r>
    <n v="10087"/>
    <d v="2022-03-28T00:00:00"/>
    <x v="3"/>
    <x v="1"/>
    <s v="Accessories"/>
    <x v="2"/>
    <n v="594.13"/>
    <n v="2"/>
    <x v="2"/>
    <n v="2022"/>
    <n v="44.06"/>
    <n v="7.4158854122835072E-2"/>
  </r>
  <r>
    <n v="10088"/>
    <d v="2022-03-29T00:00:00"/>
    <x v="2"/>
    <x v="2"/>
    <s v="Binders"/>
    <x v="4"/>
    <n v="828.52"/>
    <n v="7"/>
    <x v="2"/>
    <n v="2022"/>
    <n v="86.01"/>
    <n v="0.10381161589340029"/>
  </r>
  <r>
    <n v="10089"/>
    <d v="2022-03-30T00:00:00"/>
    <x v="1"/>
    <x v="1"/>
    <s v="Binders"/>
    <x v="3"/>
    <n v="360.4"/>
    <n v="4"/>
    <x v="2"/>
    <n v="2022"/>
    <n v="175.96"/>
    <n v="0.4882352941176471"/>
  </r>
  <r>
    <n v="10090"/>
    <d v="2022-03-31T00:00:00"/>
    <x v="3"/>
    <x v="2"/>
    <s v="Binders"/>
    <x v="4"/>
    <n v="382.13"/>
    <n v="1"/>
    <x v="2"/>
    <n v="2022"/>
    <n v="253.6"/>
    <n v="0.66364849658493186"/>
  </r>
  <r>
    <n v="10091"/>
    <d v="2022-04-01T00:00:00"/>
    <x v="1"/>
    <x v="2"/>
    <s v="Accessories"/>
    <x v="2"/>
    <n v="616.53"/>
    <n v="8"/>
    <x v="3"/>
    <n v="2022"/>
    <n v="-17.21"/>
    <n v="-2.7914294519325908E-2"/>
  </r>
  <r>
    <n v="10092"/>
    <d v="2022-04-02T00:00:00"/>
    <x v="1"/>
    <x v="1"/>
    <s v="Tables"/>
    <x v="3"/>
    <n v="310.5"/>
    <n v="2"/>
    <x v="3"/>
    <n v="2022"/>
    <n v="267.27999999999997"/>
    <n v="0.8608051529790659"/>
  </r>
  <r>
    <n v="10093"/>
    <d v="2022-04-03T00:00:00"/>
    <x v="3"/>
    <x v="2"/>
    <s v="Chairs"/>
    <x v="2"/>
    <n v="75.28"/>
    <n v="3"/>
    <x v="3"/>
    <n v="2022"/>
    <n v="226.07"/>
    <n v="3.0030552603613176"/>
  </r>
  <r>
    <n v="10094"/>
    <d v="2022-04-04T00:00:00"/>
    <x v="3"/>
    <x v="2"/>
    <s v="Binders"/>
    <x v="1"/>
    <n v="748.47"/>
    <n v="5"/>
    <x v="3"/>
    <n v="2022"/>
    <n v="291.54000000000002"/>
    <n v="0.38951460980400016"/>
  </r>
  <r>
    <n v="10095"/>
    <d v="2022-04-05T00:00:00"/>
    <x v="3"/>
    <x v="0"/>
    <s v="Binders"/>
    <x v="2"/>
    <n v="644.37"/>
    <n v="3"/>
    <x v="3"/>
    <n v="2022"/>
    <n v="252.1"/>
    <n v="0.39123484954296445"/>
  </r>
  <r>
    <n v="10096"/>
    <d v="2022-04-06T00:00:00"/>
    <x v="3"/>
    <x v="2"/>
    <s v="Binders"/>
    <x v="4"/>
    <n v="601.72"/>
    <n v="7"/>
    <x v="3"/>
    <n v="2022"/>
    <n v="11.97"/>
    <n v="1.9892973476035365E-2"/>
  </r>
  <r>
    <n v="10097"/>
    <d v="2022-04-07T00:00:00"/>
    <x v="3"/>
    <x v="1"/>
    <s v="Chairs"/>
    <x v="0"/>
    <n v="754.6"/>
    <n v="7"/>
    <x v="3"/>
    <n v="2022"/>
    <n v="-57.62"/>
    <n v="-7.6358335542009007E-2"/>
  </r>
  <r>
    <n v="10098"/>
    <d v="2022-04-08T00:00:00"/>
    <x v="1"/>
    <x v="1"/>
    <s v="Binders"/>
    <x v="2"/>
    <n v="691.47"/>
    <n v="2"/>
    <x v="3"/>
    <n v="2022"/>
    <n v="-55.1"/>
    <n v="-7.9685308111704045E-2"/>
  </r>
  <r>
    <n v="10099"/>
    <d v="2022-04-09T00:00:00"/>
    <x v="3"/>
    <x v="2"/>
    <s v="Chairs"/>
    <x v="0"/>
    <n v="245.59"/>
    <n v="7"/>
    <x v="3"/>
    <n v="2022"/>
    <n v="16.489999999999998"/>
    <n v="6.7144427704711102E-2"/>
  </r>
  <r>
    <n v="10100"/>
    <d v="2022-04-10T00:00:00"/>
    <x v="2"/>
    <x v="0"/>
    <s v="Binders"/>
    <x v="1"/>
    <n v="384.86"/>
    <n v="6"/>
    <x v="3"/>
    <n v="2022"/>
    <n v="145.66999999999999"/>
    <n v="0.37850127319025095"/>
  </r>
  <r>
    <n v="10101"/>
    <d v="2022-04-11T00:00:00"/>
    <x v="0"/>
    <x v="0"/>
    <s v="Accessories"/>
    <x v="3"/>
    <n v="169.8"/>
    <n v="9"/>
    <x v="3"/>
    <n v="2022"/>
    <n v="221.73"/>
    <n v="1.3058303886925793"/>
  </r>
  <r>
    <n v="10102"/>
    <d v="2022-04-12T00:00:00"/>
    <x v="3"/>
    <x v="2"/>
    <s v="Accessories"/>
    <x v="3"/>
    <n v="173.36"/>
    <n v="9"/>
    <x v="3"/>
    <n v="2022"/>
    <n v="259.7"/>
    <n v="1.4980387632671894"/>
  </r>
  <r>
    <n v="10103"/>
    <d v="2022-04-13T00:00:00"/>
    <x v="3"/>
    <x v="2"/>
    <s v="Chairs"/>
    <x v="0"/>
    <n v="692.39"/>
    <n v="2"/>
    <x v="3"/>
    <n v="2022"/>
    <n v="149.5"/>
    <n v="0.21591877410130128"/>
  </r>
  <r>
    <n v="10104"/>
    <d v="2022-04-14T00:00:00"/>
    <x v="1"/>
    <x v="1"/>
    <s v="Accessories"/>
    <x v="3"/>
    <n v="865.67"/>
    <n v="7"/>
    <x v="3"/>
    <n v="2022"/>
    <n v="-97.75"/>
    <n v="-0.11291831760370581"/>
  </r>
  <r>
    <n v="10105"/>
    <d v="2022-04-15T00:00:00"/>
    <x v="3"/>
    <x v="2"/>
    <s v="Chairs"/>
    <x v="2"/>
    <n v="964.6"/>
    <n v="5"/>
    <x v="3"/>
    <n v="2022"/>
    <n v="-25.47"/>
    <n v="-2.6404727348123574E-2"/>
  </r>
  <r>
    <n v="10106"/>
    <d v="2022-04-16T00:00:00"/>
    <x v="3"/>
    <x v="0"/>
    <s v="Accessories"/>
    <x v="0"/>
    <n v="646.92999999999995"/>
    <n v="6"/>
    <x v="3"/>
    <n v="2022"/>
    <n v="-60.11"/>
    <n v="-9.2915771412672168E-2"/>
  </r>
  <r>
    <n v="10107"/>
    <d v="2022-04-17T00:00:00"/>
    <x v="3"/>
    <x v="2"/>
    <s v="Accessories"/>
    <x v="4"/>
    <n v="224.9"/>
    <n v="1"/>
    <x v="3"/>
    <n v="2022"/>
    <n v="45.33"/>
    <n v="0.20155624722098708"/>
  </r>
  <r>
    <n v="10108"/>
    <d v="2022-04-18T00:00:00"/>
    <x v="1"/>
    <x v="1"/>
    <s v="Chairs"/>
    <x v="2"/>
    <n v="150.37"/>
    <n v="7"/>
    <x v="3"/>
    <n v="2022"/>
    <n v="100.54"/>
    <n v="0.66861741038771039"/>
  </r>
  <r>
    <n v="10109"/>
    <d v="2022-04-19T00:00:00"/>
    <x v="3"/>
    <x v="1"/>
    <s v="Tables"/>
    <x v="2"/>
    <n v="822.21"/>
    <n v="6"/>
    <x v="3"/>
    <n v="2022"/>
    <n v="-82.64"/>
    <n v="-0.10050960216976199"/>
  </r>
  <r>
    <n v="10110"/>
    <d v="2022-04-20T00:00:00"/>
    <x v="0"/>
    <x v="1"/>
    <s v="Accessories"/>
    <x v="2"/>
    <n v="599.82000000000005"/>
    <n v="4"/>
    <x v="3"/>
    <n v="2022"/>
    <n v="39.39"/>
    <n v="6.5669700910273077E-2"/>
  </r>
  <r>
    <n v="10111"/>
    <d v="2022-04-21T00:00:00"/>
    <x v="1"/>
    <x v="1"/>
    <s v="Binders"/>
    <x v="4"/>
    <n v="637.37"/>
    <n v="1"/>
    <x v="3"/>
    <n v="2022"/>
    <n v="-28.33"/>
    <n v="-4.444827964918336E-2"/>
  </r>
  <r>
    <n v="10112"/>
    <d v="2022-04-22T00:00:00"/>
    <x v="0"/>
    <x v="1"/>
    <s v="Tables"/>
    <x v="1"/>
    <n v="792.39"/>
    <n v="9"/>
    <x v="3"/>
    <n v="2022"/>
    <n v="158.83000000000001"/>
    <n v="0.20044422569694217"/>
  </r>
  <r>
    <n v="10113"/>
    <d v="2022-04-23T00:00:00"/>
    <x v="1"/>
    <x v="2"/>
    <s v="Chairs"/>
    <x v="3"/>
    <n v="718.11"/>
    <n v="4"/>
    <x v="3"/>
    <n v="2022"/>
    <n v="85.71"/>
    <n v="0.11935497347203074"/>
  </r>
  <r>
    <n v="10114"/>
    <d v="2022-04-24T00:00:00"/>
    <x v="3"/>
    <x v="2"/>
    <s v="Tables"/>
    <x v="0"/>
    <n v="842.74"/>
    <n v="2"/>
    <x v="3"/>
    <n v="2022"/>
    <n v="98.13"/>
    <n v="0.11644160713861926"/>
  </r>
  <r>
    <n v="10115"/>
    <d v="2022-04-25T00:00:00"/>
    <x v="0"/>
    <x v="2"/>
    <s v="Phones"/>
    <x v="1"/>
    <n v="103.4"/>
    <n v="8"/>
    <x v="3"/>
    <n v="2022"/>
    <n v="71.08"/>
    <n v="0.68742746615087036"/>
  </r>
  <r>
    <n v="10116"/>
    <d v="2022-04-26T00:00:00"/>
    <x v="1"/>
    <x v="2"/>
    <s v="Phones"/>
    <x v="0"/>
    <n v="760.14"/>
    <n v="2"/>
    <x v="3"/>
    <n v="2022"/>
    <n v="282.41000000000003"/>
    <n v="0.37152366669297765"/>
  </r>
  <r>
    <n v="10117"/>
    <d v="2022-04-27T00:00:00"/>
    <x v="2"/>
    <x v="1"/>
    <s v="Accessories"/>
    <x v="3"/>
    <n v="858.31"/>
    <n v="5"/>
    <x v="3"/>
    <n v="2022"/>
    <n v="-14.11"/>
    <n v="-1.6439281844554999E-2"/>
  </r>
  <r>
    <n v="10118"/>
    <d v="2022-04-28T00:00:00"/>
    <x v="3"/>
    <x v="0"/>
    <s v="Accessories"/>
    <x v="4"/>
    <n v="321.83"/>
    <n v="6"/>
    <x v="3"/>
    <n v="2022"/>
    <n v="106.67"/>
    <n v="0.33144828014790417"/>
  </r>
  <r>
    <n v="10119"/>
    <d v="2022-04-29T00:00:00"/>
    <x v="1"/>
    <x v="2"/>
    <s v="Binders"/>
    <x v="2"/>
    <n v="658.42"/>
    <n v="8"/>
    <x v="3"/>
    <n v="2022"/>
    <n v="194.41"/>
    <n v="0.29526745846116464"/>
  </r>
  <r>
    <n v="10120"/>
    <d v="2022-04-30T00:00:00"/>
    <x v="2"/>
    <x v="0"/>
    <s v="Tables"/>
    <x v="2"/>
    <n v="348.45"/>
    <n v="1"/>
    <x v="3"/>
    <n v="2022"/>
    <n v="122.74"/>
    <n v="0.35224565934854357"/>
  </r>
  <r>
    <n v="10121"/>
    <d v="2022-05-01T00:00:00"/>
    <x v="1"/>
    <x v="2"/>
    <s v="Phones"/>
    <x v="4"/>
    <n v="960.07"/>
    <n v="1"/>
    <x v="4"/>
    <n v="2022"/>
    <n v="271.61"/>
    <n v="0.28290645473767539"/>
  </r>
  <r>
    <n v="10122"/>
    <d v="2022-05-02T00:00:00"/>
    <x v="2"/>
    <x v="2"/>
    <s v="Accessories"/>
    <x v="1"/>
    <n v="81.75"/>
    <n v="4"/>
    <x v="4"/>
    <n v="2022"/>
    <n v="51.19"/>
    <n v="0.62617737003058105"/>
  </r>
  <r>
    <n v="10123"/>
    <d v="2022-05-03T00:00:00"/>
    <x v="3"/>
    <x v="0"/>
    <s v="Tables"/>
    <x v="1"/>
    <n v="600.79999999999995"/>
    <n v="5"/>
    <x v="4"/>
    <n v="2022"/>
    <n v="85.47"/>
    <n v="0.14226031957390148"/>
  </r>
  <r>
    <n v="10124"/>
    <d v="2022-05-04T00:00:00"/>
    <x v="0"/>
    <x v="1"/>
    <s v="Accessories"/>
    <x v="0"/>
    <n v="208.18"/>
    <n v="9"/>
    <x v="4"/>
    <n v="2022"/>
    <n v="-64.59"/>
    <n v="-0.31026035161879145"/>
  </r>
  <r>
    <n v="10125"/>
    <d v="2022-05-05T00:00:00"/>
    <x v="2"/>
    <x v="2"/>
    <s v="Accessories"/>
    <x v="4"/>
    <n v="726.61"/>
    <n v="7"/>
    <x v="4"/>
    <n v="2022"/>
    <n v="143.6"/>
    <n v="0.19763009041989513"/>
  </r>
  <r>
    <n v="10126"/>
    <d v="2022-05-06T00:00:00"/>
    <x v="1"/>
    <x v="2"/>
    <s v="Phones"/>
    <x v="1"/>
    <n v="217.1"/>
    <n v="7"/>
    <x v="4"/>
    <n v="2022"/>
    <n v="15.28"/>
    <n v="7.0382312298479965E-2"/>
  </r>
  <r>
    <n v="10127"/>
    <d v="2022-05-07T00:00:00"/>
    <x v="3"/>
    <x v="2"/>
    <s v="Phones"/>
    <x v="4"/>
    <n v="273.61"/>
    <n v="8"/>
    <x v="4"/>
    <n v="2022"/>
    <n v="-35.880000000000003"/>
    <n v="-0.13113555791089507"/>
  </r>
  <r>
    <n v="10128"/>
    <d v="2022-05-08T00:00:00"/>
    <x v="2"/>
    <x v="0"/>
    <s v="Accessories"/>
    <x v="3"/>
    <n v="519.65"/>
    <n v="5"/>
    <x v="4"/>
    <n v="2022"/>
    <n v="117.81"/>
    <n v="0.2267102857692678"/>
  </r>
  <r>
    <n v="10129"/>
    <d v="2022-05-09T00:00:00"/>
    <x v="1"/>
    <x v="1"/>
    <s v="Chairs"/>
    <x v="2"/>
    <n v="919.09"/>
    <n v="5"/>
    <x v="4"/>
    <n v="2022"/>
    <n v="112.92"/>
    <n v="0.1228606556485219"/>
  </r>
  <r>
    <n v="10130"/>
    <d v="2022-05-10T00:00:00"/>
    <x v="1"/>
    <x v="0"/>
    <s v="Accessories"/>
    <x v="2"/>
    <n v="251.13"/>
    <n v="1"/>
    <x v="4"/>
    <n v="2022"/>
    <n v="-69.650000000000006"/>
    <n v="-0.27734639429777408"/>
  </r>
  <r>
    <n v="10131"/>
    <d v="2022-05-11T00:00:00"/>
    <x v="1"/>
    <x v="0"/>
    <s v="Accessories"/>
    <x v="2"/>
    <n v="187.03"/>
    <n v="9"/>
    <x v="4"/>
    <n v="2022"/>
    <n v="179.29"/>
    <n v="0.95861626477035766"/>
  </r>
  <r>
    <n v="10132"/>
    <d v="2022-05-12T00:00:00"/>
    <x v="2"/>
    <x v="1"/>
    <s v="Binders"/>
    <x v="4"/>
    <n v="771.03"/>
    <n v="6"/>
    <x v="4"/>
    <n v="2022"/>
    <n v="149.51"/>
    <n v="0.19390944580625916"/>
  </r>
  <r>
    <n v="10133"/>
    <d v="2022-05-13T00:00:00"/>
    <x v="2"/>
    <x v="0"/>
    <s v="Binders"/>
    <x v="4"/>
    <n v="525.59"/>
    <n v="9"/>
    <x v="4"/>
    <n v="2022"/>
    <n v="-24.39"/>
    <n v="-4.6404992484636309E-2"/>
  </r>
  <r>
    <n v="10134"/>
    <d v="2022-05-14T00:00:00"/>
    <x v="2"/>
    <x v="1"/>
    <s v="Binders"/>
    <x v="0"/>
    <n v="916.2"/>
    <n v="3"/>
    <x v="4"/>
    <n v="2022"/>
    <n v="87.77"/>
    <n v="9.5797860729098447E-2"/>
  </r>
  <r>
    <n v="10135"/>
    <d v="2022-05-15T00:00:00"/>
    <x v="0"/>
    <x v="2"/>
    <s v="Chairs"/>
    <x v="2"/>
    <n v="189.28"/>
    <n v="5"/>
    <x v="4"/>
    <n v="2022"/>
    <n v="188.13"/>
    <n v="0.99392434488588333"/>
  </r>
  <r>
    <n v="10136"/>
    <d v="2022-05-16T00:00:00"/>
    <x v="2"/>
    <x v="1"/>
    <s v="Chairs"/>
    <x v="0"/>
    <n v="663.63"/>
    <n v="2"/>
    <x v="4"/>
    <n v="2022"/>
    <n v="111.77"/>
    <n v="0.16842216295224749"/>
  </r>
  <r>
    <n v="10137"/>
    <d v="2022-05-17T00:00:00"/>
    <x v="2"/>
    <x v="2"/>
    <s v="Accessories"/>
    <x v="2"/>
    <n v="271.24"/>
    <n v="5"/>
    <x v="4"/>
    <n v="2022"/>
    <n v="58.2"/>
    <n v="0.21457012240082585"/>
  </r>
  <r>
    <n v="10138"/>
    <d v="2022-05-18T00:00:00"/>
    <x v="2"/>
    <x v="0"/>
    <s v="Binders"/>
    <x v="0"/>
    <n v="198.92"/>
    <n v="8"/>
    <x v="4"/>
    <n v="2022"/>
    <n v="28.94"/>
    <n v="0.14548562236074805"/>
  </r>
  <r>
    <n v="10139"/>
    <d v="2022-05-19T00:00:00"/>
    <x v="0"/>
    <x v="0"/>
    <s v="Chairs"/>
    <x v="0"/>
    <n v="699.26"/>
    <n v="2"/>
    <x v="4"/>
    <n v="2022"/>
    <n v="144.16"/>
    <n v="0.2061607985584761"/>
  </r>
  <r>
    <n v="10140"/>
    <d v="2022-05-20T00:00:00"/>
    <x v="2"/>
    <x v="2"/>
    <s v="Phones"/>
    <x v="3"/>
    <n v="614"/>
    <n v="8"/>
    <x v="4"/>
    <n v="2022"/>
    <n v="275.64"/>
    <n v="0.44892508143322474"/>
  </r>
  <r>
    <n v="10141"/>
    <d v="2022-05-21T00:00:00"/>
    <x v="1"/>
    <x v="0"/>
    <s v="Accessories"/>
    <x v="0"/>
    <n v="767.09"/>
    <n v="4"/>
    <x v="4"/>
    <n v="2022"/>
    <n v="168.7"/>
    <n v="0.21992204304579643"/>
  </r>
  <r>
    <n v="10142"/>
    <d v="2022-05-22T00:00:00"/>
    <x v="2"/>
    <x v="1"/>
    <s v="Tables"/>
    <x v="4"/>
    <n v="343.99"/>
    <n v="1"/>
    <x v="4"/>
    <n v="2022"/>
    <n v="-70.099999999999994"/>
    <n v="-0.20378499374981829"/>
  </r>
  <r>
    <n v="10143"/>
    <d v="2022-05-23T00:00:00"/>
    <x v="1"/>
    <x v="2"/>
    <s v="Accessories"/>
    <x v="0"/>
    <n v="475.57"/>
    <n v="5"/>
    <x v="4"/>
    <n v="2022"/>
    <n v="84.27"/>
    <n v="0.17719788884917045"/>
  </r>
  <r>
    <n v="10144"/>
    <d v="2022-05-24T00:00:00"/>
    <x v="1"/>
    <x v="0"/>
    <s v="Tables"/>
    <x v="2"/>
    <n v="435.2"/>
    <n v="1"/>
    <x v="4"/>
    <n v="2022"/>
    <n v="256.33"/>
    <n v="0.58899356617647058"/>
  </r>
  <r>
    <n v="10145"/>
    <d v="2022-05-25T00:00:00"/>
    <x v="1"/>
    <x v="2"/>
    <s v="Binders"/>
    <x v="0"/>
    <n v="984.88"/>
    <n v="7"/>
    <x v="4"/>
    <n v="2022"/>
    <n v="-62.22"/>
    <n v="-6.3175209162537563E-2"/>
  </r>
  <r>
    <n v="10146"/>
    <d v="2022-05-26T00:00:00"/>
    <x v="0"/>
    <x v="1"/>
    <s v="Tables"/>
    <x v="1"/>
    <n v="327.64"/>
    <n v="8"/>
    <x v="4"/>
    <n v="2022"/>
    <n v="295.55"/>
    <n v="0.90205713588084491"/>
  </r>
  <r>
    <n v="10147"/>
    <d v="2022-05-27T00:00:00"/>
    <x v="0"/>
    <x v="1"/>
    <s v="Binders"/>
    <x v="2"/>
    <n v="330.08"/>
    <n v="3"/>
    <x v="4"/>
    <n v="2022"/>
    <n v="279.63"/>
    <n v="0.84715826466311195"/>
  </r>
  <r>
    <n v="10148"/>
    <d v="2022-05-28T00:00:00"/>
    <x v="0"/>
    <x v="0"/>
    <s v="Phones"/>
    <x v="1"/>
    <n v="386.82"/>
    <n v="3"/>
    <x v="4"/>
    <n v="2022"/>
    <n v="-68.69"/>
    <n v="-0.17757613360219224"/>
  </r>
  <r>
    <n v="10149"/>
    <d v="2022-05-29T00:00:00"/>
    <x v="2"/>
    <x v="1"/>
    <s v="Tables"/>
    <x v="2"/>
    <n v="586.36"/>
    <n v="7"/>
    <x v="4"/>
    <n v="2022"/>
    <n v="273.37"/>
    <n v="0.46621529435841463"/>
  </r>
  <r>
    <n v="10150"/>
    <d v="2022-05-30T00:00:00"/>
    <x v="1"/>
    <x v="2"/>
    <s v="Accessories"/>
    <x v="4"/>
    <n v="289.70999999999998"/>
    <n v="4"/>
    <x v="4"/>
    <n v="2022"/>
    <n v="45.25"/>
    <n v="0.15619067343205276"/>
  </r>
  <r>
    <n v="10151"/>
    <d v="2022-05-31T00:00:00"/>
    <x v="0"/>
    <x v="1"/>
    <s v="Binders"/>
    <x v="4"/>
    <n v="919.53"/>
    <n v="3"/>
    <x v="4"/>
    <n v="2022"/>
    <n v="237.88"/>
    <n v="0.25869737800833037"/>
  </r>
  <r>
    <n v="10152"/>
    <d v="2022-06-01T00:00:00"/>
    <x v="0"/>
    <x v="2"/>
    <s v="Accessories"/>
    <x v="4"/>
    <n v="302.39999999999998"/>
    <n v="8"/>
    <x v="5"/>
    <n v="2022"/>
    <n v="67.349999999999994"/>
    <n v="0.22271825396825395"/>
  </r>
  <r>
    <n v="10153"/>
    <d v="2022-06-02T00:00:00"/>
    <x v="2"/>
    <x v="2"/>
    <s v="Chairs"/>
    <x v="1"/>
    <n v="901.02"/>
    <n v="3"/>
    <x v="5"/>
    <n v="2022"/>
    <n v="76.34"/>
    <n v="8.4726199196466234E-2"/>
  </r>
  <r>
    <n v="10154"/>
    <d v="2022-06-03T00:00:00"/>
    <x v="0"/>
    <x v="1"/>
    <s v="Binders"/>
    <x v="3"/>
    <n v="148.30000000000001"/>
    <n v="7"/>
    <x v="5"/>
    <n v="2022"/>
    <n v="153.69999999999999"/>
    <n v="1.0364126770060686"/>
  </r>
  <r>
    <n v="10155"/>
    <d v="2022-06-04T00:00:00"/>
    <x v="2"/>
    <x v="0"/>
    <s v="Tables"/>
    <x v="2"/>
    <n v="673.73"/>
    <n v="2"/>
    <x v="5"/>
    <n v="2022"/>
    <n v="209.79"/>
    <n v="0.31138586674186985"/>
  </r>
  <r>
    <n v="10156"/>
    <d v="2022-06-05T00:00:00"/>
    <x v="3"/>
    <x v="1"/>
    <s v="Binders"/>
    <x v="4"/>
    <n v="911.64"/>
    <n v="1"/>
    <x v="5"/>
    <n v="2022"/>
    <n v="-86.48"/>
    <n v="-9.486200693256111E-2"/>
  </r>
  <r>
    <n v="10157"/>
    <d v="2022-06-06T00:00:00"/>
    <x v="0"/>
    <x v="2"/>
    <s v="Accessories"/>
    <x v="2"/>
    <n v="210.31"/>
    <n v="6"/>
    <x v="5"/>
    <n v="2022"/>
    <n v="137.26"/>
    <n v="0.65265560363273256"/>
  </r>
  <r>
    <n v="10158"/>
    <d v="2022-06-07T00:00:00"/>
    <x v="3"/>
    <x v="2"/>
    <s v="Phones"/>
    <x v="1"/>
    <n v="969.91"/>
    <n v="8"/>
    <x v="5"/>
    <n v="2022"/>
    <n v="-25.31"/>
    <n v="-2.6095204709715335E-2"/>
  </r>
  <r>
    <n v="10159"/>
    <d v="2022-06-08T00:00:00"/>
    <x v="2"/>
    <x v="1"/>
    <s v="Binders"/>
    <x v="3"/>
    <n v="480.24"/>
    <n v="1"/>
    <x v="5"/>
    <n v="2022"/>
    <n v="38.380000000000003"/>
    <n v="7.9918374146260213E-2"/>
  </r>
  <r>
    <n v="10160"/>
    <d v="2022-06-09T00:00:00"/>
    <x v="1"/>
    <x v="0"/>
    <s v="Tables"/>
    <x v="1"/>
    <n v="948.43"/>
    <n v="9"/>
    <x v="5"/>
    <n v="2022"/>
    <n v="39.19"/>
    <n v="4.1320919835939392E-2"/>
  </r>
  <r>
    <n v="10161"/>
    <d v="2022-06-10T00:00:00"/>
    <x v="0"/>
    <x v="0"/>
    <s v="Chairs"/>
    <x v="2"/>
    <n v="692.98"/>
    <n v="3"/>
    <x v="5"/>
    <n v="2022"/>
    <n v="87.62"/>
    <n v="0.12643943548154349"/>
  </r>
  <r>
    <n v="10162"/>
    <d v="2022-06-11T00:00:00"/>
    <x v="2"/>
    <x v="2"/>
    <s v="Phones"/>
    <x v="3"/>
    <n v="336.51"/>
    <n v="3"/>
    <x v="5"/>
    <n v="2022"/>
    <n v="33.65"/>
    <n v="9.9997028320109357E-2"/>
  </r>
  <r>
    <n v="10163"/>
    <d v="2022-06-12T00:00:00"/>
    <x v="1"/>
    <x v="2"/>
    <s v="Chairs"/>
    <x v="3"/>
    <n v="228.89"/>
    <n v="4"/>
    <x v="5"/>
    <n v="2022"/>
    <n v="-57.06"/>
    <n v="-0.2492900519900389"/>
  </r>
  <r>
    <n v="10164"/>
    <d v="2022-06-13T00:00:00"/>
    <x v="1"/>
    <x v="0"/>
    <s v="Binders"/>
    <x v="1"/>
    <n v="338.55"/>
    <n v="1"/>
    <x v="5"/>
    <n v="2022"/>
    <n v="-41.75"/>
    <n v="-0.12332004135282823"/>
  </r>
  <r>
    <n v="10165"/>
    <d v="2022-06-14T00:00:00"/>
    <x v="3"/>
    <x v="1"/>
    <s v="Accessories"/>
    <x v="4"/>
    <n v="138.37"/>
    <n v="9"/>
    <x v="5"/>
    <n v="2022"/>
    <n v="-86.62"/>
    <n v="-0.6260027462600275"/>
  </r>
  <r>
    <n v="10166"/>
    <d v="2022-06-15T00:00:00"/>
    <x v="2"/>
    <x v="2"/>
    <s v="Accessories"/>
    <x v="2"/>
    <n v="186.67"/>
    <n v="3"/>
    <x v="5"/>
    <n v="2022"/>
    <n v="88.1"/>
    <n v="0.47195585793110839"/>
  </r>
  <r>
    <n v="10167"/>
    <d v="2022-06-16T00:00:00"/>
    <x v="1"/>
    <x v="2"/>
    <s v="Tables"/>
    <x v="0"/>
    <n v="149.43"/>
    <n v="4"/>
    <x v="5"/>
    <n v="2022"/>
    <n v="281.77999999999997"/>
    <n v="1.885698989493408"/>
  </r>
  <r>
    <n v="10168"/>
    <d v="2022-06-17T00:00:00"/>
    <x v="0"/>
    <x v="0"/>
    <s v="Accessories"/>
    <x v="0"/>
    <n v="451.8"/>
    <n v="1"/>
    <x v="5"/>
    <n v="2022"/>
    <n v="-53.73"/>
    <n v="-0.11892430278884461"/>
  </r>
  <r>
    <n v="10169"/>
    <d v="2022-06-18T00:00:00"/>
    <x v="0"/>
    <x v="1"/>
    <s v="Phones"/>
    <x v="1"/>
    <n v="805.8"/>
    <n v="4"/>
    <x v="5"/>
    <n v="2022"/>
    <n v="278.51"/>
    <n v="0.34563167038967485"/>
  </r>
  <r>
    <n v="10170"/>
    <d v="2022-06-19T00:00:00"/>
    <x v="3"/>
    <x v="0"/>
    <s v="Accessories"/>
    <x v="2"/>
    <n v="184.31"/>
    <n v="1"/>
    <x v="5"/>
    <n v="2022"/>
    <n v="193.34"/>
    <n v="1.0489935434865172"/>
  </r>
  <r>
    <n v="10171"/>
    <d v="2022-06-20T00:00:00"/>
    <x v="1"/>
    <x v="1"/>
    <s v="Tables"/>
    <x v="2"/>
    <n v="173.8"/>
    <n v="5"/>
    <x v="5"/>
    <n v="2022"/>
    <n v="155"/>
    <n v="0.89182968929804363"/>
  </r>
  <r>
    <n v="10172"/>
    <d v="2022-06-21T00:00:00"/>
    <x v="2"/>
    <x v="1"/>
    <s v="Binders"/>
    <x v="1"/>
    <n v="661.26"/>
    <n v="5"/>
    <x v="5"/>
    <n v="2022"/>
    <n v="158.11000000000001"/>
    <n v="0.23910413453104681"/>
  </r>
  <r>
    <n v="10173"/>
    <d v="2022-06-22T00:00:00"/>
    <x v="0"/>
    <x v="1"/>
    <s v="Binders"/>
    <x v="2"/>
    <n v="237.32"/>
    <n v="7"/>
    <x v="5"/>
    <n v="2022"/>
    <n v="230.69"/>
    <n v="0.97206303724928367"/>
  </r>
  <r>
    <n v="10174"/>
    <d v="2022-06-23T00:00:00"/>
    <x v="1"/>
    <x v="2"/>
    <s v="Accessories"/>
    <x v="4"/>
    <n v="142.72999999999999"/>
    <n v="8"/>
    <x v="5"/>
    <n v="2022"/>
    <n v="-57.23"/>
    <n v="-0.40096686050585023"/>
  </r>
  <r>
    <n v="10175"/>
    <d v="2022-06-24T00:00:00"/>
    <x v="1"/>
    <x v="0"/>
    <s v="Chairs"/>
    <x v="1"/>
    <n v="208.51"/>
    <n v="4"/>
    <x v="5"/>
    <n v="2022"/>
    <n v="101.9"/>
    <n v="0.48870557767013578"/>
  </r>
  <r>
    <n v="10176"/>
    <d v="2022-06-25T00:00:00"/>
    <x v="3"/>
    <x v="0"/>
    <s v="Binders"/>
    <x v="4"/>
    <n v="927.54"/>
    <n v="7"/>
    <x v="5"/>
    <n v="2022"/>
    <n v="178.84"/>
    <n v="0.19281109170493996"/>
  </r>
  <r>
    <n v="10177"/>
    <d v="2022-06-26T00:00:00"/>
    <x v="0"/>
    <x v="1"/>
    <s v="Accessories"/>
    <x v="2"/>
    <n v="830.4"/>
    <n v="4"/>
    <x v="5"/>
    <n v="2022"/>
    <n v="134.72999999999999"/>
    <n v="0.16224710982658958"/>
  </r>
  <r>
    <n v="10178"/>
    <d v="2022-06-27T00:00:00"/>
    <x v="0"/>
    <x v="2"/>
    <s v="Tables"/>
    <x v="1"/>
    <n v="386.36"/>
    <n v="3"/>
    <x v="5"/>
    <n v="2022"/>
    <n v="233.11"/>
    <n v="0.60334920799254588"/>
  </r>
  <r>
    <n v="10179"/>
    <d v="2022-06-28T00:00:00"/>
    <x v="2"/>
    <x v="2"/>
    <s v="Accessories"/>
    <x v="2"/>
    <n v="673.03"/>
    <n v="6"/>
    <x v="5"/>
    <n v="2022"/>
    <n v="-71.09"/>
    <n v="-0.10562679226780382"/>
  </r>
  <r>
    <n v="10180"/>
    <d v="2022-06-29T00:00:00"/>
    <x v="0"/>
    <x v="0"/>
    <s v="Binders"/>
    <x v="1"/>
    <n v="560.41"/>
    <n v="4"/>
    <x v="5"/>
    <n v="2022"/>
    <n v="176.28"/>
    <n v="0.31455541478560339"/>
  </r>
  <r>
    <n v="10181"/>
    <d v="2022-06-30T00:00:00"/>
    <x v="2"/>
    <x v="2"/>
    <s v="Tables"/>
    <x v="2"/>
    <n v="693.27"/>
    <n v="3"/>
    <x v="5"/>
    <n v="2022"/>
    <n v="113.61"/>
    <n v="0.16387554632394305"/>
  </r>
  <r>
    <n v="10182"/>
    <d v="2022-07-01T00:00:00"/>
    <x v="0"/>
    <x v="2"/>
    <s v="Accessories"/>
    <x v="4"/>
    <n v="698.54"/>
    <n v="9"/>
    <x v="6"/>
    <n v="2022"/>
    <n v="51.66"/>
    <n v="7.3954247430354739E-2"/>
  </r>
  <r>
    <n v="10183"/>
    <d v="2022-07-02T00:00:00"/>
    <x v="3"/>
    <x v="1"/>
    <s v="Phones"/>
    <x v="4"/>
    <n v="647.29999999999995"/>
    <n v="5"/>
    <x v="6"/>
    <n v="2022"/>
    <n v="36.11"/>
    <n v="5.5785570832689639E-2"/>
  </r>
  <r>
    <n v="10184"/>
    <d v="2022-07-03T00:00:00"/>
    <x v="0"/>
    <x v="2"/>
    <s v="Tables"/>
    <x v="2"/>
    <n v="302.8"/>
    <n v="7"/>
    <x v="6"/>
    <n v="2022"/>
    <n v="148.33000000000001"/>
    <n v="0.48986129458388378"/>
  </r>
  <r>
    <n v="10185"/>
    <d v="2022-07-04T00:00:00"/>
    <x v="2"/>
    <x v="1"/>
    <s v="Phones"/>
    <x v="1"/>
    <n v="87.06"/>
    <n v="6"/>
    <x v="6"/>
    <n v="2022"/>
    <n v="256.39999999999998"/>
    <n v="2.9450953365495058"/>
  </r>
  <r>
    <n v="10186"/>
    <d v="2022-07-05T00:00:00"/>
    <x v="2"/>
    <x v="0"/>
    <s v="Chairs"/>
    <x v="0"/>
    <n v="482.79"/>
    <n v="5"/>
    <x v="6"/>
    <n v="2022"/>
    <n v="98.47"/>
    <n v="0.20396031400816089"/>
  </r>
  <r>
    <n v="10187"/>
    <d v="2022-07-06T00:00:00"/>
    <x v="3"/>
    <x v="2"/>
    <s v="Tables"/>
    <x v="4"/>
    <n v="896.43"/>
    <n v="7"/>
    <x v="6"/>
    <n v="2022"/>
    <n v="229.89"/>
    <n v="0.2564505873297413"/>
  </r>
  <r>
    <n v="10188"/>
    <d v="2022-07-07T00:00:00"/>
    <x v="0"/>
    <x v="0"/>
    <s v="Phones"/>
    <x v="4"/>
    <n v="591.02"/>
    <n v="6"/>
    <x v="6"/>
    <n v="2022"/>
    <n v="60.86"/>
    <n v="0.10297451862881121"/>
  </r>
  <r>
    <n v="10189"/>
    <d v="2022-07-08T00:00:00"/>
    <x v="0"/>
    <x v="0"/>
    <s v="Binders"/>
    <x v="0"/>
    <n v="840.77"/>
    <n v="2"/>
    <x v="6"/>
    <n v="2022"/>
    <n v="-59.04"/>
    <n v="-7.0221344719721204E-2"/>
  </r>
  <r>
    <n v="10190"/>
    <d v="2022-07-09T00:00:00"/>
    <x v="3"/>
    <x v="2"/>
    <s v="Binders"/>
    <x v="2"/>
    <n v="992.04"/>
    <n v="3"/>
    <x v="6"/>
    <n v="2022"/>
    <n v="-75.400000000000006"/>
    <n v="-7.6004999798395229E-2"/>
  </r>
  <r>
    <n v="10191"/>
    <d v="2022-07-10T00:00:00"/>
    <x v="0"/>
    <x v="2"/>
    <s v="Chairs"/>
    <x v="1"/>
    <n v="205.44"/>
    <n v="2"/>
    <x v="6"/>
    <n v="2022"/>
    <n v="-79.47"/>
    <n v="-0.38682827102803741"/>
  </r>
  <r>
    <n v="10192"/>
    <d v="2022-07-11T00:00:00"/>
    <x v="0"/>
    <x v="0"/>
    <s v="Tables"/>
    <x v="2"/>
    <n v="707.19"/>
    <n v="3"/>
    <x v="6"/>
    <n v="2022"/>
    <n v="52.06"/>
    <n v="7.3615294333913089E-2"/>
  </r>
  <r>
    <n v="10193"/>
    <d v="2022-07-12T00:00:00"/>
    <x v="2"/>
    <x v="2"/>
    <s v="Tables"/>
    <x v="3"/>
    <n v="690.58"/>
    <n v="1"/>
    <x v="6"/>
    <n v="2022"/>
    <n v="34.9"/>
    <n v="5.053722957513973E-2"/>
  </r>
  <r>
    <n v="10194"/>
    <d v="2022-07-13T00:00:00"/>
    <x v="0"/>
    <x v="1"/>
    <s v="Tables"/>
    <x v="4"/>
    <n v="980.96"/>
    <n v="8"/>
    <x v="6"/>
    <n v="2022"/>
    <n v="187.17"/>
    <n v="0.19080288696786818"/>
  </r>
  <r>
    <n v="10195"/>
    <d v="2022-07-14T00:00:00"/>
    <x v="0"/>
    <x v="1"/>
    <s v="Chairs"/>
    <x v="3"/>
    <n v="986.32"/>
    <n v="6"/>
    <x v="6"/>
    <n v="2022"/>
    <n v="197.13"/>
    <n v="0.19986414145510584"/>
  </r>
  <r>
    <n v="10196"/>
    <d v="2022-07-15T00:00:00"/>
    <x v="3"/>
    <x v="2"/>
    <s v="Tables"/>
    <x v="4"/>
    <n v="702.34"/>
    <n v="2"/>
    <x v="6"/>
    <n v="2022"/>
    <n v="-79.66"/>
    <n v="-0.11342085030042429"/>
  </r>
  <r>
    <n v="10197"/>
    <d v="2022-07-16T00:00:00"/>
    <x v="3"/>
    <x v="0"/>
    <s v="Binders"/>
    <x v="4"/>
    <n v="281.43"/>
    <n v="8"/>
    <x v="6"/>
    <n v="2022"/>
    <n v="-11.55"/>
    <n v="-4.1040400810148175E-2"/>
  </r>
  <r>
    <n v="10198"/>
    <d v="2022-07-17T00:00:00"/>
    <x v="1"/>
    <x v="2"/>
    <s v="Phones"/>
    <x v="3"/>
    <n v="808.63"/>
    <n v="6"/>
    <x v="6"/>
    <n v="2022"/>
    <n v="9.6999999999999993"/>
    <n v="1.1995597492054462E-2"/>
  </r>
  <r>
    <n v="10199"/>
    <d v="2022-07-18T00:00:00"/>
    <x v="2"/>
    <x v="2"/>
    <s v="Binders"/>
    <x v="3"/>
    <n v="151.68"/>
    <n v="7"/>
    <x v="6"/>
    <n v="2022"/>
    <n v="119.04"/>
    <n v="0.78481012658227844"/>
  </r>
  <r>
    <n v="10200"/>
    <d v="2022-07-19T00:00:00"/>
    <x v="0"/>
    <x v="0"/>
    <s v="Binders"/>
    <x v="2"/>
    <n v="791.66"/>
    <n v="1"/>
    <x v="6"/>
    <n v="2022"/>
    <n v="-42.19"/>
    <n v="-5.3293080362781999E-2"/>
  </r>
  <r>
    <n v="10201"/>
    <d v="2022-07-20T00:00:00"/>
    <x v="0"/>
    <x v="0"/>
    <s v="Phones"/>
    <x v="3"/>
    <n v="914.69"/>
    <n v="7"/>
    <x v="6"/>
    <n v="2022"/>
    <n v="-46.42"/>
    <n v="-5.0749434234549411E-2"/>
  </r>
  <r>
    <n v="10202"/>
    <d v="2022-07-21T00:00:00"/>
    <x v="1"/>
    <x v="1"/>
    <s v="Binders"/>
    <x v="2"/>
    <n v="413.69"/>
    <n v="3"/>
    <x v="6"/>
    <n v="2022"/>
    <n v="277.52"/>
    <n v="0.67084048442070143"/>
  </r>
  <r>
    <n v="10203"/>
    <d v="2022-07-22T00:00:00"/>
    <x v="0"/>
    <x v="0"/>
    <s v="Chairs"/>
    <x v="2"/>
    <n v="649.1"/>
    <n v="8"/>
    <x v="6"/>
    <n v="2022"/>
    <n v="221.68"/>
    <n v="0.34151902634416886"/>
  </r>
  <r>
    <n v="10204"/>
    <d v="2022-07-23T00:00:00"/>
    <x v="2"/>
    <x v="1"/>
    <s v="Phones"/>
    <x v="2"/>
    <n v="458.64"/>
    <n v="6"/>
    <x v="6"/>
    <n v="2022"/>
    <n v="-27.74"/>
    <n v="-6.0483167626024764E-2"/>
  </r>
  <r>
    <n v="10205"/>
    <d v="2022-07-24T00:00:00"/>
    <x v="1"/>
    <x v="0"/>
    <s v="Binders"/>
    <x v="4"/>
    <n v="465.88"/>
    <n v="4"/>
    <x v="6"/>
    <n v="2022"/>
    <n v="62.63"/>
    <n v="0.13443375976646346"/>
  </r>
  <r>
    <n v="10206"/>
    <d v="2022-07-25T00:00:00"/>
    <x v="2"/>
    <x v="2"/>
    <s v="Accessories"/>
    <x v="4"/>
    <n v="344.85"/>
    <n v="8"/>
    <x v="6"/>
    <n v="2022"/>
    <n v="42.25"/>
    <n v="0.12251703639263448"/>
  </r>
  <r>
    <n v="10207"/>
    <d v="2022-07-26T00:00:00"/>
    <x v="1"/>
    <x v="1"/>
    <s v="Binders"/>
    <x v="3"/>
    <n v="774.02"/>
    <n v="9"/>
    <x v="6"/>
    <n v="2022"/>
    <n v="216.4"/>
    <n v="0.27957933903516707"/>
  </r>
  <r>
    <n v="10208"/>
    <d v="2022-07-27T00:00:00"/>
    <x v="1"/>
    <x v="1"/>
    <s v="Chairs"/>
    <x v="4"/>
    <n v="939.37"/>
    <n v="2"/>
    <x v="6"/>
    <n v="2022"/>
    <n v="104.09"/>
    <n v="0.11080830769558321"/>
  </r>
  <r>
    <n v="10209"/>
    <d v="2022-07-28T00:00:00"/>
    <x v="3"/>
    <x v="1"/>
    <s v="Tables"/>
    <x v="3"/>
    <n v="943.71"/>
    <n v="6"/>
    <x v="6"/>
    <n v="2022"/>
    <n v="-48.86"/>
    <n v="-5.1774379841264789E-2"/>
  </r>
  <r>
    <n v="10210"/>
    <d v="2022-07-29T00:00:00"/>
    <x v="2"/>
    <x v="2"/>
    <s v="Binders"/>
    <x v="4"/>
    <n v="216.04"/>
    <n v="5"/>
    <x v="6"/>
    <n v="2022"/>
    <n v="195.6"/>
    <n v="0.90538789113127205"/>
  </r>
  <r>
    <n v="10211"/>
    <d v="2022-07-30T00:00:00"/>
    <x v="0"/>
    <x v="2"/>
    <s v="Tables"/>
    <x v="1"/>
    <n v="881.01"/>
    <n v="5"/>
    <x v="6"/>
    <n v="2022"/>
    <n v="58.76"/>
    <n v="6.6696178249963115E-2"/>
  </r>
  <r>
    <n v="10212"/>
    <d v="2022-07-31T00:00:00"/>
    <x v="0"/>
    <x v="2"/>
    <s v="Accessories"/>
    <x v="1"/>
    <n v="750.56"/>
    <n v="3"/>
    <x v="6"/>
    <n v="2022"/>
    <n v="5.17"/>
    <n v="6.8881901513536559E-3"/>
  </r>
  <r>
    <n v="10213"/>
    <d v="2022-08-01T00:00:00"/>
    <x v="2"/>
    <x v="2"/>
    <s v="Binders"/>
    <x v="3"/>
    <n v="290.2"/>
    <n v="8"/>
    <x v="7"/>
    <n v="2022"/>
    <n v="50.2"/>
    <n v="0.17298414886285321"/>
  </r>
  <r>
    <n v="10214"/>
    <d v="2022-08-02T00:00:00"/>
    <x v="0"/>
    <x v="2"/>
    <s v="Phones"/>
    <x v="4"/>
    <n v="113.92"/>
    <n v="8"/>
    <x v="7"/>
    <n v="2022"/>
    <n v="99.1"/>
    <n v="0.8699087078651685"/>
  </r>
  <r>
    <n v="10215"/>
    <d v="2022-08-03T00:00:00"/>
    <x v="0"/>
    <x v="1"/>
    <s v="Tables"/>
    <x v="4"/>
    <n v="304.60000000000002"/>
    <n v="5"/>
    <x v="7"/>
    <n v="2022"/>
    <n v="37.25"/>
    <n v="0.12229152987524622"/>
  </r>
  <r>
    <n v="10216"/>
    <d v="2022-08-04T00:00:00"/>
    <x v="2"/>
    <x v="2"/>
    <s v="Accessories"/>
    <x v="2"/>
    <n v="916.6"/>
    <n v="8"/>
    <x v="7"/>
    <n v="2022"/>
    <n v="-3.24"/>
    <n v="-3.5348025310931704E-3"/>
  </r>
  <r>
    <n v="10217"/>
    <d v="2022-08-05T00:00:00"/>
    <x v="1"/>
    <x v="1"/>
    <s v="Phones"/>
    <x v="0"/>
    <n v="651.52"/>
    <n v="8"/>
    <x v="7"/>
    <n v="2022"/>
    <n v="59.4"/>
    <n v="9.1171414538310416E-2"/>
  </r>
  <r>
    <n v="10218"/>
    <d v="2022-08-06T00:00:00"/>
    <x v="2"/>
    <x v="2"/>
    <s v="Phones"/>
    <x v="3"/>
    <n v="735"/>
    <n v="3"/>
    <x v="7"/>
    <n v="2022"/>
    <n v="-92.33"/>
    <n v="-0.12561904761904763"/>
  </r>
  <r>
    <n v="10219"/>
    <d v="2022-08-07T00:00:00"/>
    <x v="1"/>
    <x v="0"/>
    <s v="Phones"/>
    <x v="0"/>
    <n v="294.29000000000002"/>
    <n v="2"/>
    <x v="7"/>
    <n v="2022"/>
    <n v="209"/>
    <n v="0.71018383227428716"/>
  </r>
  <r>
    <n v="10220"/>
    <d v="2022-08-08T00:00:00"/>
    <x v="0"/>
    <x v="1"/>
    <s v="Phones"/>
    <x v="0"/>
    <n v="733.42"/>
    <n v="9"/>
    <x v="7"/>
    <n v="2022"/>
    <n v="-31.62"/>
    <n v="-4.311308663521584E-2"/>
  </r>
  <r>
    <n v="10221"/>
    <d v="2022-08-09T00:00:00"/>
    <x v="0"/>
    <x v="0"/>
    <s v="Binders"/>
    <x v="3"/>
    <n v="76.72"/>
    <n v="2"/>
    <x v="7"/>
    <n v="2022"/>
    <n v="-82.44"/>
    <n v="-1.0745568300312827"/>
  </r>
  <r>
    <n v="10222"/>
    <d v="2022-08-10T00:00:00"/>
    <x v="0"/>
    <x v="1"/>
    <s v="Binders"/>
    <x v="4"/>
    <n v="406.56"/>
    <n v="9"/>
    <x v="7"/>
    <n v="2022"/>
    <n v="161.47999999999999"/>
    <n v="0.39718614718614714"/>
  </r>
  <r>
    <n v="10223"/>
    <d v="2022-08-11T00:00:00"/>
    <x v="3"/>
    <x v="0"/>
    <s v="Binders"/>
    <x v="3"/>
    <n v="645.41999999999996"/>
    <n v="4"/>
    <x v="7"/>
    <n v="2022"/>
    <n v="209.57"/>
    <n v="0.3247032939791144"/>
  </r>
  <r>
    <n v="10224"/>
    <d v="2022-08-12T00:00:00"/>
    <x v="1"/>
    <x v="2"/>
    <s v="Accessories"/>
    <x v="0"/>
    <n v="188.79"/>
    <n v="2"/>
    <x v="7"/>
    <n v="2022"/>
    <n v="225.53"/>
    <n v="1.194607765241803"/>
  </r>
  <r>
    <n v="10225"/>
    <d v="2022-08-13T00:00:00"/>
    <x v="3"/>
    <x v="2"/>
    <s v="Accessories"/>
    <x v="4"/>
    <n v="831.85"/>
    <n v="1"/>
    <x v="7"/>
    <n v="2022"/>
    <n v="97.4"/>
    <n v="0.11708841738294164"/>
  </r>
  <r>
    <n v="10226"/>
    <d v="2022-08-14T00:00:00"/>
    <x v="3"/>
    <x v="2"/>
    <s v="Accessories"/>
    <x v="1"/>
    <n v="273.27999999999997"/>
    <n v="4"/>
    <x v="7"/>
    <n v="2022"/>
    <n v="-17.850000000000001"/>
    <n v="-6.5317622950819679E-2"/>
  </r>
  <r>
    <n v="10227"/>
    <d v="2022-08-15T00:00:00"/>
    <x v="2"/>
    <x v="1"/>
    <s v="Chairs"/>
    <x v="3"/>
    <n v="669.67"/>
    <n v="9"/>
    <x v="7"/>
    <n v="2022"/>
    <n v="194.89"/>
    <n v="0.29102393716308034"/>
  </r>
  <r>
    <n v="10228"/>
    <d v="2022-08-16T00:00:00"/>
    <x v="3"/>
    <x v="0"/>
    <s v="Accessories"/>
    <x v="3"/>
    <n v="434.94"/>
    <n v="9"/>
    <x v="7"/>
    <n v="2022"/>
    <n v="179.89"/>
    <n v="0.41359727778544164"/>
  </r>
  <r>
    <n v="10229"/>
    <d v="2022-08-17T00:00:00"/>
    <x v="2"/>
    <x v="2"/>
    <s v="Binders"/>
    <x v="4"/>
    <n v="616.24"/>
    <n v="4"/>
    <x v="7"/>
    <n v="2022"/>
    <n v="-1.49"/>
    <n v="-2.4178891341035957E-3"/>
  </r>
  <r>
    <n v="10230"/>
    <d v="2022-08-18T00:00:00"/>
    <x v="2"/>
    <x v="0"/>
    <s v="Binders"/>
    <x v="1"/>
    <n v="152.08000000000001"/>
    <n v="9"/>
    <x v="7"/>
    <n v="2022"/>
    <n v="261.36"/>
    <n v="1.7185691741188847"/>
  </r>
  <r>
    <n v="10231"/>
    <d v="2022-08-19T00:00:00"/>
    <x v="3"/>
    <x v="0"/>
    <s v="Chairs"/>
    <x v="1"/>
    <n v="66.069999999999993"/>
    <n v="6"/>
    <x v="7"/>
    <n v="2022"/>
    <n v="-58.25"/>
    <n v="-0.88164068412290009"/>
  </r>
  <r>
    <n v="10232"/>
    <d v="2022-08-20T00:00:00"/>
    <x v="1"/>
    <x v="2"/>
    <s v="Chairs"/>
    <x v="4"/>
    <n v="914.09"/>
    <n v="1"/>
    <x v="7"/>
    <n v="2022"/>
    <n v="293.08"/>
    <n v="0.32062488376418075"/>
  </r>
  <r>
    <n v="10233"/>
    <d v="2022-08-21T00:00:00"/>
    <x v="1"/>
    <x v="2"/>
    <s v="Accessories"/>
    <x v="2"/>
    <n v="306.14999999999998"/>
    <n v="6"/>
    <x v="7"/>
    <n v="2022"/>
    <n v="244.1"/>
    <n v="0.79732157439163809"/>
  </r>
  <r>
    <n v="10234"/>
    <d v="2022-08-22T00:00:00"/>
    <x v="1"/>
    <x v="0"/>
    <s v="Tables"/>
    <x v="3"/>
    <n v="828.69"/>
    <n v="9"/>
    <x v="7"/>
    <n v="2022"/>
    <n v="175.16"/>
    <n v="0.21136975225959043"/>
  </r>
  <r>
    <n v="10235"/>
    <d v="2022-08-23T00:00:00"/>
    <x v="1"/>
    <x v="2"/>
    <s v="Chairs"/>
    <x v="3"/>
    <n v="999.38"/>
    <n v="2"/>
    <x v="7"/>
    <n v="2022"/>
    <n v="275.5"/>
    <n v="0.27567091596790011"/>
  </r>
  <r>
    <n v="10236"/>
    <d v="2022-08-24T00:00:00"/>
    <x v="1"/>
    <x v="2"/>
    <s v="Phones"/>
    <x v="0"/>
    <n v="250.86"/>
    <n v="6"/>
    <x v="7"/>
    <n v="2022"/>
    <n v="188.92"/>
    <n v="0.75308937255839903"/>
  </r>
  <r>
    <n v="10237"/>
    <d v="2022-08-25T00:00:00"/>
    <x v="3"/>
    <x v="2"/>
    <s v="Binders"/>
    <x v="4"/>
    <n v="301.91000000000003"/>
    <n v="2"/>
    <x v="7"/>
    <n v="2022"/>
    <n v="-23.82"/>
    <n v="-7.8897684740485571E-2"/>
  </r>
  <r>
    <n v="10238"/>
    <d v="2022-08-26T00:00:00"/>
    <x v="3"/>
    <x v="1"/>
    <s v="Phones"/>
    <x v="0"/>
    <n v="679.72"/>
    <n v="4"/>
    <x v="7"/>
    <n v="2022"/>
    <n v="76.86"/>
    <n v="0.11307597245924791"/>
  </r>
  <r>
    <n v="10239"/>
    <d v="2022-08-27T00:00:00"/>
    <x v="0"/>
    <x v="0"/>
    <s v="Binders"/>
    <x v="0"/>
    <n v="967.18"/>
    <n v="8"/>
    <x v="7"/>
    <n v="2022"/>
    <n v="-71.400000000000006"/>
    <n v="-7.3822866477801452E-2"/>
  </r>
  <r>
    <n v="10240"/>
    <d v="2022-08-28T00:00:00"/>
    <x v="1"/>
    <x v="0"/>
    <s v="Binders"/>
    <x v="1"/>
    <n v="920.02"/>
    <n v="7"/>
    <x v="7"/>
    <n v="2022"/>
    <n v="55.86"/>
    <n v="6.07160713897524E-2"/>
  </r>
  <r>
    <n v="10241"/>
    <d v="2022-08-29T00:00:00"/>
    <x v="3"/>
    <x v="1"/>
    <s v="Chairs"/>
    <x v="3"/>
    <n v="527.73"/>
    <n v="9"/>
    <x v="7"/>
    <n v="2022"/>
    <n v="196.64"/>
    <n v="0.37261478407518994"/>
  </r>
  <r>
    <n v="10242"/>
    <d v="2022-08-30T00:00:00"/>
    <x v="0"/>
    <x v="0"/>
    <s v="Chairs"/>
    <x v="0"/>
    <n v="805.35"/>
    <n v="7"/>
    <x v="7"/>
    <n v="2022"/>
    <n v="54.58"/>
    <n v="6.7771776246352514E-2"/>
  </r>
  <r>
    <n v="10243"/>
    <d v="2022-08-31T00:00:00"/>
    <x v="1"/>
    <x v="2"/>
    <s v="Phones"/>
    <x v="1"/>
    <n v="178.96"/>
    <n v="1"/>
    <x v="7"/>
    <n v="2022"/>
    <n v="32.119999999999997"/>
    <n v="0.17948144836835045"/>
  </r>
  <r>
    <n v="10244"/>
    <d v="2022-09-01T00:00:00"/>
    <x v="2"/>
    <x v="0"/>
    <s v="Binders"/>
    <x v="4"/>
    <n v="978.57"/>
    <n v="2"/>
    <x v="8"/>
    <n v="2022"/>
    <n v="138.13999999999999"/>
    <n v="0.14116516958418915"/>
  </r>
  <r>
    <n v="10245"/>
    <d v="2022-09-02T00:00:00"/>
    <x v="0"/>
    <x v="2"/>
    <s v="Phones"/>
    <x v="0"/>
    <n v="966.14"/>
    <n v="6"/>
    <x v="8"/>
    <n v="2022"/>
    <n v="248.88"/>
    <n v="0.25760241786904592"/>
  </r>
  <r>
    <n v="10246"/>
    <d v="2022-09-03T00:00:00"/>
    <x v="3"/>
    <x v="1"/>
    <s v="Tables"/>
    <x v="3"/>
    <n v="205.54"/>
    <n v="7"/>
    <x v="8"/>
    <n v="2022"/>
    <n v="-80.97"/>
    <n v="-0.39393791962635011"/>
  </r>
  <r>
    <n v="10247"/>
    <d v="2022-09-04T00:00:00"/>
    <x v="2"/>
    <x v="2"/>
    <s v="Phones"/>
    <x v="0"/>
    <n v="334.45"/>
    <n v="3"/>
    <x v="8"/>
    <n v="2022"/>
    <n v="54.19"/>
    <n v="0.16202720885035132"/>
  </r>
  <r>
    <n v="10248"/>
    <d v="2022-09-05T00:00:00"/>
    <x v="2"/>
    <x v="0"/>
    <s v="Accessories"/>
    <x v="4"/>
    <n v="145.15"/>
    <n v="9"/>
    <x v="8"/>
    <n v="2022"/>
    <n v="-36.700000000000003"/>
    <n v="-0.25284188770237687"/>
  </r>
  <r>
    <n v="10249"/>
    <d v="2022-09-06T00:00:00"/>
    <x v="2"/>
    <x v="0"/>
    <s v="Phones"/>
    <x v="0"/>
    <n v="308.13"/>
    <n v="7"/>
    <x v="8"/>
    <n v="2022"/>
    <n v="178.14"/>
    <n v="0.57813260636744224"/>
  </r>
  <r>
    <n v="10250"/>
    <d v="2022-09-07T00:00:00"/>
    <x v="0"/>
    <x v="0"/>
    <s v="Accessories"/>
    <x v="3"/>
    <n v="825.16"/>
    <n v="6"/>
    <x v="8"/>
    <n v="2022"/>
    <n v="-57.71"/>
    <n v="-6.9937951427601924E-2"/>
  </r>
  <r>
    <n v="10251"/>
    <d v="2022-09-08T00:00:00"/>
    <x v="3"/>
    <x v="1"/>
    <s v="Accessories"/>
    <x v="1"/>
    <n v="409.4"/>
    <n v="6"/>
    <x v="8"/>
    <n v="2022"/>
    <n v="165.92"/>
    <n v="0.40527601367855398"/>
  </r>
  <r>
    <n v="10252"/>
    <d v="2022-09-09T00:00:00"/>
    <x v="2"/>
    <x v="1"/>
    <s v="Accessories"/>
    <x v="3"/>
    <n v="133.97999999999999"/>
    <n v="1"/>
    <x v="8"/>
    <n v="2022"/>
    <n v="14.47"/>
    <n v="0.10800119420809078"/>
  </r>
  <r>
    <n v="10253"/>
    <d v="2022-09-10T00:00:00"/>
    <x v="1"/>
    <x v="0"/>
    <s v="Tables"/>
    <x v="1"/>
    <n v="375.11"/>
    <n v="5"/>
    <x v="8"/>
    <n v="2022"/>
    <n v="-20.43"/>
    <n v="-5.4464023886326672E-2"/>
  </r>
  <r>
    <n v="10254"/>
    <d v="2022-09-11T00:00:00"/>
    <x v="2"/>
    <x v="2"/>
    <s v="Phones"/>
    <x v="2"/>
    <n v="982.31"/>
    <n v="3"/>
    <x v="8"/>
    <n v="2022"/>
    <n v="274.54000000000002"/>
    <n v="0.27948407325589686"/>
  </r>
  <r>
    <n v="10255"/>
    <d v="2022-09-12T00:00:00"/>
    <x v="2"/>
    <x v="1"/>
    <s v="Phones"/>
    <x v="3"/>
    <n v="648.20000000000005"/>
    <n v="7"/>
    <x v="8"/>
    <n v="2022"/>
    <n v="-92.59"/>
    <n v="-0.14284171551990127"/>
  </r>
  <r>
    <n v="10256"/>
    <d v="2022-09-13T00:00:00"/>
    <x v="0"/>
    <x v="0"/>
    <s v="Tables"/>
    <x v="3"/>
    <n v="445.35"/>
    <n v="3"/>
    <x v="8"/>
    <n v="2022"/>
    <n v="75.11"/>
    <n v="0.16865386774447064"/>
  </r>
  <r>
    <n v="10257"/>
    <d v="2022-09-14T00:00:00"/>
    <x v="0"/>
    <x v="0"/>
    <s v="Binders"/>
    <x v="4"/>
    <n v="208.21"/>
    <n v="5"/>
    <x v="8"/>
    <n v="2022"/>
    <n v="-91.35"/>
    <n v="-0.43873973392248206"/>
  </r>
  <r>
    <n v="10258"/>
    <d v="2022-09-15T00:00:00"/>
    <x v="3"/>
    <x v="1"/>
    <s v="Chairs"/>
    <x v="0"/>
    <n v="986.87"/>
    <n v="7"/>
    <x v="8"/>
    <n v="2022"/>
    <n v="93.44"/>
    <n v="9.4683190288487845E-2"/>
  </r>
  <r>
    <n v="10259"/>
    <d v="2022-09-16T00:00:00"/>
    <x v="1"/>
    <x v="1"/>
    <s v="Phones"/>
    <x v="1"/>
    <n v="829.81"/>
    <n v="3"/>
    <x v="8"/>
    <n v="2022"/>
    <n v="100.42"/>
    <n v="0.12101565418589799"/>
  </r>
  <r>
    <n v="10260"/>
    <d v="2022-09-17T00:00:00"/>
    <x v="0"/>
    <x v="1"/>
    <s v="Chairs"/>
    <x v="1"/>
    <n v="317.39999999999998"/>
    <n v="2"/>
    <x v="8"/>
    <n v="2022"/>
    <n v="28.66"/>
    <n v="9.0296156269691244E-2"/>
  </r>
  <r>
    <n v="10261"/>
    <d v="2022-09-18T00:00:00"/>
    <x v="2"/>
    <x v="2"/>
    <s v="Tables"/>
    <x v="4"/>
    <n v="116.57"/>
    <n v="6"/>
    <x v="8"/>
    <n v="2022"/>
    <n v="-47.14"/>
    <n v="-0.4043922106888565"/>
  </r>
  <r>
    <n v="10262"/>
    <d v="2022-09-19T00:00:00"/>
    <x v="3"/>
    <x v="2"/>
    <s v="Binders"/>
    <x v="4"/>
    <n v="103.79"/>
    <n v="8"/>
    <x v="8"/>
    <n v="2022"/>
    <n v="50.56"/>
    <n v="0.48713748916080546"/>
  </r>
  <r>
    <n v="10263"/>
    <d v="2022-09-20T00:00:00"/>
    <x v="2"/>
    <x v="0"/>
    <s v="Binders"/>
    <x v="0"/>
    <n v="164.36"/>
    <n v="4"/>
    <x v="8"/>
    <n v="2022"/>
    <n v="168.91"/>
    <n v="1.0276831345826234"/>
  </r>
  <r>
    <n v="10264"/>
    <d v="2022-09-21T00:00:00"/>
    <x v="2"/>
    <x v="1"/>
    <s v="Binders"/>
    <x v="0"/>
    <n v="601.73"/>
    <n v="9"/>
    <x v="8"/>
    <n v="2022"/>
    <n v="212.96"/>
    <n v="0.35391288451631131"/>
  </r>
  <r>
    <n v="10265"/>
    <d v="2022-09-22T00:00:00"/>
    <x v="0"/>
    <x v="2"/>
    <s v="Tables"/>
    <x v="3"/>
    <n v="932.33"/>
    <n v="8"/>
    <x v="8"/>
    <n v="2022"/>
    <n v="112.3"/>
    <n v="0.12045091330322953"/>
  </r>
  <r>
    <n v="10266"/>
    <d v="2022-09-23T00:00:00"/>
    <x v="3"/>
    <x v="1"/>
    <s v="Accessories"/>
    <x v="2"/>
    <n v="521.91"/>
    <n v="7"/>
    <x v="8"/>
    <n v="2022"/>
    <n v="135.93"/>
    <n v="0.26044720354084039"/>
  </r>
  <r>
    <n v="10267"/>
    <d v="2022-09-24T00:00:00"/>
    <x v="1"/>
    <x v="0"/>
    <s v="Accessories"/>
    <x v="0"/>
    <n v="850.8"/>
    <n v="7"/>
    <x v="8"/>
    <n v="2022"/>
    <n v="-19.75"/>
    <n v="-2.3213446168312179E-2"/>
  </r>
  <r>
    <n v="10268"/>
    <d v="2022-09-25T00:00:00"/>
    <x v="1"/>
    <x v="2"/>
    <s v="Chairs"/>
    <x v="4"/>
    <n v="473.59"/>
    <n v="3"/>
    <x v="8"/>
    <n v="2022"/>
    <n v="14.93"/>
    <n v="3.1525158892713109E-2"/>
  </r>
  <r>
    <n v="10269"/>
    <d v="2022-09-26T00:00:00"/>
    <x v="0"/>
    <x v="2"/>
    <s v="Accessories"/>
    <x v="0"/>
    <n v="723.15"/>
    <n v="6"/>
    <x v="8"/>
    <n v="2022"/>
    <n v="-35.24"/>
    <n v="-4.8731245246491049E-2"/>
  </r>
  <r>
    <n v="10270"/>
    <d v="2022-09-27T00:00:00"/>
    <x v="0"/>
    <x v="2"/>
    <s v="Accessories"/>
    <x v="1"/>
    <n v="745.28"/>
    <n v="5"/>
    <x v="8"/>
    <n v="2022"/>
    <n v="-0.28000000000000003"/>
    <n v="-3.7569772434521259E-4"/>
  </r>
  <r>
    <n v="10271"/>
    <d v="2022-09-28T00:00:00"/>
    <x v="3"/>
    <x v="0"/>
    <s v="Binders"/>
    <x v="2"/>
    <n v="215.27"/>
    <n v="1"/>
    <x v="8"/>
    <n v="2022"/>
    <n v="-10.050000000000001"/>
    <n v="-4.6685557671761045E-2"/>
  </r>
  <r>
    <n v="10272"/>
    <d v="2022-09-29T00:00:00"/>
    <x v="1"/>
    <x v="1"/>
    <s v="Binders"/>
    <x v="3"/>
    <n v="393.16"/>
    <n v="3"/>
    <x v="8"/>
    <n v="2022"/>
    <n v="107.78"/>
    <n v="0.27413775562112114"/>
  </r>
  <r>
    <n v="10273"/>
    <d v="2022-09-30T00:00:00"/>
    <x v="1"/>
    <x v="2"/>
    <s v="Chairs"/>
    <x v="1"/>
    <n v="655.44"/>
    <n v="1"/>
    <x v="8"/>
    <n v="2022"/>
    <n v="125.08"/>
    <n v="0.19083363847186621"/>
  </r>
  <r>
    <n v="10274"/>
    <d v="2022-10-01T00:00:00"/>
    <x v="1"/>
    <x v="0"/>
    <s v="Phones"/>
    <x v="1"/>
    <n v="117.16"/>
    <n v="4"/>
    <x v="9"/>
    <n v="2022"/>
    <n v="277.98"/>
    <n v="2.3726527825196313"/>
  </r>
  <r>
    <n v="10275"/>
    <d v="2022-10-02T00:00:00"/>
    <x v="2"/>
    <x v="1"/>
    <s v="Chairs"/>
    <x v="2"/>
    <n v="393.46"/>
    <n v="3"/>
    <x v="9"/>
    <n v="2022"/>
    <n v="-21.77"/>
    <n v="-5.5329639607583997E-2"/>
  </r>
  <r>
    <n v="10276"/>
    <d v="2022-10-03T00:00:00"/>
    <x v="1"/>
    <x v="0"/>
    <s v="Chairs"/>
    <x v="3"/>
    <n v="558.05999999999995"/>
    <n v="4"/>
    <x v="9"/>
    <n v="2022"/>
    <n v="156.66999999999999"/>
    <n v="0.28074042217682688"/>
  </r>
  <r>
    <n v="10277"/>
    <d v="2022-10-04T00:00:00"/>
    <x v="2"/>
    <x v="1"/>
    <s v="Tables"/>
    <x v="4"/>
    <n v="996.41"/>
    <n v="9"/>
    <x v="9"/>
    <n v="2022"/>
    <n v="226.9"/>
    <n v="0.2277175058459871"/>
  </r>
  <r>
    <n v="10278"/>
    <d v="2022-10-05T00:00:00"/>
    <x v="3"/>
    <x v="0"/>
    <s v="Tables"/>
    <x v="3"/>
    <n v="500.81"/>
    <n v="3"/>
    <x v="9"/>
    <n v="2022"/>
    <n v="124.1"/>
    <n v="0.24779856632255745"/>
  </r>
  <r>
    <n v="10279"/>
    <d v="2022-10-06T00:00:00"/>
    <x v="2"/>
    <x v="1"/>
    <s v="Chairs"/>
    <x v="0"/>
    <n v="825.25"/>
    <n v="6"/>
    <x v="9"/>
    <n v="2022"/>
    <n v="2"/>
    <n v="2.4235080278703423E-3"/>
  </r>
  <r>
    <n v="10280"/>
    <d v="2022-10-07T00:00:00"/>
    <x v="3"/>
    <x v="2"/>
    <s v="Chairs"/>
    <x v="1"/>
    <n v="460.46"/>
    <n v="6"/>
    <x v="9"/>
    <n v="2022"/>
    <n v="5.0199999999999996"/>
    <n v="1.0902141336923946E-2"/>
  </r>
  <r>
    <n v="10281"/>
    <d v="2022-10-08T00:00:00"/>
    <x v="1"/>
    <x v="1"/>
    <s v="Chairs"/>
    <x v="0"/>
    <n v="806.57"/>
    <n v="7"/>
    <x v="9"/>
    <n v="2022"/>
    <n v="-84.3"/>
    <n v="-0.10451665695475904"/>
  </r>
  <r>
    <n v="10282"/>
    <d v="2022-10-09T00:00:00"/>
    <x v="1"/>
    <x v="0"/>
    <s v="Accessories"/>
    <x v="4"/>
    <n v="615.64"/>
    <n v="9"/>
    <x v="9"/>
    <n v="2022"/>
    <n v="22.18"/>
    <n v="3.6027548567344553E-2"/>
  </r>
  <r>
    <n v="10283"/>
    <d v="2022-10-10T00:00:00"/>
    <x v="3"/>
    <x v="0"/>
    <s v="Tables"/>
    <x v="0"/>
    <n v="892.27"/>
    <n v="7"/>
    <x v="9"/>
    <n v="2022"/>
    <n v="197.84"/>
    <n v="0.22172660741703745"/>
  </r>
  <r>
    <n v="10284"/>
    <d v="2022-10-11T00:00:00"/>
    <x v="0"/>
    <x v="1"/>
    <s v="Chairs"/>
    <x v="3"/>
    <n v="440.4"/>
    <n v="1"/>
    <x v="9"/>
    <n v="2022"/>
    <n v="-80.989999999999995"/>
    <n v="-0.1839009990917348"/>
  </r>
  <r>
    <n v="10285"/>
    <d v="2022-10-12T00:00:00"/>
    <x v="3"/>
    <x v="2"/>
    <s v="Binders"/>
    <x v="0"/>
    <n v="624.09"/>
    <n v="8"/>
    <x v="9"/>
    <n v="2022"/>
    <n v="-12.28"/>
    <n v="-1.9676649201237E-2"/>
  </r>
  <r>
    <n v="10286"/>
    <d v="2022-10-13T00:00:00"/>
    <x v="0"/>
    <x v="2"/>
    <s v="Binders"/>
    <x v="4"/>
    <n v="648.52"/>
    <n v="5"/>
    <x v="9"/>
    <n v="2022"/>
    <n v="182.49"/>
    <n v="0.28139455992105106"/>
  </r>
  <r>
    <n v="10287"/>
    <d v="2022-10-14T00:00:00"/>
    <x v="2"/>
    <x v="1"/>
    <s v="Accessories"/>
    <x v="4"/>
    <n v="446.51"/>
    <n v="9"/>
    <x v="9"/>
    <n v="2022"/>
    <n v="213.06"/>
    <n v="0.47716736467268372"/>
  </r>
  <r>
    <n v="10288"/>
    <d v="2022-10-15T00:00:00"/>
    <x v="2"/>
    <x v="1"/>
    <s v="Accessories"/>
    <x v="4"/>
    <n v="187.1"/>
    <n v="5"/>
    <x v="9"/>
    <n v="2022"/>
    <n v="82.13"/>
    <n v="0.43896312132549437"/>
  </r>
  <r>
    <n v="10289"/>
    <d v="2022-10-16T00:00:00"/>
    <x v="2"/>
    <x v="0"/>
    <s v="Phones"/>
    <x v="3"/>
    <n v="138.88"/>
    <n v="5"/>
    <x v="9"/>
    <n v="2022"/>
    <n v="179.23"/>
    <n v="1.290538594470046"/>
  </r>
  <r>
    <n v="10290"/>
    <d v="2022-10-17T00:00:00"/>
    <x v="1"/>
    <x v="2"/>
    <s v="Phones"/>
    <x v="4"/>
    <n v="65.84"/>
    <n v="2"/>
    <x v="9"/>
    <n v="2022"/>
    <n v="55.18"/>
    <n v="0.83809234507897934"/>
  </r>
  <r>
    <n v="10291"/>
    <d v="2022-10-18T00:00:00"/>
    <x v="2"/>
    <x v="1"/>
    <s v="Phones"/>
    <x v="1"/>
    <n v="879.86"/>
    <n v="3"/>
    <x v="9"/>
    <n v="2022"/>
    <n v="-36.03"/>
    <n v="-4.094969654263178E-2"/>
  </r>
  <r>
    <n v="10292"/>
    <d v="2022-10-19T00:00:00"/>
    <x v="0"/>
    <x v="2"/>
    <s v="Accessories"/>
    <x v="4"/>
    <n v="274.64999999999998"/>
    <n v="9"/>
    <x v="9"/>
    <n v="2022"/>
    <n v="59.26"/>
    <n v="0.21576551975241218"/>
  </r>
  <r>
    <n v="10293"/>
    <d v="2022-10-20T00:00:00"/>
    <x v="2"/>
    <x v="1"/>
    <s v="Accessories"/>
    <x v="0"/>
    <n v="250.93"/>
    <n v="7"/>
    <x v="9"/>
    <n v="2022"/>
    <n v="131.99"/>
    <n v="0.52600326784362172"/>
  </r>
  <r>
    <n v="10294"/>
    <d v="2022-10-21T00:00:00"/>
    <x v="3"/>
    <x v="1"/>
    <s v="Accessories"/>
    <x v="0"/>
    <n v="749.23"/>
    <n v="1"/>
    <x v="9"/>
    <n v="2022"/>
    <n v="279.22000000000003"/>
    <n v="0.37267594730590076"/>
  </r>
  <r>
    <n v="10295"/>
    <d v="2022-10-22T00:00:00"/>
    <x v="3"/>
    <x v="2"/>
    <s v="Binders"/>
    <x v="0"/>
    <n v="354.02"/>
    <n v="3"/>
    <x v="9"/>
    <n v="2022"/>
    <n v="-72.5"/>
    <n v="-0.20479068979153722"/>
  </r>
  <r>
    <n v="10296"/>
    <d v="2022-10-23T00:00:00"/>
    <x v="1"/>
    <x v="1"/>
    <s v="Accessories"/>
    <x v="3"/>
    <n v="530.74"/>
    <n v="2"/>
    <x v="9"/>
    <n v="2022"/>
    <n v="102.96"/>
    <n v="0.19399329238421825"/>
  </r>
  <r>
    <n v="10297"/>
    <d v="2022-10-24T00:00:00"/>
    <x v="3"/>
    <x v="1"/>
    <s v="Binders"/>
    <x v="0"/>
    <n v="204.39"/>
    <n v="1"/>
    <x v="9"/>
    <n v="2022"/>
    <n v="31.57"/>
    <n v="0.15445961152698273"/>
  </r>
  <r>
    <n v="10298"/>
    <d v="2022-10-25T00:00:00"/>
    <x v="0"/>
    <x v="0"/>
    <s v="Phones"/>
    <x v="3"/>
    <n v="961.76"/>
    <n v="9"/>
    <x v="9"/>
    <n v="2022"/>
    <n v="103.32"/>
    <n v="0.10742804857760771"/>
  </r>
  <r>
    <n v="10299"/>
    <d v="2022-10-26T00:00:00"/>
    <x v="2"/>
    <x v="1"/>
    <s v="Phones"/>
    <x v="3"/>
    <n v="859"/>
    <n v="8"/>
    <x v="9"/>
    <n v="2022"/>
    <n v="-90.41"/>
    <n v="-0.10525029103608848"/>
  </r>
  <r>
    <n v="10300"/>
    <d v="2022-10-27T00:00:00"/>
    <x v="1"/>
    <x v="1"/>
    <s v="Phones"/>
    <x v="4"/>
    <n v="870.6"/>
    <n v="5"/>
    <x v="9"/>
    <n v="2022"/>
    <n v="25.21"/>
    <n v="2.8957041121065931E-2"/>
  </r>
  <r>
    <n v="10301"/>
    <d v="2022-10-28T00:00:00"/>
    <x v="2"/>
    <x v="1"/>
    <s v="Chairs"/>
    <x v="1"/>
    <n v="436.44"/>
    <n v="2"/>
    <x v="9"/>
    <n v="2022"/>
    <n v="227.95"/>
    <n v="0.5222940152140042"/>
  </r>
  <r>
    <n v="10302"/>
    <d v="2022-10-29T00:00:00"/>
    <x v="2"/>
    <x v="0"/>
    <s v="Chairs"/>
    <x v="4"/>
    <n v="774.24"/>
    <n v="1"/>
    <x v="9"/>
    <n v="2022"/>
    <n v="121.58"/>
    <n v="0.15703141144864641"/>
  </r>
  <r>
    <n v="10303"/>
    <d v="2022-10-30T00:00:00"/>
    <x v="0"/>
    <x v="2"/>
    <s v="Tables"/>
    <x v="4"/>
    <n v="186.68"/>
    <n v="7"/>
    <x v="9"/>
    <n v="2022"/>
    <n v="80.23"/>
    <n v="0.42977287336618814"/>
  </r>
  <r>
    <n v="10304"/>
    <d v="2022-10-31T00:00:00"/>
    <x v="3"/>
    <x v="0"/>
    <s v="Tables"/>
    <x v="3"/>
    <n v="58.19"/>
    <n v="2"/>
    <x v="9"/>
    <n v="2022"/>
    <n v="14.21"/>
    <n v="0.24420003437016671"/>
  </r>
  <r>
    <n v="10305"/>
    <d v="2022-11-01T00:00:00"/>
    <x v="3"/>
    <x v="0"/>
    <s v="Tables"/>
    <x v="3"/>
    <n v="68.97"/>
    <n v="1"/>
    <x v="10"/>
    <n v="2022"/>
    <n v="19.22"/>
    <n v="0.27867188632738871"/>
  </r>
  <r>
    <n v="10306"/>
    <d v="2022-11-02T00:00:00"/>
    <x v="2"/>
    <x v="2"/>
    <s v="Chairs"/>
    <x v="0"/>
    <n v="607.27"/>
    <n v="2"/>
    <x v="10"/>
    <n v="2022"/>
    <n v="53.24"/>
    <n v="8.7671052414906067E-2"/>
  </r>
  <r>
    <n v="10307"/>
    <d v="2022-11-03T00:00:00"/>
    <x v="1"/>
    <x v="0"/>
    <s v="Chairs"/>
    <x v="0"/>
    <n v="482.63"/>
    <n v="7"/>
    <x v="10"/>
    <n v="2022"/>
    <n v="234.23"/>
    <n v="0.48532001740463709"/>
  </r>
  <r>
    <n v="10308"/>
    <d v="2022-11-04T00:00:00"/>
    <x v="3"/>
    <x v="2"/>
    <s v="Tables"/>
    <x v="4"/>
    <n v="542.11"/>
    <n v="7"/>
    <x v="10"/>
    <n v="2022"/>
    <n v="286.89"/>
    <n v="0.52920993894228108"/>
  </r>
  <r>
    <n v="10309"/>
    <d v="2022-11-05T00:00:00"/>
    <x v="1"/>
    <x v="0"/>
    <s v="Tables"/>
    <x v="2"/>
    <n v="57.09"/>
    <n v="6"/>
    <x v="10"/>
    <n v="2022"/>
    <n v="75.459999999999994"/>
    <n v="1.3217726396917147"/>
  </r>
  <r>
    <n v="10310"/>
    <d v="2022-11-06T00:00:00"/>
    <x v="3"/>
    <x v="2"/>
    <s v="Accessories"/>
    <x v="2"/>
    <n v="451.55"/>
    <n v="5"/>
    <x v="10"/>
    <n v="2022"/>
    <n v="57.34"/>
    <n v="0.12698483002989702"/>
  </r>
  <r>
    <n v="10311"/>
    <d v="2022-11-07T00:00:00"/>
    <x v="1"/>
    <x v="1"/>
    <s v="Tables"/>
    <x v="0"/>
    <n v="732.16"/>
    <n v="3"/>
    <x v="10"/>
    <n v="2022"/>
    <n v="238.62"/>
    <n v="0.32591236888111891"/>
  </r>
  <r>
    <n v="10312"/>
    <d v="2022-11-08T00:00:00"/>
    <x v="0"/>
    <x v="0"/>
    <s v="Accessories"/>
    <x v="2"/>
    <n v="470.56"/>
    <n v="3"/>
    <x v="10"/>
    <n v="2022"/>
    <n v="70.760000000000005"/>
    <n v="0.15037402244134648"/>
  </r>
  <r>
    <n v="10313"/>
    <d v="2022-11-09T00:00:00"/>
    <x v="1"/>
    <x v="0"/>
    <s v="Binders"/>
    <x v="0"/>
    <n v="745.61"/>
    <n v="9"/>
    <x v="10"/>
    <n v="2022"/>
    <n v="120.81"/>
    <n v="0.1620284062713751"/>
  </r>
  <r>
    <n v="10314"/>
    <d v="2022-11-10T00:00:00"/>
    <x v="0"/>
    <x v="0"/>
    <s v="Chairs"/>
    <x v="3"/>
    <n v="271.37"/>
    <n v="4"/>
    <x v="10"/>
    <n v="2022"/>
    <n v="-7.62"/>
    <n v="-2.8079743523602461E-2"/>
  </r>
  <r>
    <n v="10315"/>
    <d v="2022-11-11T00:00:00"/>
    <x v="0"/>
    <x v="0"/>
    <s v="Tables"/>
    <x v="4"/>
    <n v="822.48"/>
    <n v="9"/>
    <x v="10"/>
    <n v="2022"/>
    <n v="197.4"/>
    <n v="0.24000583600817041"/>
  </r>
  <r>
    <n v="10316"/>
    <d v="2022-11-12T00:00:00"/>
    <x v="1"/>
    <x v="1"/>
    <s v="Chairs"/>
    <x v="1"/>
    <n v="609.01"/>
    <n v="4"/>
    <x v="10"/>
    <n v="2022"/>
    <n v="112.8"/>
    <n v="0.18521863351997503"/>
  </r>
  <r>
    <n v="10317"/>
    <d v="2022-11-13T00:00:00"/>
    <x v="0"/>
    <x v="0"/>
    <s v="Chairs"/>
    <x v="4"/>
    <n v="250.22"/>
    <n v="2"/>
    <x v="10"/>
    <n v="2022"/>
    <n v="223.61"/>
    <n v="0.89365358484533619"/>
  </r>
  <r>
    <n v="10318"/>
    <d v="2022-11-14T00:00:00"/>
    <x v="2"/>
    <x v="1"/>
    <s v="Chairs"/>
    <x v="0"/>
    <n v="274.88"/>
    <n v="4"/>
    <x v="10"/>
    <n v="2022"/>
    <n v="212.29"/>
    <n v="0.7723006402793946"/>
  </r>
  <r>
    <n v="10319"/>
    <d v="2022-11-15T00:00:00"/>
    <x v="0"/>
    <x v="1"/>
    <s v="Binders"/>
    <x v="0"/>
    <n v="646.63"/>
    <n v="6"/>
    <x v="10"/>
    <n v="2022"/>
    <n v="-14"/>
    <n v="-2.1650712153781917E-2"/>
  </r>
  <r>
    <n v="10320"/>
    <d v="2022-11-16T00:00:00"/>
    <x v="3"/>
    <x v="1"/>
    <s v="Phones"/>
    <x v="4"/>
    <n v="838.44"/>
    <n v="6"/>
    <x v="10"/>
    <n v="2022"/>
    <n v="186.25"/>
    <n v="0.22213873383903437"/>
  </r>
  <r>
    <n v="10321"/>
    <d v="2022-11-17T00:00:00"/>
    <x v="1"/>
    <x v="1"/>
    <s v="Tables"/>
    <x v="0"/>
    <n v="444.85"/>
    <n v="5"/>
    <x v="10"/>
    <n v="2022"/>
    <n v="220.02"/>
    <n v="0.49459368326402159"/>
  </r>
  <r>
    <n v="10322"/>
    <d v="2022-11-18T00:00:00"/>
    <x v="2"/>
    <x v="2"/>
    <s v="Phones"/>
    <x v="2"/>
    <n v="295.39"/>
    <n v="1"/>
    <x v="10"/>
    <n v="2022"/>
    <n v="38.44"/>
    <n v="0.13013304444971055"/>
  </r>
  <r>
    <n v="10323"/>
    <d v="2022-11-19T00:00:00"/>
    <x v="1"/>
    <x v="2"/>
    <s v="Phones"/>
    <x v="2"/>
    <n v="873.66"/>
    <n v="3"/>
    <x v="10"/>
    <n v="2022"/>
    <n v="-30.96"/>
    <n v="-3.5437126570977272E-2"/>
  </r>
  <r>
    <n v="10324"/>
    <d v="2022-11-20T00:00:00"/>
    <x v="3"/>
    <x v="0"/>
    <s v="Phones"/>
    <x v="0"/>
    <n v="685.8"/>
    <n v="5"/>
    <x v="10"/>
    <n v="2022"/>
    <n v="-98.95"/>
    <n v="-0.14428404782735493"/>
  </r>
  <r>
    <n v="10325"/>
    <d v="2022-11-21T00:00:00"/>
    <x v="3"/>
    <x v="2"/>
    <s v="Chairs"/>
    <x v="0"/>
    <n v="475.68"/>
    <n v="6"/>
    <x v="10"/>
    <n v="2022"/>
    <n v="80.36"/>
    <n v="0.16893710057181299"/>
  </r>
  <r>
    <n v="10326"/>
    <d v="2022-11-22T00:00:00"/>
    <x v="3"/>
    <x v="2"/>
    <s v="Accessories"/>
    <x v="2"/>
    <n v="513.51"/>
    <n v="1"/>
    <x v="10"/>
    <n v="2022"/>
    <n v="40.97"/>
    <n v="7.9784230102627016E-2"/>
  </r>
  <r>
    <n v="10327"/>
    <d v="2022-11-23T00:00:00"/>
    <x v="0"/>
    <x v="0"/>
    <s v="Chairs"/>
    <x v="0"/>
    <n v="244.04"/>
    <n v="9"/>
    <x v="10"/>
    <n v="2022"/>
    <n v="121.96"/>
    <n v="0.49975413866579249"/>
  </r>
  <r>
    <n v="10328"/>
    <d v="2022-11-24T00:00:00"/>
    <x v="0"/>
    <x v="0"/>
    <s v="Chairs"/>
    <x v="0"/>
    <n v="645.46"/>
    <n v="3"/>
    <x v="10"/>
    <n v="2022"/>
    <n v="-24.78"/>
    <n v="-3.8391224862888484E-2"/>
  </r>
  <r>
    <n v="10329"/>
    <d v="2022-11-25T00:00:00"/>
    <x v="1"/>
    <x v="0"/>
    <s v="Phones"/>
    <x v="4"/>
    <n v="390.81"/>
    <n v="3"/>
    <x v="10"/>
    <n v="2022"/>
    <n v="243.87"/>
    <n v="0.62401166807400021"/>
  </r>
  <r>
    <n v="10330"/>
    <d v="2022-11-26T00:00:00"/>
    <x v="1"/>
    <x v="2"/>
    <s v="Chairs"/>
    <x v="1"/>
    <n v="995.86"/>
    <n v="2"/>
    <x v="10"/>
    <n v="2022"/>
    <n v="3.1"/>
    <n v="3.1128873536440866E-3"/>
  </r>
  <r>
    <n v="10331"/>
    <d v="2022-11-27T00:00:00"/>
    <x v="2"/>
    <x v="2"/>
    <s v="Phones"/>
    <x v="2"/>
    <n v="506.17"/>
    <n v="8"/>
    <x v="10"/>
    <n v="2022"/>
    <n v="-9.43"/>
    <n v="-1.8630104510342374E-2"/>
  </r>
  <r>
    <n v="10332"/>
    <d v="2022-11-28T00:00:00"/>
    <x v="2"/>
    <x v="0"/>
    <s v="Accessories"/>
    <x v="4"/>
    <n v="511.59"/>
    <n v="3"/>
    <x v="10"/>
    <n v="2022"/>
    <n v="92.29"/>
    <n v="0.18039836587892649"/>
  </r>
  <r>
    <n v="10333"/>
    <d v="2022-11-29T00:00:00"/>
    <x v="1"/>
    <x v="1"/>
    <s v="Tables"/>
    <x v="1"/>
    <n v="587.55999999999995"/>
    <n v="6"/>
    <x v="10"/>
    <n v="2022"/>
    <n v="99.54"/>
    <n v="0.16941248553339236"/>
  </r>
  <r>
    <n v="10334"/>
    <d v="2022-11-30T00:00:00"/>
    <x v="0"/>
    <x v="0"/>
    <s v="Phones"/>
    <x v="0"/>
    <n v="920.92"/>
    <n v="2"/>
    <x v="10"/>
    <n v="2022"/>
    <n v="-13.97"/>
    <n v="-1.5169612995699954E-2"/>
  </r>
  <r>
    <n v="10335"/>
    <d v="2022-12-01T00:00:00"/>
    <x v="3"/>
    <x v="1"/>
    <s v="Accessories"/>
    <x v="0"/>
    <n v="810.78"/>
    <n v="7"/>
    <x v="11"/>
    <n v="2022"/>
    <n v="8.74"/>
    <n v="1.0779742963565949E-2"/>
  </r>
  <r>
    <n v="10336"/>
    <d v="2022-12-02T00:00:00"/>
    <x v="1"/>
    <x v="1"/>
    <s v="Tables"/>
    <x v="4"/>
    <n v="478.57"/>
    <n v="4"/>
    <x v="11"/>
    <n v="2022"/>
    <n v="-32.119999999999997"/>
    <n v="-6.7116618258561966E-2"/>
  </r>
  <r>
    <n v="10337"/>
    <d v="2022-12-03T00:00:00"/>
    <x v="2"/>
    <x v="0"/>
    <s v="Binders"/>
    <x v="0"/>
    <n v="732.76"/>
    <n v="9"/>
    <x v="11"/>
    <n v="2022"/>
    <n v="187.38"/>
    <n v="0.2557181068835635"/>
  </r>
  <r>
    <n v="10338"/>
    <d v="2022-12-04T00:00:00"/>
    <x v="0"/>
    <x v="0"/>
    <s v="Phones"/>
    <x v="3"/>
    <n v="606.91999999999996"/>
    <n v="9"/>
    <x v="11"/>
    <n v="2022"/>
    <n v="208.04"/>
    <n v="0.34277993804784818"/>
  </r>
  <r>
    <n v="10339"/>
    <d v="2022-12-05T00:00:00"/>
    <x v="1"/>
    <x v="0"/>
    <s v="Phones"/>
    <x v="4"/>
    <n v="517.75"/>
    <n v="7"/>
    <x v="11"/>
    <n v="2022"/>
    <n v="84.93"/>
    <n v="0.16403669724770645"/>
  </r>
  <r>
    <n v="10340"/>
    <d v="2022-12-06T00:00:00"/>
    <x v="1"/>
    <x v="2"/>
    <s v="Binders"/>
    <x v="1"/>
    <n v="232.7"/>
    <n v="8"/>
    <x v="11"/>
    <n v="2022"/>
    <n v="185.63"/>
    <n v="0.79772238934250106"/>
  </r>
  <r>
    <n v="10341"/>
    <d v="2022-12-07T00:00:00"/>
    <x v="0"/>
    <x v="1"/>
    <s v="Binders"/>
    <x v="4"/>
    <n v="490.74"/>
    <n v="3"/>
    <x v="11"/>
    <n v="2022"/>
    <n v="194.37"/>
    <n v="0.39607531483066388"/>
  </r>
  <r>
    <n v="10342"/>
    <d v="2022-12-08T00:00:00"/>
    <x v="1"/>
    <x v="2"/>
    <s v="Phones"/>
    <x v="2"/>
    <n v="283.52999999999997"/>
    <n v="5"/>
    <x v="11"/>
    <n v="2022"/>
    <n v="-44.69"/>
    <n v="-0.15762000493774911"/>
  </r>
  <r>
    <n v="10343"/>
    <d v="2022-12-09T00:00:00"/>
    <x v="0"/>
    <x v="2"/>
    <s v="Binders"/>
    <x v="4"/>
    <n v="919.1"/>
    <n v="2"/>
    <x v="11"/>
    <n v="2022"/>
    <n v="286.47000000000003"/>
    <n v="0.31168534435861173"/>
  </r>
  <r>
    <n v="10344"/>
    <d v="2022-12-10T00:00:00"/>
    <x v="3"/>
    <x v="0"/>
    <s v="Chairs"/>
    <x v="0"/>
    <n v="368.64"/>
    <n v="7"/>
    <x v="11"/>
    <n v="2022"/>
    <n v="228.41"/>
    <n v="0.61960177951388895"/>
  </r>
  <r>
    <n v="10345"/>
    <d v="2022-12-11T00:00:00"/>
    <x v="0"/>
    <x v="2"/>
    <s v="Tables"/>
    <x v="0"/>
    <n v="954.65"/>
    <n v="8"/>
    <x v="11"/>
    <n v="2022"/>
    <n v="-18.21"/>
    <n v="-1.9075053684596451E-2"/>
  </r>
  <r>
    <n v="10346"/>
    <d v="2022-12-12T00:00:00"/>
    <x v="0"/>
    <x v="0"/>
    <s v="Tables"/>
    <x v="3"/>
    <n v="556.4"/>
    <n v="9"/>
    <x v="11"/>
    <n v="2022"/>
    <n v="-25.53"/>
    <n v="-4.5884255930984906E-2"/>
  </r>
  <r>
    <n v="10347"/>
    <d v="2022-12-13T00:00:00"/>
    <x v="0"/>
    <x v="1"/>
    <s v="Tables"/>
    <x v="3"/>
    <n v="649.97"/>
    <n v="7"/>
    <x v="11"/>
    <n v="2022"/>
    <n v="-49.74"/>
    <n v="-7.6526608920411715E-2"/>
  </r>
  <r>
    <n v="10348"/>
    <d v="2022-12-14T00:00:00"/>
    <x v="1"/>
    <x v="0"/>
    <s v="Chairs"/>
    <x v="3"/>
    <n v="565.79"/>
    <n v="8"/>
    <x v="11"/>
    <n v="2022"/>
    <n v="-44.65"/>
    <n v="-7.8916205659343569E-2"/>
  </r>
  <r>
    <n v="10349"/>
    <d v="2022-12-15T00:00:00"/>
    <x v="1"/>
    <x v="2"/>
    <s v="Binders"/>
    <x v="1"/>
    <n v="172.91"/>
    <n v="9"/>
    <x v="11"/>
    <n v="2022"/>
    <n v="199.26"/>
    <n v="1.1523914175004337"/>
  </r>
  <r>
    <n v="10350"/>
    <d v="2022-12-16T00:00:00"/>
    <x v="0"/>
    <x v="2"/>
    <s v="Accessories"/>
    <x v="3"/>
    <n v="407.03"/>
    <n v="6"/>
    <x v="11"/>
    <n v="2022"/>
    <n v="87.86"/>
    <n v="0.21585632508660296"/>
  </r>
  <r>
    <n v="10351"/>
    <d v="2022-12-17T00:00:00"/>
    <x v="1"/>
    <x v="0"/>
    <s v="Binders"/>
    <x v="1"/>
    <n v="144.19"/>
    <n v="2"/>
    <x v="11"/>
    <n v="2022"/>
    <n v="213.17"/>
    <n v="1.4783965600943199"/>
  </r>
  <r>
    <n v="10352"/>
    <d v="2022-12-18T00:00:00"/>
    <x v="2"/>
    <x v="0"/>
    <s v="Phones"/>
    <x v="3"/>
    <n v="641.80999999999995"/>
    <n v="2"/>
    <x v="11"/>
    <n v="2022"/>
    <n v="198.5"/>
    <n v="0.30928156307941607"/>
  </r>
  <r>
    <n v="10353"/>
    <d v="2022-12-19T00:00:00"/>
    <x v="2"/>
    <x v="2"/>
    <s v="Tables"/>
    <x v="1"/>
    <n v="474.53"/>
    <n v="4"/>
    <x v="11"/>
    <n v="2022"/>
    <n v="141.85"/>
    <n v="0.29892735970328538"/>
  </r>
  <r>
    <n v="10354"/>
    <d v="2022-12-20T00:00:00"/>
    <x v="1"/>
    <x v="1"/>
    <s v="Binders"/>
    <x v="4"/>
    <n v="789.09"/>
    <n v="9"/>
    <x v="11"/>
    <n v="2022"/>
    <n v="174.55"/>
    <n v="0.22120417189420727"/>
  </r>
  <r>
    <n v="10355"/>
    <d v="2022-12-21T00:00:00"/>
    <x v="1"/>
    <x v="1"/>
    <s v="Accessories"/>
    <x v="4"/>
    <n v="259.45"/>
    <n v="7"/>
    <x v="11"/>
    <n v="2022"/>
    <n v="-92.66"/>
    <n v="-0.3571401040662941"/>
  </r>
  <r>
    <n v="10356"/>
    <d v="2022-12-22T00:00:00"/>
    <x v="0"/>
    <x v="0"/>
    <s v="Phones"/>
    <x v="0"/>
    <n v="206.34"/>
    <n v="2"/>
    <x v="11"/>
    <n v="2022"/>
    <n v="24.71"/>
    <n v="0.11975380440050402"/>
  </r>
  <r>
    <n v="10357"/>
    <d v="2022-12-23T00:00:00"/>
    <x v="3"/>
    <x v="1"/>
    <s v="Chairs"/>
    <x v="1"/>
    <n v="436.02"/>
    <n v="8"/>
    <x v="11"/>
    <n v="2022"/>
    <n v="155.13"/>
    <n v="0.35578643181505437"/>
  </r>
  <r>
    <n v="10358"/>
    <d v="2022-12-24T00:00:00"/>
    <x v="1"/>
    <x v="2"/>
    <s v="Chairs"/>
    <x v="2"/>
    <n v="930.26"/>
    <n v="7"/>
    <x v="11"/>
    <n v="2022"/>
    <n v="-96.26"/>
    <n v="-0.10347644744480039"/>
  </r>
  <r>
    <n v="10359"/>
    <d v="2022-12-25T00:00:00"/>
    <x v="2"/>
    <x v="0"/>
    <s v="Accessories"/>
    <x v="0"/>
    <n v="724.9"/>
    <n v="9"/>
    <x v="11"/>
    <n v="2022"/>
    <n v="-86.81"/>
    <n v="-0.11975444888950201"/>
  </r>
  <r>
    <n v="10360"/>
    <d v="2022-12-26T00:00:00"/>
    <x v="0"/>
    <x v="2"/>
    <s v="Phones"/>
    <x v="4"/>
    <n v="447.98"/>
    <n v="8"/>
    <x v="11"/>
    <n v="2022"/>
    <n v="240.76"/>
    <n v="0.53743470690655826"/>
  </r>
  <r>
    <n v="10361"/>
    <d v="2022-12-27T00:00:00"/>
    <x v="1"/>
    <x v="2"/>
    <s v="Tables"/>
    <x v="1"/>
    <n v="541.41"/>
    <n v="3"/>
    <x v="11"/>
    <n v="2022"/>
    <n v="173.61"/>
    <n v="0.32066271402449165"/>
  </r>
  <r>
    <n v="10362"/>
    <d v="2022-12-28T00:00:00"/>
    <x v="2"/>
    <x v="1"/>
    <s v="Binders"/>
    <x v="3"/>
    <n v="130"/>
    <n v="1"/>
    <x v="11"/>
    <n v="2022"/>
    <n v="6.15"/>
    <n v="4.7307692307692308E-2"/>
  </r>
  <r>
    <n v="10363"/>
    <d v="2022-12-29T00:00:00"/>
    <x v="2"/>
    <x v="0"/>
    <s v="Phones"/>
    <x v="2"/>
    <n v="985.35"/>
    <n v="2"/>
    <x v="11"/>
    <n v="2022"/>
    <n v="175.19"/>
    <n v="0.17779469224133557"/>
  </r>
  <r>
    <n v="10364"/>
    <d v="2022-12-30T00:00:00"/>
    <x v="3"/>
    <x v="0"/>
    <s v="Chairs"/>
    <x v="4"/>
    <n v="683.09"/>
    <n v="2"/>
    <x v="11"/>
    <n v="2022"/>
    <n v="216.98"/>
    <n v="0.31764481986268278"/>
  </r>
  <r>
    <n v="10365"/>
    <d v="2022-12-31T00:00:00"/>
    <x v="0"/>
    <x v="1"/>
    <s v="Accessories"/>
    <x v="0"/>
    <n v="321.13"/>
    <n v="4"/>
    <x v="11"/>
    <n v="2022"/>
    <n v="22.72"/>
    <n v="7.0750163485192905E-2"/>
  </r>
  <r>
    <n v="10366"/>
    <d v="2023-01-01T00:00:00"/>
    <x v="0"/>
    <x v="2"/>
    <s v="Accessories"/>
    <x v="1"/>
    <n v="606.52"/>
    <n v="6"/>
    <x v="0"/>
    <n v="2023"/>
    <n v="-85.59"/>
    <n v="-0.14111653366748006"/>
  </r>
  <r>
    <n v="10367"/>
    <d v="2023-01-02T00:00:00"/>
    <x v="3"/>
    <x v="2"/>
    <s v="Binders"/>
    <x v="2"/>
    <n v="154.01"/>
    <n v="4"/>
    <x v="0"/>
    <n v="2023"/>
    <n v="273.11"/>
    <n v="1.7733264073761446"/>
  </r>
  <r>
    <n v="10368"/>
    <d v="2023-01-03T00:00:00"/>
    <x v="3"/>
    <x v="2"/>
    <s v="Accessories"/>
    <x v="1"/>
    <n v="967.54"/>
    <n v="9"/>
    <x v="0"/>
    <n v="2023"/>
    <n v="38.07"/>
    <n v="3.9347210451247498E-2"/>
  </r>
  <r>
    <n v="10369"/>
    <d v="2023-01-04T00:00:00"/>
    <x v="0"/>
    <x v="2"/>
    <s v="Accessories"/>
    <x v="3"/>
    <n v="216.05"/>
    <n v="4"/>
    <x v="0"/>
    <n v="2023"/>
    <n v="-57.41"/>
    <n v="-0.26572552649849568"/>
  </r>
  <r>
    <n v="10370"/>
    <d v="2023-01-05T00:00:00"/>
    <x v="0"/>
    <x v="0"/>
    <s v="Phones"/>
    <x v="0"/>
    <n v="665.63"/>
    <n v="6"/>
    <x v="0"/>
    <n v="2023"/>
    <n v="96.74"/>
    <n v="0.14533599747607528"/>
  </r>
  <r>
    <n v="10371"/>
    <d v="2023-01-06T00:00:00"/>
    <x v="1"/>
    <x v="0"/>
    <s v="Tables"/>
    <x v="1"/>
    <n v="283.18"/>
    <n v="6"/>
    <x v="0"/>
    <n v="2023"/>
    <n v="207.39"/>
    <n v="0.73236104244650035"/>
  </r>
  <r>
    <n v="10372"/>
    <d v="2023-01-07T00:00:00"/>
    <x v="1"/>
    <x v="1"/>
    <s v="Binders"/>
    <x v="4"/>
    <n v="731.68"/>
    <n v="1"/>
    <x v="0"/>
    <n v="2023"/>
    <n v="-11.34"/>
    <n v="-1.5498578613601575E-2"/>
  </r>
  <r>
    <n v="10373"/>
    <d v="2023-01-08T00:00:00"/>
    <x v="3"/>
    <x v="1"/>
    <s v="Phones"/>
    <x v="0"/>
    <n v="787.98"/>
    <n v="8"/>
    <x v="0"/>
    <n v="2023"/>
    <n v="7.8"/>
    <n v="9.898728394121677E-3"/>
  </r>
  <r>
    <n v="10374"/>
    <d v="2023-01-09T00:00:00"/>
    <x v="1"/>
    <x v="0"/>
    <s v="Tables"/>
    <x v="4"/>
    <n v="689.75"/>
    <n v="3"/>
    <x v="0"/>
    <n v="2023"/>
    <n v="-2.91"/>
    <n v="-4.2189198985139549E-3"/>
  </r>
  <r>
    <n v="10375"/>
    <d v="2023-01-10T00:00:00"/>
    <x v="2"/>
    <x v="0"/>
    <s v="Phones"/>
    <x v="1"/>
    <n v="633.77"/>
    <n v="6"/>
    <x v="0"/>
    <n v="2023"/>
    <n v="296.67"/>
    <n v="0.46810357069599384"/>
  </r>
  <r>
    <n v="10376"/>
    <d v="2023-01-11T00:00:00"/>
    <x v="1"/>
    <x v="2"/>
    <s v="Phones"/>
    <x v="0"/>
    <n v="897.85"/>
    <n v="3"/>
    <x v="0"/>
    <n v="2023"/>
    <n v="-21.04"/>
    <n v="-2.3433758422899145E-2"/>
  </r>
  <r>
    <n v="10377"/>
    <d v="2023-01-12T00:00:00"/>
    <x v="1"/>
    <x v="2"/>
    <s v="Accessories"/>
    <x v="4"/>
    <n v="124.7"/>
    <n v="2"/>
    <x v="0"/>
    <n v="2023"/>
    <n v="130.21"/>
    <n v="1.0441860465116279"/>
  </r>
  <r>
    <n v="10378"/>
    <d v="2023-01-13T00:00:00"/>
    <x v="2"/>
    <x v="1"/>
    <s v="Tables"/>
    <x v="3"/>
    <n v="364.37"/>
    <n v="5"/>
    <x v="0"/>
    <n v="2023"/>
    <n v="270.11"/>
    <n v="0.74130691330241238"/>
  </r>
  <r>
    <n v="10379"/>
    <d v="2023-01-14T00:00:00"/>
    <x v="3"/>
    <x v="0"/>
    <s v="Binders"/>
    <x v="3"/>
    <n v="285.87"/>
    <n v="1"/>
    <x v="0"/>
    <n v="2023"/>
    <n v="-41.24"/>
    <n v="-0.14426137754923568"/>
  </r>
  <r>
    <n v="10380"/>
    <d v="2023-01-15T00:00:00"/>
    <x v="2"/>
    <x v="1"/>
    <s v="Binders"/>
    <x v="1"/>
    <n v="988.61"/>
    <n v="9"/>
    <x v="0"/>
    <n v="2023"/>
    <n v="288.33999999999997"/>
    <n v="0.29166203052771061"/>
  </r>
  <r>
    <n v="10381"/>
    <d v="2023-01-16T00:00:00"/>
    <x v="1"/>
    <x v="0"/>
    <s v="Tables"/>
    <x v="0"/>
    <n v="419.92"/>
    <n v="7"/>
    <x v="0"/>
    <n v="2023"/>
    <n v="278.99"/>
    <n v="0.66438845494379883"/>
  </r>
  <r>
    <n v="10382"/>
    <d v="2023-01-17T00:00:00"/>
    <x v="3"/>
    <x v="2"/>
    <s v="Accessories"/>
    <x v="2"/>
    <n v="745.98"/>
    <n v="3"/>
    <x v="0"/>
    <n v="2023"/>
    <n v="253.83"/>
    <n v="0.34026381404327194"/>
  </r>
  <r>
    <n v="10383"/>
    <d v="2023-01-18T00:00:00"/>
    <x v="1"/>
    <x v="1"/>
    <s v="Chairs"/>
    <x v="0"/>
    <n v="700.49"/>
    <n v="4"/>
    <x v="0"/>
    <n v="2023"/>
    <n v="-14.18"/>
    <n v="-2.0242972776199516E-2"/>
  </r>
  <r>
    <n v="10384"/>
    <d v="2023-01-19T00:00:00"/>
    <x v="2"/>
    <x v="1"/>
    <s v="Phones"/>
    <x v="3"/>
    <n v="251.48"/>
    <n v="6"/>
    <x v="0"/>
    <n v="2023"/>
    <n v="153.62"/>
    <n v="0.61086368697311921"/>
  </r>
  <r>
    <n v="10385"/>
    <d v="2023-01-20T00:00:00"/>
    <x v="2"/>
    <x v="0"/>
    <s v="Accessories"/>
    <x v="4"/>
    <n v="277.05"/>
    <n v="3"/>
    <x v="0"/>
    <n v="2023"/>
    <n v="204.36"/>
    <n v="0.73762858689767197"/>
  </r>
  <r>
    <n v="10386"/>
    <d v="2023-01-21T00:00:00"/>
    <x v="1"/>
    <x v="2"/>
    <s v="Tables"/>
    <x v="2"/>
    <n v="317.22000000000003"/>
    <n v="7"/>
    <x v="0"/>
    <n v="2023"/>
    <n v="294.41000000000003"/>
    <n v="0.9280940672088771"/>
  </r>
  <r>
    <n v="10387"/>
    <d v="2023-01-22T00:00:00"/>
    <x v="0"/>
    <x v="1"/>
    <s v="Phones"/>
    <x v="1"/>
    <n v="440.57"/>
    <n v="6"/>
    <x v="0"/>
    <n v="2023"/>
    <n v="-27.83"/>
    <n v="-6.316816850897701E-2"/>
  </r>
  <r>
    <n v="10388"/>
    <d v="2023-01-23T00:00:00"/>
    <x v="0"/>
    <x v="2"/>
    <s v="Binders"/>
    <x v="2"/>
    <n v="272.61"/>
    <n v="9"/>
    <x v="0"/>
    <n v="2023"/>
    <n v="206.41"/>
    <n v="0.75716224643263264"/>
  </r>
  <r>
    <n v="10389"/>
    <d v="2023-01-24T00:00:00"/>
    <x v="2"/>
    <x v="1"/>
    <s v="Chairs"/>
    <x v="1"/>
    <n v="68.67"/>
    <n v="5"/>
    <x v="0"/>
    <n v="2023"/>
    <n v="35.520000000000003"/>
    <n v="0.51725644386194847"/>
  </r>
  <r>
    <n v="10390"/>
    <d v="2023-01-25T00:00:00"/>
    <x v="2"/>
    <x v="2"/>
    <s v="Binders"/>
    <x v="2"/>
    <n v="885.42"/>
    <n v="4"/>
    <x v="0"/>
    <n v="2023"/>
    <n v="-29.75"/>
    <n v="-3.3599873506358569E-2"/>
  </r>
  <r>
    <n v="10391"/>
    <d v="2023-01-26T00:00:00"/>
    <x v="0"/>
    <x v="0"/>
    <s v="Tables"/>
    <x v="1"/>
    <n v="967.33"/>
    <n v="3"/>
    <x v="0"/>
    <n v="2023"/>
    <n v="68.55"/>
    <n v="7.0865164938542169E-2"/>
  </r>
  <r>
    <n v="10392"/>
    <d v="2023-01-27T00:00:00"/>
    <x v="0"/>
    <x v="1"/>
    <s v="Phones"/>
    <x v="1"/>
    <n v="374.49"/>
    <n v="1"/>
    <x v="0"/>
    <n v="2023"/>
    <n v="217.53"/>
    <n v="0.58086998317712091"/>
  </r>
  <r>
    <n v="10393"/>
    <d v="2023-01-28T00:00:00"/>
    <x v="1"/>
    <x v="1"/>
    <s v="Tables"/>
    <x v="2"/>
    <n v="371.58"/>
    <n v="3"/>
    <x v="0"/>
    <n v="2023"/>
    <n v="85.94"/>
    <n v="0.23128263092739115"/>
  </r>
  <r>
    <n v="10394"/>
    <d v="2023-01-29T00:00:00"/>
    <x v="1"/>
    <x v="2"/>
    <s v="Phones"/>
    <x v="2"/>
    <n v="56.74"/>
    <n v="3"/>
    <x v="0"/>
    <n v="2023"/>
    <n v="115.01"/>
    <n v="2.0269651039830809"/>
  </r>
  <r>
    <n v="10395"/>
    <d v="2023-01-30T00:00:00"/>
    <x v="0"/>
    <x v="2"/>
    <s v="Accessories"/>
    <x v="1"/>
    <n v="696.24"/>
    <n v="7"/>
    <x v="0"/>
    <n v="2023"/>
    <n v="298.06"/>
    <n v="0.42809950591749973"/>
  </r>
  <r>
    <n v="10396"/>
    <d v="2023-01-31T00:00:00"/>
    <x v="1"/>
    <x v="1"/>
    <s v="Chairs"/>
    <x v="3"/>
    <n v="834.17"/>
    <n v="7"/>
    <x v="0"/>
    <n v="2023"/>
    <n v="59.64"/>
    <n v="7.1496217797331479E-2"/>
  </r>
  <r>
    <n v="10397"/>
    <d v="2023-02-01T00:00:00"/>
    <x v="1"/>
    <x v="0"/>
    <s v="Accessories"/>
    <x v="2"/>
    <n v="189.28"/>
    <n v="1"/>
    <x v="1"/>
    <n v="2023"/>
    <n v="146.16"/>
    <n v="0.77218934911242598"/>
  </r>
  <r>
    <n v="10398"/>
    <d v="2023-02-02T00:00:00"/>
    <x v="3"/>
    <x v="2"/>
    <s v="Accessories"/>
    <x v="0"/>
    <n v="201.68"/>
    <n v="3"/>
    <x v="1"/>
    <n v="2023"/>
    <n v="46.1"/>
    <n v="0.22857992859976201"/>
  </r>
  <r>
    <n v="10399"/>
    <d v="2023-02-03T00:00:00"/>
    <x v="1"/>
    <x v="2"/>
    <s v="Tables"/>
    <x v="4"/>
    <n v="800.58"/>
    <n v="8"/>
    <x v="1"/>
    <n v="2023"/>
    <n v="57.11"/>
    <n v="7.133578155837017E-2"/>
  </r>
  <r>
    <n v="10400"/>
    <d v="2023-02-04T00:00:00"/>
    <x v="2"/>
    <x v="2"/>
    <s v="Chairs"/>
    <x v="1"/>
    <n v="635.48"/>
    <n v="9"/>
    <x v="1"/>
    <n v="2023"/>
    <n v="178.26"/>
    <n v="0.28051236860326051"/>
  </r>
  <r>
    <n v="10401"/>
    <d v="2023-02-05T00:00:00"/>
    <x v="1"/>
    <x v="1"/>
    <s v="Phones"/>
    <x v="1"/>
    <n v="92.62"/>
    <n v="7"/>
    <x v="1"/>
    <n v="2023"/>
    <n v="275.14999999999998"/>
    <n v="2.9707406607644131"/>
  </r>
  <r>
    <n v="10402"/>
    <d v="2023-02-06T00:00:00"/>
    <x v="1"/>
    <x v="1"/>
    <s v="Phones"/>
    <x v="4"/>
    <n v="641.41999999999996"/>
    <n v="7"/>
    <x v="1"/>
    <n v="2023"/>
    <n v="116.94"/>
    <n v="0.18231424027938015"/>
  </r>
  <r>
    <n v="10403"/>
    <d v="2023-02-07T00:00:00"/>
    <x v="0"/>
    <x v="1"/>
    <s v="Binders"/>
    <x v="3"/>
    <n v="343.47"/>
    <n v="8"/>
    <x v="1"/>
    <n v="2023"/>
    <n v="207.36"/>
    <n v="0.60372084898244383"/>
  </r>
  <r>
    <n v="10404"/>
    <d v="2023-02-08T00:00:00"/>
    <x v="2"/>
    <x v="1"/>
    <s v="Phones"/>
    <x v="4"/>
    <n v="400.29"/>
    <n v="6"/>
    <x v="1"/>
    <n v="2023"/>
    <n v="-64.319999999999993"/>
    <n v="-0.16068350445926702"/>
  </r>
  <r>
    <n v="10405"/>
    <d v="2023-02-09T00:00:00"/>
    <x v="1"/>
    <x v="0"/>
    <s v="Tables"/>
    <x v="2"/>
    <n v="781.24"/>
    <n v="3"/>
    <x v="1"/>
    <n v="2023"/>
    <n v="-15.54"/>
    <n v="-1.9891454610619013E-2"/>
  </r>
  <r>
    <n v="10406"/>
    <d v="2023-02-10T00:00:00"/>
    <x v="1"/>
    <x v="0"/>
    <s v="Accessories"/>
    <x v="4"/>
    <n v="820.39"/>
    <n v="1"/>
    <x v="1"/>
    <n v="2023"/>
    <n v="100.85"/>
    <n v="0.12292933848535452"/>
  </r>
  <r>
    <n v="10407"/>
    <d v="2023-02-11T00:00:00"/>
    <x v="3"/>
    <x v="1"/>
    <s v="Accessories"/>
    <x v="1"/>
    <n v="430.34"/>
    <n v="7"/>
    <x v="1"/>
    <n v="2023"/>
    <n v="-92"/>
    <n v="-0.21378444950504252"/>
  </r>
  <r>
    <n v="10408"/>
    <d v="2023-02-12T00:00:00"/>
    <x v="1"/>
    <x v="0"/>
    <s v="Accessories"/>
    <x v="4"/>
    <n v="949.8"/>
    <n v="1"/>
    <x v="1"/>
    <n v="2023"/>
    <n v="1.1399999999999999"/>
    <n v="1.2002526847757421E-3"/>
  </r>
  <r>
    <n v="10409"/>
    <d v="2023-02-13T00:00:00"/>
    <x v="1"/>
    <x v="2"/>
    <s v="Chairs"/>
    <x v="0"/>
    <n v="436.14"/>
    <n v="1"/>
    <x v="1"/>
    <n v="2023"/>
    <n v="106.96"/>
    <n v="0.2452423533727702"/>
  </r>
  <r>
    <n v="10410"/>
    <d v="2023-02-14T00:00:00"/>
    <x v="3"/>
    <x v="2"/>
    <s v="Phones"/>
    <x v="2"/>
    <n v="783.24"/>
    <n v="9"/>
    <x v="1"/>
    <n v="2023"/>
    <n v="-94.02"/>
    <n v="-0.12003983453347632"/>
  </r>
  <r>
    <n v="10411"/>
    <d v="2023-02-15T00:00:00"/>
    <x v="0"/>
    <x v="2"/>
    <s v="Tables"/>
    <x v="4"/>
    <n v="509.68"/>
    <n v="7"/>
    <x v="1"/>
    <n v="2023"/>
    <n v="5.82"/>
    <n v="1.1418929524407472E-2"/>
  </r>
  <r>
    <n v="10412"/>
    <d v="2023-02-16T00:00:00"/>
    <x v="1"/>
    <x v="1"/>
    <s v="Chairs"/>
    <x v="1"/>
    <n v="902.66"/>
    <n v="4"/>
    <x v="1"/>
    <n v="2023"/>
    <n v="105.61"/>
    <n v="0.1169986484390579"/>
  </r>
  <r>
    <n v="10413"/>
    <d v="2023-02-17T00:00:00"/>
    <x v="3"/>
    <x v="2"/>
    <s v="Binders"/>
    <x v="2"/>
    <n v="912.37"/>
    <n v="6"/>
    <x v="1"/>
    <n v="2023"/>
    <n v="129.26"/>
    <n v="0.14167497835308043"/>
  </r>
  <r>
    <n v="10414"/>
    <d v="2023-02-18T00:00:00"/>
    <x v="2"/>
    <x v="0"/>
    <s v="Tables"/>
    <x v="1"/>
    <n v="133.05000000000001"/>
    <n v="1"/>
    <x v="1"/>
    <n v="2023"/>
    <n v="270.3"/>
    <n v="2.0315670800450958"/>
  </r>
  <r>
    <n v="10415"/>
    <d v="2023-02-19T00:00:00"/>
    <x v="0"/>
    <x v="1"/>
    <s v="Tables"/>
    <x v="3"/>
    <n v="939.67"/>
    <n v="7"/>
    <x v="1"/>
    <n v="2023"/>
    <n v="158.13999999999999"/>
    <n v="0.16829312418189363"/>
  </r>
  <r>
    <n v="10416"/>
    <d v="2023-02-20T00:00:00"/>
    <x v="2"/>
    <x v="0"/>
    <s v="Tables"/>
    <x v="0"/>
    <n v="834.26"/>
    <n v="6"/>
    <x v="1"/>
    <n v="2023"/>
    <n v="65.89"/>
    <n v="7.8980174046460336E-2"/>
  </r>
  <r>
    <n v="10417"/>
    <d v="2023-02-21T00:00:00"/>
    <x v="2"/>
    <x v="2"/>
    <s v="Accessories"/>
    <x v="3"/>
    <n v="801.75"/>
    <n v="4"/>
    <x v="1"/>
    <n v="2023"/>
    <n v="272.14"/>
    <n v="0.33943249142500775"/>
  </r>
  <r>
    <n v="10418"/>
    <d v="2023-02-22T00:00:00"/>
    <x v="3"/>
    <x v="2"/>
    <s v="Tables"/>
    <x v="0"/>
    <n v="240.87"/>
    <n v="7"/>
    <x v="1"/>
    <n v="2023"/>
    <n v="213.95"/>
    <n v="0.88823846888363012"/>
  </r>
  <r>
    <n v="10419"/>
    <d v="2023-02-23T00:00:00"/>
    <x v="1"/>
    <x v="2"/>
    <s v="Phones"/>
    <x v="4"/>
    <n v="814.86"/>
    <n v="3"/>
    <x v="1"/>
    <n v="2023"/>
    <n v="-20"/>
    <n v="-2.4544093463907912E-2"/>
  </r>
  <r>
    <n v="10420"/>
    <d v="2023-02-24T00:00:00"/>
    <x v="3"/>
    <x v="1"/>
    <s v="Tables"/>
    <x v="2"/>
    <n v="857.63"/>
    <n v="1"/>
    <x v="1"/>
    <n v="2023"/>
    <n v="-47.66"/>
    <n v="-5.5571750055385186E-2"/>
  </r>
  <r>
    <n v="10421"/>
    <d v="2023-02-25T00:00:00"/>
    <x v="3"/>
    <x v="0"/>
    <s v="Accessories"/>
    <x v="4"/>
    <n v="324.69"/>
    <n v="4"/>
    <x v="1"/>
    <n v="2023"/>
    <n v="170.32"/>
    <n v="0.52456188980258089"/>
  </r>
  <r>
    <n v="10422"/>
    <d v="2023-02-26T00:00:00"/>
    <x v="3"/>
    <x v="1"/>
    <s v="Tables"/>
    <x v="0"/>
    <n v="954.65"/>
    <n v="3"/>
    <x v="1"/>
    <n v="2023"/>
    <n v="123.95"/>
    <n v="0.1298381605824124"/>
  </r>
  <r>
    <n v="10423"/>
    <d v="2023-02-27T00:00:00"/>
    <x v="3"/>
    <x v="1"/>
    <s v="Binders"/>
    <x v="0"/>
    <n v="97.37"/>
    <n v="1"/>
    <x v="1"/>
    <n v="2023"/>
    <n v="215.87"/>
    <n v="2.2170072917736467"/>
  </r>
  <r>
    <n v="10424"/>
    <d v="2023-02-28T00:00:00"/>
    <x v="0"/>
    <x v="2"/>
    <s v="Binders"/>
    <x v="0"/>
    <n v="192.41"/>
    <n v="2"/>
    <x v="1"/>
    <n v="2023"/>
    <n v="195.52"/>
    <n v="1.0161634010706304"/>
  </r>
  <r>
    <n v="10425"/>
    <d v="2023-03-01T00:00:00"/>
    <x v="1"/>
    <x v="1"/>
    <s v="Accessories"/>
    <x v="1"/>
    <n v="560.70000000000005"/>
    <n v="5"/>
    <x v="2"/>
    <n v="2023"/>
    <n v="150.08000000000001"/>
    <n v="0.26766541822721596"/>
  </r>
  <r>
    <n v="10426"/>
    <d v="2023-03-02T00:00:00"/>
    <x v="2"/>
    <x v="1"/>
    <s v="Phones"/>
    <x v="2"/>
    <n v="597"/>
    <n v="8"/>
    <x v="2"/>
    <n v="2023"/>
    <n v="294.55"/>
    <n v="0.49338358458961473"/>
  </r>
  <r>
    <n v="10427"/>
    <d v="2023-03-03T00:00:00"/>
    <x v="2"/>
    <x v="2"/>
    <s v="Phones"/>
    <x v="4"/>
    <n v="662.89"/>
    <n v="1"/>
    <x v="2"/>
    <n v="2023"/>
    <n v="113.44"/>
    <n v="0.17112944832475976"/>
  </r>
  <r>
    <n v="10428"/>
    <d v="2023-03-04T00:00:00"/>
    <x v="1"/>
    <x v="1"/>
    <s v="Chairs"/>
    <x v="4"/>
    <n v="66.12"/>
    <n v="4"/>
    <x v="2"/>
    <n v="2023"/>
    <n v="-54.76"/>
    <n v="-0.8281911675741076"/>
  </r>
  <r>
    <n v="10429"/>
    <d v="2023-03-05T00:00:00"/>
    <x v="2"/>
    <x v="2"/>
    <s v="Accessories"/>
    <x v="3"/>
    <n v="962.35"/>
    <n v="4"/>
    <x v="2"/>
    <n v="2023"/>
    <n v="231.31"/>
    <n v="0.24035953655115083"/>
  </r>
  <r>
    <n v="10430"/>
    <d v="2023-03-06T00:00:00"/>
    <x v="1"/>
    <x v="2"/>
    <s v="Tables"/>
    <x v="0"/>
    <n v="92.36"/>
    <n v="5"/>
    <x v="2"/>
    <n v="2023"/>
    <n v="0.74"/>
    <n v="8.0121264616717196E-3"/>
  </r>
  <r>
    <n v="10431"/>
    <d v="2023-03-07T00:00:00"/>
    <x v="2"/>
    <x v="2"/>
    <s v="Accessories"/>
    <x v="0"/>
    <n v="185.91"/>
    <n v="7"/>
    <x v="2"/>
    <n v="2023"/>
    <n v="210.92"/>
    <n v="1.1345274595234254"/>
  </r>
  <r>
    <n v="10432"/>
    <d v="2023-03-08T00:00:00"/>
    <x v="3"/>
    <x v="2"/>
    <s v="Chairs"/>
    <x v="0"/>
    <n v="63.31"/>
    <n v="8"/>
    <x v="2"/>
    <n v="2023"/>
    <n v="282.83999999999997"/>
    <n v="4.4675406728794815"/>
  </r>
  <r>
    <n v="10433"/>
    <d v="2023-03-09T00:00:00"/>
    <x v="2"/>
    <x v="1"/>
    <s v="Accessories"/>
    <x v="4"/>
    <n v="588.52"/>
    <n v="6"/>
    <x v="2"/>
    <n v="2023"/>
    <n v="178.72"/>
    <n v="0.30367702032216409"/>
  </r>
  <r>
    <n v="10434"/>
    <d v="2023-03-10T00:00:00"/>
    <x v="1"/>
    <x v="2"/>
    <s v="Accessories"/>
    <x v="3"/>
    <n v="935.65"/>
    <n v="1"/>
    <x v="2"/>
    <n v="2023"/>
    <n v="138.41"/>
    <n v="0.14792924704750707"/>
  </r>
  <r>
    <n v="10435"/>
    <d v="2023-03-11T00:00:00"/>
    <x v="1"/>
    <x v="2"/>
    <s v="Chairs"/>
    <x v="1"/>
    <n v="682.65"/>
    <n v="7"/>
    <x v="2"/>
    <n v="2023"/>
    <n v="84.15"/>
    <n v="0.12326961107448914"/>
  </r>
  <r>
    <n v="10436"/>
    <d v="2023-03-12T00:00:00"/>
    <x v="1"/>
    <x v="1"/>
    <s v="Phones"/>
    <x v="2"/>
    <n v="831.52"/>
    <n v="3"/>
    <x v="2"/>
    <n v="2023"/>
    <n v="45.76"/>
    <n v="5.5031749086011161E-2"/>
  </r>
  <r>
    <n v="10437"/>
    <d v="2023-03-13T00:00:00"/>
    <x v="1"/>
    <x v="1"/>
    <s v="Tables"/>
    <x v="1"/>
    <n v="62.62"/>
    <n v="6"/>
    <x v="2"/>
    <n v="2023"/>
    <n v="41.2"/>
    <n v="0.65793676141807733"/>
  </r>
  <r>
    <n v="10438"/>
    <d v="2023-03-14T00:00:00"/>
    <x v="1"/>
    <x v="0"/>
    <s v="Chairs"/>
    <x v="4"/>
    <n v="564.91"/>
    <n v="8"/>
    <x v="2"/>
    <n v="2023"/>
    <n v="154.55000000000001"/>
    <n v="0.27358340266591141"/>
  </r>
  <r>
    <n v="10439"/>
    <d v="2023-03-15T00:00:00"/>
    <x v="0"/>
    <x v="1"/>
    <s v="Binders"/>
    <x v="0"/>
    <n v="486.58"/>
    <n v="7"/>
    <x v="2"/>
    <n v="2023"/>
    <n v="200.51"/>
    <n v="0.41208023346623368"/>
  </r>
  <r>
    <n v="10440"/>
    <d v="2023-03-16T00:00:00"/>
    <x v="0"/>
    <x v="1"/>
    <s v="Phones"/>
    <x v="2"/>
    <n v="524.02"/>
    <n v="6"/>
    <x v="2"/>
    <n v="2023"/>
    <n v="171.41"/>
    <n v="0.32710583565512769"/>
  </r>
  <r>
    <n v="10441"/>
    <d v="2023-03-17T00:00:00"/>
    <x v="2"/>
    <x v="0"/>
    <s v="Binders"/>
    <x v="4"/>
    <n v="118.6"/>
    <n v="9"/>
    <x v="2"/>
    <n v="2023"/>
    <n v="-20.64"/>
    <n v="-0.17403035413153459"/>
  </r>
  <r>
    <n v="10442"/>
    <d v="2023-03-18T00:00:00"/>
    <x v="1"/>
    <x v="1"/>
    <s v="Phones"/>
    <x v="4"/>
    <n v="700.21"/>
    <n v="9"/>
    <x v="2"/>
    <n v="2023"/>
    <n v="97.59"/>
    <n v="0.1393724739720941"/>
  </r>
  <r>
    <n v="10443"/>
    <d v="2023-03-19T00:00:00"/>
    <x v="2"/>
    <x v="1"/>
    <s v="Tables"/>
    <x v="4"/>
    <n v="528.05999999999995"/>
    <n v="1"/>
    <x v="2"/>
    <n v="2023"/>
    <n v="216.66"/>
    <n v="0.41029428474037044"/>
  </r>
  <r>
    <n v="10444"/>
    <d v="2023-03-20T00:00:00"/>
    <x v="1"/>
    <x v="1"/>
    <s v="Tables"/>
    <x v="2"/>
    <n v="776.89"/>
    <n v="1"/>
    <x v="2"/>
    <n v="2023"/>
    <n v="90.28"/>
    <n v="0.11620692762167102"/>
  </r>
  <r>
    <n v="10445"/>
    <d v="2023-03-21T00:00:00"/>
    <x v="1"/>
    <x v="1"/>
    <s v="Accessories"/>
    <x v="2"/>
    <n v="511.03"/>
    <n v="1"/>
    <x v="2"/>
    <n v="2023"/>
    <n v="114.65"/>
    <n v="0.22435082089114144"/>
  </r>
  <r>
    <n v="10446"/>
    <d v="2023-03-22T00:00:00"/>
    <x v="0"/>
    <x v="0"/>
    <s v="Binders"/>
    <x v="3"/>
    <n v="191.91"/>
    <n v="8"/>
    <x v="2"/>
    <n v="2023"/>
    <n v="208.45"/>
    <n v="1.0861862331301131"/>
  </r>
  <r>
    <n v="10447"/>
    <d v="2023-03-23T00:00:00"/>
    <x v="0"/>
    <x v="1"/>
    <s v="Phones"/>
    <x v="3"/>
    <n v="665.84"/>
    <n v="7"/>
    <x v="2"/>
    <n v="2023"/>
    <n v="164.51"/>
    <n v="0.24707136849693617"/>
  </r>
  <r>
    <n v="10448"/>
    <d v="2023-03-24T00:00:00"/>
    <x v="3"/>
    <x v="1"/>
    <s v="Tables"/>
    <x v="1"/>
    <n v="213.77"/>
    <n v="3"/>
    <x v="2"/>
    <n v="2023"/>
    <n v="63.74"/>
    <n v="0.29817093137484213"/>
  </r>
  <r>
    <n v="10449"/>
    <d v="2023-03-25T00:00:00"/>
    <x v="0"/>
    <x v="0"/>
    <s v="Chairs"/>
    <x v="2"/>
    <n v="878.77"/>
    <n v="2"/>
    <x v="2"/>
    <n v="2023"/>
    <n v="258.17"/>
    <n v="0.29378563219044801"/>
  </r>
  <r>
    <n v="10450"/>
    <d v="2023-03-26T00:00:00"/>
    <x v="3"/>
    <x v="2"/>
    <s v="Tables"/>
    <x v="2"/>
    <n v="632.46"/>
    <n v="4"/>
    <x v="2"/>
    <n v="2023"/>
    <n v="-34.97"/>
    <n v="-5.5292034278847671E-2"/>
  </r>
  <r>
    <n v="10451"/>
    <d v="2023-03-27T00:00:00"/>
    <x v="3"/>
    <x v="0"/>
    <s v="Chairs"/>
    <x v="2"/>
    <n v="199.34"/>
    <n v="3"/>
    <x v="2"/>
    <n v="2023"/>
    <n v="298.20999999999998"/>
    <n v="1.495986756295776"/>
  </r>
  <r>
    <n v="10452"/>
    <d v="2023-03-28T00:00:00"/>
    <x v="3"/>
    <x v="2"/>
    <s v="Phones"/>
    <x v="3"/>
    <n v="964.22"/>
    <n v="7"/>
    <x v="2"/>
    <n v="2023"/>
    <n v="-52.46"/>
    <n v="-5.4406670676816496E-2"/>
  </r>
  <r>
    <n v="10453"/>
    <d v="2023-03-29T00:00:00"/>
    <x v="3"/>
    <x v="0"/>
    <s v="Tables"/>
    <x v="4"/>
    <n v="542.45000000000005"/>
    <n v="8"/>
    <x v="2"/>
    <n v="2023"/>
    <n v="-94.02"/>
    <n v="-0.17332473038989765"/>
  </r>
  <r>
    <n v="10454"/>
    <d v="2023-03-30T00:00:00"/>
    <x v="3"/>
    <x v="0"/>
    <s v="Tables"/>
    <x v="0"/>
    <n v="119.25"/>
    <n v="6"/>
    <x v="2"/>
    <n v="2023"/>
    <n v="256.01"/>
    <n v="2.1468343815513626"/>
  </r>
  <r>
    <n v="10455"/>
    <d v="2023-03-31T00:00:00"/>
    <x v="2"/>
    <x v="1"/>
    <s v="Phones"/>
    <x v="3"/>
    <n v="645.49"/>
    <n v="3"/>
    <x v="2"/>
    <n v="2023"/>
    <n v="-2.02"/>
    <n v="-3.1294055678631736E-3"/>
  </r>
  <r>
    <n v="10456"/>
    <d v="2023-04-01T00:00:00"/>
    <x v="0"/>
    <x v="2"/>
    <s v="Tables"/>
    <x v="2"/>
    <n v="290.54000000000002"/>
    <n v="6"/>
    <x v="3"/>
    <n v="2023"/>
    <n v="191.88"/>
    <n v="0.66042541474495764"/>
  </r>
  <r>
    <n v="10457"/>
    <d v="2023-04-02T00:00:00"/>
    <x v="3"/>
    <x v="1"/>
    <s v="Chairs"/>
    <x v="3"/>
    <n v="813.51"/>
    <n v="2"/>
    <x v="3"/>
    <n v="2023"/>
    <n v="224.41"/>
    <n v="0.27585401531634524"/>
  </r>
  <r>
    <n v="10458"/>
    <d v="2023-04-03T00:00:00"/>
    <x v="1"/>
    <x v="2"/>
    <s v="Tables"/>
    <x v="1"/>
    <n v="826.93"/>
    <n v="7"/>
    <x v="3"/>
    <n v="2023"/>
    <n v="243.59"/>
    <n v="0.29457148730847837"/>
  </r>
  <r>
    <n v="10459"/>
    <d v="2023-04-04T00:00:00"/>
    <x v="0"/>
    <x v="0"/>
    <s v="Binders"/>
    <x v="2"/>
    <n v="980"/>
    <n v="7"/>
    <x v="3"/>
    <n v="2023"/>
    <n v="296.64"/>
    <n v="0.3026938775510204"/>
  </r>
  <r>
    <n v="10460"/>
    <d v="2023-04-05T00:00:00"/>
    <x v="0"/>
    <x v="0"/>
    <s v="Accessories"/>
    <x v="1"/>
    <n v="526.78"/>
    <n v="4"/>
    <x v="3"/>
    <n v="2023"/>
    <n v="17.62"/>
    <n v="3.344849842438969E-2"/>
  </r>
  <r>
    <n v="10461"/>
    <d v="2023-04-06T00:00:00"/>
    <x v="3"/>
    <x v="2"/>
    <s v="Chairs"/>
    <x v="2"/>
    <n v="482.21"/>
    <n v="8"/>
    <x v="3"/>
    <n v="2023"/>
    <n v="184.1"/>
    <n v="0.38178387009809006"/>
  </r>
  <r>
    <n v="10462"/>
    <d v="2023-04-07T00:00:00"/>
    <x v="2"/>
    <x v="1"/>
    <s v="Binders"/>
    <x v="3"/>
    <n v="765.8"/>
    <n v="4"/>
    <x v="3"/>
    <n v="2023"/>
    <n v="-53.84"/>
    <n v="-7.0305562810133199E-2"/>
  </r>
  <r>
    <n v="10463"/>
    <d v="2023-04-08T00:00:00"/>
    <x v="3"/>
    <x v="1"/>
    <s v="Phones"/>
    <x v="4"/>
    <n v="175.85"/>
    <n v="7"/>
    <x v="3"/>
    <n v="2023"/>
    <n v="62.72"/>
    <n v="0.35666761444412853"/>
  </r>
  <r>
    <n v="10464"/>
    <d v="2023-04-09T00:00:00"/>
    <x v="2"/>
    <x v="1"/>
    <s v="Chairs"/>
    <x v="0"/>
    <n v="569.57000000000005"/>
    <n v="4"/>
    <x v="3"/>
    <n v="2023"/>
    <n v="239.19"/>
    <n v="0.41994838211282193"/>
  </r>
  <r>
    <n v="10465"/>
    <d v="2023-04-10T00:00:00"/>
    <x v="1"/>
    <x v="1"/>
    <s v="Accessories"/>
    <x v="1"/>
    <n v="568.94000000000005"/>
    <n v="5"/>
    <x v="3"/>
    <n v="2023"/>
    <n v="47.06"/>
    <n v="8.2715224804021506E-2"/>
  </r>
  <r>
    <n v="10466"/>
    <d v="2023-04-11T00:00:00"/>
    <x v="0"/>
    <x v="0"/>
    <s v="Accessories"/>
    <x v="3"/>
    <n v="135"/>
    <n v="7"/>
    <x v="3"/>
    <n v="2023"/>
    <n v="136.44"/>
    <n v="1.0106666666666666"/>
  </r>
  <r>
    <n v="10467"/>
    <d v="2023-04-12T00:00:00"/>
    <x v="1"/>
    <x v="0"/>
    <s v="Phones"/>
    <x v="4"/>
    <n v="447.08"/>
    <n v="3"/>
    <x v="3"/>
    <n v="2023"/>
    <n v="101.51"/>
    <n v="0.22705108705377117"/>
  </r>
  <r>
    <n v="10468"/>
    <d v="2023-04-13T00:00:00"/>
    <x v="2"/>
    <x v="0"/>
    <s v="Phones"/>
    <x v="3"/>
    <n v="860.62"/>
    <n v="5"/>
    <x v="3"/>
    <n v="2023"/>
    <n v="158.38"/>
    <n v="0.18403011782203527"/>
  </r>
  <r>
    <n v="10469"/>
    <d v="2023-04-14T00:00:00"/>
    <x v="2"/>
    <x v="0"/>
    <s v="Chairs"/>
    <x v="1"/>
    <n v="863.35"/>
    <n v="3"/>
    <x v="3"/>
    <n v="2023"/>
    <n v="289.16000000000003"/>
    <n v="0.33492789714484278"/>
  </r>
  <r>
    <n v="10470"/>
    <d v="2023-04-15T00:00:00"/>
    <x v="1"/>
    <x v="0"/>
    <s v="Tables"/>
    <x v="0"/>
    <n v="144.28"/>
    <n v="5"/>
    <x v="3"/>
    <n v="2023"/>
    <n v="-77.709999999999994"/>
    <n v="-0.53860548932630992"/>
  </r>
  <r>
    <n v="10471"/>
    <d v="2023-04-16T00:00:00"/>
    <x v="2"/>
    <x v="1"/>
    <s v="Phones"/>
    <x v="3"/>
    <n v="136.18"/>
    <n v="3"/>
    <x v="3"/>
    <n v="2023"/>
    <n v="129.58000000000001"/>
    <n v="0.95153473344103401"/>
  </r>
  <r>
    <n v="10472"/>
    <d v="2023-04-17T00:00:00"/>
    <x v="1"/>
    <x v="1"/>
    <s v="Tables"/>
    <x v="2"/>
    <n v="299.56"/>
    <n v="7"/>
    <x v="3"/>
    <n v="2023"/>
    <n v="245.21"/>
    <n v="0.818567231940179"/>
  </r>
  <r>
    <n v="10473"/>
    <d v="2023-04-18T00:00:00"/>
    <x v="0"/>
    <x v="1"/>
    <s v="Binders"/>
    <x v="4"/>
    <n v="881.03"/>
    <n v="1"/>
    <x v="3"/>
    <n v="2023"/>
    <n v="92.55"/>
    <n v="0.10504750122016276"/>
  </r>
  <r>
    <n v="10474"/>
    <d v="2023-04-19T00:00:00"/>
    <x v="1"/>
    <x v="1"/>
    <s v="Accessories"/>
    <x v="3"/>
    <n v="172.46"/>
    <n v="9"/>
    <x v="3"/>
    <n v="2023"/>
    <n v="-68.59"/>
    <n v="-0.39771541226951179"/>
  </r>
  <r>
    <n v="10475"/>
    <d v="2023-04-20T00:00:00"/>
    <x v="0"/>
    <x v="0"/>
    <s v="Tables"/>
    <x v="4"/>
    <n v="734"/>
    <n v="9"/>
    <x v="3"/>
    <n v="2023"/>
    <n v="124.22"/>
    <n v="0.16923705722070845"/>
  </r>
  <r>
    <n v="10476"/>
    <d v="2023-04-21T00:00:00"/>
    <x v="1"/>
    <x v="0"/>
    <s v="Accessories"/>
    <x v="2"/>
    <n v="146.11000000000001"/>
    <n v="5"/>
    <x v="3"/>
    <n v="2023"/>
    <n v="32.83"/>
    <n v="0.22469372390664563"/>
  </r>
  <r>
    <n v="10477"/>
    <d v="2023-04-22T00:00:00"/>
    <x v="2"/>
    <x v="0"/>
    <s v="Tables"/>
    <x v="0"/>
    <n v="641.98"/>
    <n v="9"/>
    <x v="3"/>
    <n v="2023"/>
    <n v="-38.020000000000003"/>
    <n v="-5.9223028754789873E-2"/>
  </r>
  <r>
    <n v="10478"/>
    <d v="2023-04-23T00:00:00"/>
    <x v="1"/>
    <x v="2"/>
    <s v="Binders"/>
    <x v="0"/>
    <n v="388.26"/>
    <n v="6"/>
    <x v="3"/>
    <n v="2023"/>
    <n v="239.61"/>
    <n v="0.61713800030907129"/>
  </r>
  <r>
    <n v="10479"/>
    <d v="2023-04-24T00:00:00"/>
    <x v="2"/>
    <x v="1"/>
    <s v="Phones"/>
    <x v="2"/>
    <n v="799.47"/>
    <n v="5"/>
    <x v="3"/>
    <n v="2023"/>
    <n v="108.64"/>
    <n v="0.13589002714298223"/>
  </r>
  <r>
    <n v="10480"/>
    <d v="2023-04-25T00:00:00"/>
    <x v="1"/>
    <x v="1"/>
    <s v="Binders"/>
    <x v="4"/>
    <n v="272.01"/>
    <n v="3"/>
    <x v="3"/>
    <n v="2023"/>
    <n v="273.31"/>
    <n v="1.0047792360574979"/>
  </r>
  <r>
    <n v="10481"/>
    <d v="2023-04-26T00:00:00"/>
    <x v="1"/>
    <x v="0"/>
    <s v="Phones"/>
    <x v="3"/>
    <n v="657.24"/>
    <n v="8"/>
    <x v="3"/>
    <n v="2023"/>
    <n v="222.41"/>
    <n v="0.33839997565577262"/>
  </r>
  <r>
    <n v="10482"/>
    <d v="2023-04-27T00:00:00"/>
    <x v="3"/>
    <x v="1"/>
    <s v="Phones"/>
    <x v="2"/>
    <n v="273.89999999999998"/>
    <n v="4"/>
    <x v="3"/>
    <n v="2023"/>
    <n v="177.19"/>
    <n v="0.64691493245710119"/>
  </r>
  <r>
    <n v="10483"/>
    <d v="2023-04-28T00:00:00"/>
    <x v="2"/>
    <x v="1"/>
    <s v="Accessories"/>
    <x v="1"/>
    <n v="727.98"/>
    <n v="3"/>
    <x v="3"/>
    <n v="2023"/>
    <n v="-97.99"/>
    <n v="-0.13460534630072254"/>
  </r>
  <r>
    <n v="10484"/>
    <d v="2023-04-29T00:00:00"/>
    <x v="3"/>
    <x v="0"/>
    <s v="Binders"/>
    <x v="4"/>
    <n v="879.99"/>
    <n v="6"/>
    <x v="3"/>
    <n v="2023"/>
    <n v="71.13"/>
    <n v="8.0830463982545245E-2"/>
  </r>
  <r>
    <n v="10485"/>
    <d v="2023-04-30T00:00:00"/>
    <x v="2"/>
    <x v="2"/>
    <s v="Tables"/>
    <x v="0"/>
    <n v="170.46"/>
    <n v="8"/>
    <x v="3"/>
    <n v="2023"/>
    <n v="-21.01"/>
    <n v="-0.12325472251554617"/>
  </r>
  <r>
    <n v="10486"/>
    <d v="2023-05-01T00:00:00"/>
    <x v="3"/>
    <x v="2"/>
    <s v="Binders"/>
    <x v="2"/>
    <n v="873.27"/>
    <n v="9"/>
    <x v="4"/>
    <n v="2023"/>
    <n v="264.32"/>
    <n v="0.30267843851271659"/>
  </r>
  <r>
    <n v="10487"/>
    <d v="2023-05-02T00:00:00"/>
    <x v="0"/>
    <x v="2"/>
    <s v="Accessories"/>
    <x v="0"/>
    <n v="613.9"/>
    <n v="6"/>
    <x v="4"/>
    <n v="2023"/>
    <n v="-30.17"/>
    <n v="-4.9144811858608896E-2"/>
  </r>
  <r>
    <n v="10488"/>
    <d v="2023-05-03T00:00:00"/>
    <x v="1"/>
    <x v="0"/>
    <s v="Phones"/>
    <x v="4"/>
    <n v="170.75"/>
    <n v="5"/>
    <x v="4"/>
    <n v="2023"/>
    <n v="14.42"/>
    <n v="8.4450951683748166E-2"/>
  </r>
  <r>
    <n v="10489"/>
    <d v="2023-05-04T00:00:00"/>
    <x v="2"/>
    <x v="1"/>
    <s v="Accessories"/>
    <x v="0"/>
    <n v="456.16"/>
    <n v="2"/>
    <x v="4"/>
    <n v="2023"/>
    <n v="106.73"/>
    <n v="0.2339749210803227"/>
  </r>
  <r>
    <n v="10490"/>
    <d v="2023-05-05T00:00:00"/>
    <x v="2"/>
    <x v="0"/>
    <s v="Chairs"/>
    <x v="2"/>
    <n v="202.82"/>
    <n v="2"/>
    <x v="4"/>
    <n v="2023"/>
    <n v="5.35"/>
    <n v="2.637806922394241E-2"/>
  </r>
  <r>
    <n v="10491"/>
    <d v="2023-05-06T00:00:00"/>
    <x v="1"/>
    <x v="0"/>
    <s v="Chairs"/>
    <x v="4"/>
    <n v="715.33"/>
    <n v="9"/>
    <x v="4"/>
    <n v="2023"/>
    <n v="-16.05"/>
    <n v="-2.2437196818251716E-2"/>
  </r>
  <r>
    <n v="10492"/>
    <d v="2023-05-07T00:00:00"/>
    <x v="2"/>
    <x v="1"/>
    <s v="Tables"/>
    <x v="1"/>
    <n v="770.92"/>
    <n v="2"/>
    <x v="4"/>
    <n v="2023"/>
    <n v="139.63999999999999"/>
    <n v="0.18113422923260519"/>
  </r>
  <r>
    <n v="10493"/>
    <d v="2023-05-08T00:00:00"/>
    <x v="2"/>
    <x v="2"/>
    <s v="Accessories"/>
    <x v="2"/>
    <n v="150.51"/>
    <n v="2"/>
    <x v="4"/>
    <n v="2023"/>
    <n v="-64.430000000000007"/>
    <n v="-0.42807786858016084"/>
  </r>
  <r>
    <n v="10494"/>
    <d v="2023-05-09T00:00:00"/>
    <x v="3"/>
    <x v="2"/>
    <s v="Tables"/>
    <x v="3"/>
    <n v="530.83000000000004"/>
    <n v="3"/>
    <x v="4"/>
    <n v="2023"/>
    <n v="-76.73"/>
    <n v="-0.14454721850686661"/>
  </r>
  <r>
    <n v="10495"/>
    <d v="2023-05-10T00:00:00"/>
    <x v="2"/>
    <x v="0"/>
    <s v="Tables"/>
    <x v="2"/>
    <n v="823.89"/>
    <n v="3"/>
    <x v="4"/>
    <n v="2023"/>
    <n v="48.9"/>
    <n v="5.9352583475949461E-2"/>
  </r>
  <r>
    <n v="10496"/>
    <d v="2023-05-11T00:00:00"/>
    <x v="0"/>
    <x v="2"/>
    <s v="Chairs"/>
    <x v="4"/>
    <n v="939.35"/>
    <n v="4"/>
    <x v="4"/>
    <n v="2023"/>
    <n v="188.27"/>
    <n v="0.20042582636929793"/>
  </r>
  <r>
    <n v="10497"/>
    <d v="2023-05-12T00:00:00"/>
    <x v="0"/>
    <x v="0"/>
    <s v="Tables"/>
    <x v="2"/>
    <n v="537.84"/>
    <n v="7"/>
    <x v="4"/>
    <n v="2023"/>
    <n v="121.92"/>
    <n v="0.22668451584114233"/>
  </r>
  <r>
    <n v="10498"/>
    <d v="2023-05-13T00:00:00"/>
    <x v="1"/>
    <x v="0"/>
    <s v="Chairs"/>
    <x v="1"/>
    <n v="952.77"/>
    <n v="9"/>
    <x v="4"/>
    <n v="2023"/>
    <n v="69.150000000000006"/>
    <n v="7.2577851947479469E-2"/>
  </r>
  <r>
    <n v="10499"/>
    <d v="2023-05-14T00:00:00"/>
    <x v="2"/>
    <x v="1"/>
    <s v="Phones"/>
    <x v="1"/>
    <n v="558.9"/>
    <n v="2"/>
    <x v="4"/>
    <n v="2023"/>
    <n v="126.3"/>
    <n v="0.225979602791197"/>
  </r>
  <r>
    <n v="10500"/>
    <d v="2023-05-15T00:00:00"/>
    <x v="1"/>
    <x v="1"/>
    <s v="Accessories"/>
    <x v="3"/>
    <n v="424.48"/>
    <n v="4"/>
    <x v="4"/>
    <n v="2023"/>
    <n v="46.18"/>
    <n v="0.10879193366000753"/>
  </r>
  <r>
    <n v="10501"/>
    <d v="2023-05-16T00:00:00"/>
    <x v="0"/>
    <x v="1"/>
    <s v="Tables"/>
    <x v="0"/>
    <n v="855.79"/>
    <n v="9"/>
    <x v="4"/>
    <n v="2023"/>
    <n v="274.45999999999998"/>
    <n v="0.32070951985884388"/>
  </r>
  <r>
    <n v="10502"/>
    <d v="2023-05-17T00:00:00"/>
    <x v="2"/>
    <x v="0"/>
    <s v="Chairs"/>
    <x v="4"/>
    <n v="518.33000000000004"/>
    <n v="2"/>
    <x v="4"/>
    <n v="2023"/>
    <n v="-78.040000000000006"/>
    <n v="-0.15056045376497598"/>
  </r>
  <r>
    <n v="10503"/>
    <d v="2023-05-18T00:00:00"/>
    <x v="2"/>
    <x v="1"/>
    <s v="Binders"/>
    <x v="4"/>
    <n v="498.31"/>
    <n v="1"/>
    <x v="4"/>
    <n v="2023"/>
    <n v="169.36"/>
    <n v="0.33986875639662062"/>
  </r>
  <r>
    <n v="10504"/>
    <d v="2023-05-19T00:00:00"/>
    <x v="1"/>
    <x v="2"/>
    <s v="Tables"/>
    <x v="0"/>
    <n v="515.79999999999995"/>
    <n v="8"/>
    <x v="4"/>
    <n v="2023"/>
    <n v="256.51"/>
    <n v="0.49730515703761152"/>
  </r>
  <r>
    <n v="10505"/>
    <d v="2023-05-20T00:00:00"/>
    <x v="0"/>
    <x v="2"/>
    <s v="Phones"/>
    <x v="1"/>
    <n v="854.45"/>
    <n v="9"/>
    <x v="4"/>
    <n v="2023"/>
    <n v="221.55"/>
    <n v="0.2592896014980397"/>
  </r>
  <r>
    <n v="10506"/>
    <d v="2023-05-21T00:00:00"/>
    <x v="2"/>
    <x v="0"/>
    <s v="Phones"/>
    <x v="1"/>
    <n v="840.34"/>
    <n v="7"/>
    <x v="4"/>
    <n v="2023"/>
    <n v="-26.38"/>
    <n v="-3.1392055596544254E-2"/>
  </r>
  <r>
    <n v="10507"/>
    <d v="2023-05-22T00:00:00"/>
    <x v="1"/>
    <x v="0"/>
    <s v="Binders"/>
    <x v="2"/>
    <n v="433.34"/>
    <n v="8"/>
    <x v="4"/>
    <n v="2023"/>
    <n v="18.37"/>
    <n v="4.2391655512992114E-2"/>
  </r>
  <r>
    <n v="10508"/>
    <d v="2023-05-23T00:00:00"/>
    <x v="0"/>
    <x v="1"/>
    <s v="Chairs"/>
    <x v="3"/>
    <n v="366.63"/>
    <n v="4"/>
    <x v="4"/>
    <n v="2023"/>
    <n v="186.82"/>
    <n v="0.50956004691378232"/>
  </r>
  <r>
    <n v="10509"/>
    <d v="2023-05-24T00:00:00"/>
    <x v="1"/>
    <x v="0"/>
    <s v="Tables"/>
    <x v="3"/>
    <n v="517.33000000000004"/>
    <n v="4"/>
    <x v="4"/>
    <n v="2023"/>
    <n v="-66.290000000000006"/>
    <n v="-0.12813871223397058"/>
  </r>
  <r>
    <n v="10510"/>
    <d v="2023-05-25T00:00:00"/>
    <x v="3"/>
    <x v="0"/>
    <s v="Chairs"/>
    <x v="3"/>
    <n v="594.13"/>
    <n v="2"/>
    <x v="4"/>
    <n v="2023"/>
    <n v="224.74"/>
    <n v="0.37826738255937253"/>
  </r>
  <r>
    <n v="10511"/>
    <d v="2023-05-26T00:00:00"/>
    <x v="2"/>
    <x v="2"/>
    <s v="Phones"/>
    <x v="2"/>
    <n v="276.42"/>
    <n v="8"/>
    <x v="4"/>
    <n v="2023"/>
    <n v="187.56"/>
    <n v="0.67853266767961795"/>
  </r>
  <r>
    <n v="10512"/>
    <d v="2023-05-27T00:00:00"/>
    <x v="3"/>
    <x v="2"/>
    <s v="Chairs"/>
    <x v="3"/>
    <n v="804.26"/>
    <n v="2"/>
    <x v="4"/>
    <n v="2023"/>
    <n v="191.84"/>
    <n v="0.23852982866237288"/>
  </r>
  <r>
    <n v="10513"/>
    <d v="2023-05-28T00:00:00"/>
    <x v="0"/>
    <x v="1"/>
    <s v="Phones"/>
    <x v="0"/>
    <n v="512.16"/>
    <n v="9"/>
    <x v="4"/>
    <n v="2023"/>
    <n v="-59.9"/>
    <n v="-0.11695563886285536"/>
  </r>
  <r>
    <n v="10514"/>
    <d v="2023-05-29T00:00:00"/>
    <x v="3"/>
    <x v="0"/>
    <s v="Chairs"/>
    <x v="2"/>
    <n v="367.34"/>
    <n v="4"/>
    <x v="4"/>
    <n v="2023"/>
    <n v="187.1"/>
    <n v="0.5093373985953068"/>
  </r>
  <r>
    <n v="10515"/>
    <d v="2023-05-30T00:00:00"/>
    <x v="3"/>
    <x v="0"/>
    <s v="Binders"/>
    <x v="0"/>
    <n v="151.47999999999999"/>
    <n v="1"/>
    <x v="4"/>
    <n v="2023"/>
    <n v="171.93"/>
    <n v="1.1350013203063112"/>
  </r>
  <r>
    <n v="10516"/>
    <d v="2023-05-31T00:00:00"/>
    <x v="0"/>
    <x v="2"/>
    <s v="Accessories"/>
    <x v="2"/>
    <n v="276.89999999999998"/>
    <n v="4"/>
    <x v="4"/>
    <n v="2023"/>
    <n v="232.37"/>
    <n v="0.83918382087396182"/>
  </r>
  <r>
    <n v="10517"/>
    <d v="2023-06-01T00:00:00"/>
    <x v="1"/>
    <x v="0"/>
    <s v="Binders"/>
    <x v="3"/>
    <n v="951.82"/>
    <n v="3"/>
    <x v="5"/>
    <n v="2023"/>
    <n v="-83.36"/>
    <n v="-8.7579584375196987E-2"/>
  </r>
  <r>
    <n v="10518"/>
    <d v="2023-06-02T00:00:00"/>
    <x v="3"/>
    <x v="2"/>
    <s v="Binders"/>
    <x v="0"/>
    <n v="339.84"/>
    <n v="6"/>
    <x v="5"/>
    <n v="2023"/>
    <n v="-90.76"/>
    <n v="-0.26706685499058386"/>
  </r>
  <r>
    <n v="10519"/>
    <d v="2023-06-03T00:00:00"/>
    <x v="1"/>
    <x v="1"/>
    <s v="Accessories"/>
    <x v="0"/>
    <n v="210.42"/>
    <n v="7"/>
    <x v="5"/>
    <n v="2023"/>
    <n v="49.2"/>
    <n v="0.2338180781294554"/>
  </r>
  <r>
    <n v="10520"/>
    <d v="2023-06-04T00:00:00"/>
    <x v="3"/>
    <x v="2"/>
    <s v="Accessories"/>
    <x v="0"/>
    <n v="487.64"/>
    <n v="8"/>
    <x v="5"/>
    <n v="2023"/>
    <n v="-40.479999999999997"/>
    <n v="-8.3012058075629558E-2"/>
  </r>
  <r>
    <n v="10521"/>
    <d v="2023-06-05T00:00:00"/>
    <x v="1"/>
    <x v="0"/>
    <s v="Tables"/>
    <x v="2"/>
    <n v="341.73"/>
    <n v="2"/>
    <x v="5"/>
    <n v="2023"/>
    <n v="123.35"/>
    <n v="0.36095748105229269"/>
  </r>
  <r>
    <n v="10522"/>
    <d v="2023-06-06T00:00:00"/>
    <x v="0"/>
    <x v="1"/>
    <s v="Tables"/>
    <x v="4"/>
    <n v="83.4"/>
    <n v="6"/>
    <x v="5"/>
    <n v="2023"/>
    <n v="266.94"/>
    <n v="3.2007194244604316"/>
  </r>
  <r>
    <n v="10523"/>
    <d v="2023-06-07T00:00:00"/>
    <x v="3"/>
    <x v="2"/>
    <s v="Binders"/>
    <x v="3"/>
    <n v="356.99"/>
    <n v="6"/>
    <x v="5"/>
    <n v="2023"/>
    <n v="56.59"/>
    <n v="0.15851984649429957"/>
  </r>
  <r>
    <n v="10524"/>
    <d v="2023-06-08T00:00:00"/>
    <x v="0"/>
    <x v="2"/>
    <s v="Binders"/>
    <x v="0"/>
    <n v="566.9"/>
    <n v="5"/>
    <x v="5"/>
    <n v="2023"/>
    <n v="237.98"/>
    <n v="0.41979185041453521"/>
  </r>
  <r>
    <n v="10525"/>
    <d v="2023-06-09T00:00:00"/>
    <x v="3"/>
    <x v="1"/>
    <s v="Phones"/>
    <x v="4"/>
    <n v="574.13"/>
    <n v="7"/>
    <x v="5"/>
    <n v="2023"/>
    <n v="-99.9"/>
    <n v="-0.174002403636807"/>
  </r>
  <r>
    <n v="10526"/>
    <d v="2023-06-10T00:00:00"/>
    <x v="0"/>
    <x v="1"/>
    <s v="Phones"/>
    <x v="3"/>
    <n v="388.73"/>
    <n v="3"/>
    <x v="5"/>
    <n v="2023"/>
    <n v="-32.590000000000003"/>
    <n v="-8.3837110590898573E-2"/>
  </r>
  <r>
    <n v="10527"/>
    <d v="2023-06-11T00:00:00"/>
    <x v="0"/>
    <x v="2"/>
    <s v="Tables"/>
    <x v="3"/>
    <n v="474.94"/>
    <n v="4"/>
    <x v="5"/>
    <n v="2023"/>
    <n v="-87.83"/>
    <n v="-0.18492862256285003"/>
  </r>
  <r>
    <n v="10528"/>
    <d v="2023-06-12T00:00:00"/>
    <x v="3"/>
    <x v="0"/>
    <s v="Tables"/>
    <x v="0"/>
    <n v="967.24"/>
    <n v="9"/>
    <x v="5"/>
    <n v="2023"/>
    <n v="31.26"/>
    <n v="3.2318762664902197E-2"/>
  </r>
  <r>
    <n v="10529"/>
    <d v="2023-06-13T00:00:00"/>
    <x v="3"/>
    <x v="2"/>
    <s v="Phones"/>
    <x v="0"/>
    <n v="408.48"/>
    <n v="4"/>
    <x v="5"/>
    <n v="2023"/>
    <n v="263.27999999999997"/>
    <n v="0.64453584018801402"/>
  </r>
  <r>
    <n v="10530"/>
    <d v="2023-06-14T00:00:00"/>
    <x v="3"/>
    <x v="1"/>
    <s v="Phones"/>
    <x v="2"/>
    <n v="295.32"/>
    <n v="3"/>
    <x v="5"/>
    <n v="2023"/>
    <n v="-61.22"/>
    <n v="-0.20730055532981173"/>
  </r>
  <r>
    <n v="10531"/>
    <d v="2023-06-15T00:00:00"/>
    <x v="2"/>
    <x v="2"/>
    <s v="Chairs"/>
    <x v="4"/>
    <n v="281.29000000000002"/>
    <n v="2"/>
    <x v="5"/>
    <n v="2023"/>
    <n v="142.56"/>
    <n v="0.5068079206512851"/>
  </r>
  <r>
    <n v="10532"/>
    <d v="2023-06-16T00:00:00"/>
    <x v="1"/>
    <x v="1"/>
    <s v="Chairs"/>
    <x v="4"/>
    <n v="484.88"/>
    <n v="5"/>
    <x v="5"/>
    <n v="2023"/>
    <n v="80.599999999999994"/>
    <n v="0.16622669526480777"/>
  </r>
  <r>
    <n v="10533"/>
    <d v="2023-06-17T00:00:00"/>
    <x v="2"/>
    <x v="1"/>
    <s v="Phones"/>
    <x v="0"/>
    <n v="771.54"/>
    <n v="4"/>
    <x v="5"/>
    <n v="2023"/>
    <n v="275.39"/>
    <n v="0.35693547968997069"/>
  </r>
  <r>
    <n v="10534"/>
    <d v="2023-06-18T00:00:00"/>
    <x v="2"/>
    <x v="0"/>
    <s v="Chairs"/>
    <x v="3"/>
    <n v="245.69"/>
    <n v="8"/>
    <x v="5"/>
    <n v="2023"/>
    <n v="-50.99"/>
    <n v="-0.20753795433269567"/>
  </r>
  <r>
    <n v="10535"/>
    <d v="2023-06-19T00:00:00"/>
    <x v="0"/>
    <x v="1"/>
    <s v="Accessories"/>
    <x v="0"/>
    <n v="723.83"/>
    <n v="7"/>
    <x v="5"/>
    <n v="2023"/>
    <n v="-15.19"/>
    <n v="-2.0985590539215008E-2"/>
  </r>
  <r>
    <n v="10536"/>
    <d v="2023-06-20T00:00:00"/>
    <x v="3"/>
    <x v="1"/>
    <s v="Tables"/>
    <x v="3"/>
    <n v="70.09"/>
    <n v="6"/>
    <x v="5"/>
    <n v="2023"/>
    <n v="-88.18"/>
    <n v="-1.2580967327721502"/>
  </r>
  <r>
    <n v="10537"/>
    <d v="2023-06-21T00:00:00"/>
    <x v="1"/>
    <x v="0"/>
    <s v="Tables"/>
    <x v="3"/>
    <n v="447.99"/>
    <n v="2"/>
    <x v="5"/>
    <n v="2023"/>
    <n v="73.569999999999993"/>
    <n v="0.16422241567892137"/>
  </r>
  <r>
    <n v="10538"/>
    <d v="2023-06-22T00:00:00"/>
    <x v="0"/>
    <x v="1"/>
    <s v="Phones"/>
    <x v="0"/>
    <n v="787.07"/>
    <n v="3"/>
    <x v="5"/>
    <n v="2023"/>
    <n v="11.13"/>
    <n v="1.4141054798175512E-2"/>
  </r>
  <r>
    <n v="10539"/>
    <d v="2023-06-23T00:00:00"/>
    <x v="2"/>
    <x v="0"/>
    <s v="Binders"/>
    <x v="1"/>
    <n v="371.8"/>
    <n v="9"/>
    <x v="5"/>
    <n v="2023"/>
    <n v="247.96"/>
    <n v="0.66691769768692843"/>
  </r>
  <r>
    <n v="10540"/>
    <d v="2023-06-24T00:00:00"/>
    <x v="3"/>
    <x v="0"/>
    <s v="Phones"/>
    <x v="4"/>
    <n v="585.54999999999995"/>
    <n v="9"/>
    <x v="5"/>
    <n v="2023"/>
    <n v="141.97999999999999"/>
    <n v="0.24247288873708478"/>
  </r>
  <r>
    <n v="10541"/>
    <d v="2023-06-25T00:00:00"/>
    <x v="0"/>
    <x v="1"/>
    <s v="Chairs"/>
    <x v="3"/>
    <n v="244.73"/>
    <n v="5"/>
    <x v="5"/>
    <n v="2023"/>
    <n v="145.63999999999999"/>
    <n v="0.59510480938176769"/>
  </r>
  <r>
    <n v="10542"/>
    <d v="2023-06-26T00:00:00"/>
    <x v="3"/>
    <x v="1"/>
    <s v="Binders"/>
    <x v="3"/>
    <n v="754.9"/>
    <n v="3"/>
    <x v="5"/>
    <n v="2023"/>
    <n v="112.76"/>
    <n v="0.1493707775864353"/>
  </r>
  <r>
    <n v="10543"/>
    <d v="2023-06-27T00:00:00"/>
    <x v="0"/>
    <x v="2"/>
    <s v="Chairs"/>
    <x v="1"/>
    <n v="99.67"/>
    <n v="2"/>
    <x v="5"/>
    <n v="2023"/>
    <n v="-63.26"/>
    <n v="-0.63469449182301596"/>
  </r>
  <r>
    <n v="10544"/>
    <d v="2023-06-28T00:00:00"/>
    <x v="3"/>
    <x v="0"/>
    <s v="Accessories"/>
    <x v="2"/>
    <n v="859.92"/>
    <n v="8"/>
    <x v="5"/>
    <n v="2023"/>
    <n v="78.010000000000005"/>
    <n v="9.0717741185226547E-2"/>
  </r>
  <r>
    <n v="10545"/>
    <d v="2023-06-29T00:00:00"/>
    <x v="2"/>
    <x v="2"/>
    <s v="Chairs"/>
    <x v="1"/>
    <n v="238.29"/>
    <n v="6"/>
    <x v="5"/>
    <n v="2023"/>
    <n v="299.8"/>
    <n v="1.2581308489655463"/>
  </r>
  <r>
    <n v="10546"/>
    <d v="2023-06-30T00:00:00"/>
    <x v="1"/>
    <x v="1"/>
    <s v="Accessories"/>
    <x v="1"/>
    <n v="880.68"/>
    <n v="7"/>
    <x v="5"/>
    <n v="2023"/>
    <n v="234.09"/>
    <n v="0.26580596811554708"/>
  </r>
  <r>
    <n v="10547"/>
    <d v="2023-07-01T00:00:00"/>
    <x v="2"/>
    <x v="2"/>
    <s v="Accessories"/>
    <x v="3"/>
    <n v="384.9"/>
    <n v="1"/>
    <x v="6"/>
    <n v="2023"/>
    <n v="257.38"/>
    <n v="0.66869316705637827"/>
  </r>
  <r>
    <n v="10548"/>
    <d v="2023-07-02T00:00:00"/>
    <x v="1"/>
    <x v="0"/>
    <s v="Chairs"/>
    <x v="4"/>
    <n v="736.55"/>
    <n v="1"/>
    <x v="6"/>
    <n v="2023"/>
    <n v="229.29"/>
    <n v="0.31130269499694524"/>
  </r>
  <r>
    <n v="10549"/>
    <d v="2023-07-03T00:00:00"/>
    <x v="3"/>
    <x v="2"/>
    <s v="Chairs"/>
    <x v="1"/>
    <n v="353.26"/>
    <n v="2"/>
    <x v="6"/>
    <n v="2023"/>
    <n v="-58.78"/>
    <n v="-0.16639302496744607"/>
  </r>
  <r>
    <n v="10550"/>
    <d v="2023-07-04T00:00:00"/>
    <x v="0"/>
    <x v="0"/>
    <s v="Accessories"/>
    <x v="2"/>
    <n v="910.62"/>
    <n v="3"/>
    <x v="6"/>
    <n v="2023"/>
    <n v="-9.02"/>
    <n v="-9.9053392194329137E-3"/>
  </r>
  <r>
    <n v="10551"/>
    <d v="2023-07-05T00:00:00"/>
    <x v="2"/>
    <x v="1"/>
    <s v="Binders"/>
    <x v="0"/>
    <n v="170.31"/>
    <n v="1"/>
    <x v="6"/>
    <n v="2023"/>
    <n v="-98.75"/>
    <n v="-0.57982502495449473"/>
  </r>
  <r>
    <n v="10552"/>
    <d v="2023-07-06T00:00:00"/>
    <x v="1"/>
    <x v="1"/>
    <s v="Accessories"/>
    <x v="1"/>
    <n v="219.59"/>
    <n v="5"/>
    <x v="6"/>
    <n v="2023"/>
    <n v="21.4"/>
    <n v="9.7454346737100947E-2"/>
  </r>
  <r>
    <n v="10553"/>
    <d v="2023-07-07T00:00:00"/>
    <x v="2"/>
    <x v="0"/>
    <s v="Tables"/>
    <x v="1"/>
    <n v="518.38"/>
    <n v="3"/>
    <x v="6"/>
    <n v="2023"/>
    <n v="-56.56"/>
    <n v="-0.10910914772946488"/>
  </r>
  <r>
    <n v="10554"/>
    <d v="2023-07-08T00:00:00"/>
    <x v="1"/>
    <x v="1"/>
    <s v="Accessories"/>
    <x v="2"/>
    <n v="127.84"/>
    <n v="1"/>
    <x v="6"/>
    <n v="2023"/>
    <n v="89.12"/>
    <n v="0.69712140175219028"/>
  </r>
  <r>
    <n v="10555"/>
    <d v="2023-07-09T00:00:00"/>
    <x v="2"/>
    <x v="1"/>
    <s v="Binders"/>
    <x v="4"/>
    <n v="236.18"/>
    <n v="8"/>
    <x v="6"/>
    <n v="2023"/>
    <n v="170.85"/>
    <n v="0.72338894063849601"/>
  </r>
  <r>
    <n v="10556"/>
    <d v="2023-07-10T00:00:00"/>
    <x v="1"/>
    <x v="1"/>
    <s v="Tables"/>
    <x v="1"/>
    <n v="946.58"/>
    <n v="6"/>
    <x v="6"/>
    <n v="2023"/>
    <n v="249.8"/>
    <n v="0.26389739905766019"/>
  </r>
  <r>
    <n v="10557"/>
    <d v="2023-07-11T00:00:00"/>
    <x v="1"/>
    <x v="1"/>
    <s v="Phones"/>
    <x v="1"/>
    <n v="977.67"/>
    <n v="9"/>
    <x v="6"/>
    <n v="2023"/>
    <n v="199.69"/>
    <n v="0.20425092311311588"/>
  </r>
  <r>
    <n v="10558"/>
    <d v="2023-07-12T00:00:00"/>
    <x v="3"/>
    <x v="0"/>
    <s v="Phones"/>
    <x v="4"/>
    <n v="407.45"/>
    <n v="3"/>
    <x v="6"/>
    <n v="2023"/>
    <n v="275.43"/>
    <n v="0.67598478340900725"/>
  </r>
  <r>
    <n v="10559"/>
    <d v="2023-07-13T00:00:00"/>
    <x v="1"/>
    <x v="2"/>
    <s v="Binders"/>
    <x v="2"/>
    <n v="927.12"/>
    <n v="9"/>
    <x v="6"/>
    <n v="2023"/>
    <n v="-78.44"/>
    <n v="-8.460609198377772E-2"/>
  </r>
  <r>
    <n v="10560"/>
    <d v="2023-07-14T00:00:00"/>
    <x v="3"/>
    <x v="2"/>
    <s v="Accessories"/>
    <x v="1"/>
    <n v="567.58000000000004"/>
    <n v="9"/>
    <x v="6"/>
    <n v="2023"/>
    <n v="-95.13"/>
    <n v="-0.16760632862327776"/>
  </r>
  <r>
    <n v="10561"/>
    <d v="2023-07-15T00:00:00"/>
    <x v="1"/>
    <x v="1"/>
    <s v="Chairs"/>
    <x v="4"/>
    <n v="306.26"/>
    <n v="1"/>
    <x v="6"/>
    <n v="2023"/>
    <n v="164.54"/>
    <n v="0.53725592633709918"/>
  </r>
  <r>
    <n v="10562"/>
    <d v="2023-07-16T00:00:00"/>
    <x v="0"/>
    <x v="2"/>
    <s v="Binders"/>
    <x v="1"/>
    <n v="717.28"/>
    <n v="3"/>
    <x v="6"/>
    <n v="2023"/>
    <n v="15.74"/>
    <n v="2.1944010707115772E-2"/>
  </r>
  <r>
    <n v="10563"/>
    <d v="2023-07-17T00:00:00"/>
    <x v="0"/>
    <x v="2"/>
    <s v="Tables"/>
    <x v="0"/>
    <n v="675.96"/>
    <n v="6"/>
    <x v="6"/>
    <n v="2023"/>
    <n v="1.4"/>
    <n v="2.0711284691401857E-3"/>
  </r>
  <r>
    <n v="10564"/>
    <d v="2023-07-18T00:00:00"/>
    <x v="0"/>
    <x v="1"/>
    <s v="Tables"/>
    <x v="3"/>
    <n v="989.67"/>
    <n v="8"/>
    <x v="6"/>
    <n v="2023"/>
    <n v="32.35"/>
    <n v="3.2687663564622556E-2"/>
  </r>
  <r>
    <n v="10565"/>
    <d v="2023-07-19T00:00:00"/>
    <x v="1"/>
    <x v="1"/>
    <s v="Phones"/>
    <x v="0"/>
    <n v="301.79000000000002"/>
    <n v="4"/>
    <x v="6"/>
    <n v="2023"/>
    <n v="7.92"/>
    <n v="2.624341429470824E-2"/>
  </r>
  <r>
    <n v="10566"/>
    <d v="2023-07-20T00:00:00"/>
    <x v="3"/>
    <x v="2"/>
    <s v="Tables"/>
    <x v="1"/>
    <n v="688.46"/>
    <n v="5"/>
    <x v="6"/>
    <n v="2023"/>
    <n v="104.57"/>
    <n v="0.15188972489323996"/>
  </r>
  <r>
    <n v="10567"/>
    <d v="2023-07-21T00:00:00"/>
    <x v="3"/>
    <x v="0"/>
    <s v="Binders"/>
    <x v="2"/>
    <n v="99.42"/>
    <n v="9"/>
    <x v="6"/>
    <n v="2023"/>
    <n v="76.06"/>
    <n v="0.76503721585194129"/>
  </r>
  <r>
    <n v="10568"/>
    <d v="2023-07-22T00:00:00"/>
    <x v="1"/>
    <x v="1"/>
    <s v="Tables"/>
    <x v="3"/>
    <n v="157.96"/>
    <n v="6"/>
    <x v="6"/>
    <n v="2023"/>
    <n v="104.97"/>
    <n v="0.66453532539883509"/>
  </r>
  <r>
    <n v="10569"/>
    <d v="2023-07-23T00:00:00"/>
    <x v="0"/>
    <x v="0"/>
    <s v="Binders"/>
    <x v="0"/>
    <n v="53.72"/>
    <n v="7"/>
    <x v="6"/>
    <n v="2023"/>
    <n v="169.09"/>
    <n v="3.1476172747580047"/>
  </r>
  <r>
    <n v="10570"/>
    <d v="2023-07-24T00:00:00"/>
    <x v="0"/>
    <x v="2"/>
    <s v="Chairs"/>
    <x v="4"/>
    <n v="999.49"/>
    <n v="7"/>
    <x v="6"/>
    <n v="2023"/>
    <n v="54.85"/>
    <n v="5.4877987773764618E-2"/>
  </r>
  <r>
    <n v="10571"/>
    <d v="2023-07-25T00:00:00"/>
    <x v="3"/>
    <x v="1"/>
    <s v="Phones"/>
    <x v="2"/>
    <n v="812.16"/>
    <n v="4"/>
    <x v="6"/>
    <n v="2023"/>
    <n v="0.52"/>
    <n v="6.4026792750197011E-4"/>
  </r>
  <r>
    <n v="10572"/>
    <d v="2023-07-26T00:00:00"/>
    <x v="0"/>
    <x v="0"/>
    <s v="Tables"/>
    <x v="0"/>
    <n v="797.39"/>
    <n v="4"/>
    <x v="6"/>
    <n v="2023"/>
    <n v="-33.520000000000003"/>
    <n v="-4.2037146189443063E-2"/>
  </r>
  <r>
    <n v="10573"/>
    <d v="2023-07-27T00:00:00"/>
    <x v="2"/>
    <x v="1"/>
    <s v="Binders"/>
    <x v="4"/>
    <n v="534.24"/>
    <n v="4"/>
    <x v="6"/>
    <n v="2023"/>
    <n v="39.79"/>
    <n v="7.4479634621144056E-2"/>
  </r>
  <r>
    <n v="10574"/>
    <d v="2023-07-28T00:00:00"/>
    <x v="3"/>
    <x v="2"/>
    <s v="Accessories"/>
    <x v="1"/>
    <n v="335.06"/>
    <n v="5"/>
    <x v="6"/>
    <n v="2023"/>
    <n v="196.72"/>
    <n v="0.58711872500447682"/>
  </r>
  <r>
    <n v="10575"/>
    <d v="2023-07-29T00:00:00"/>
    <x v="0"/>
    <x v="0"/>
    <s v="Phones"/>
    <x v="4"/>
    <n v="193.7"/>
    <n v="5"/>
    <x v="6"/>
    <n v="2023"/>
    <n v="202.68"/>
    <n v="1.0463603510583377"/>
  </r>
  <r>
    <n v="10576"/>
    <d v="2023-07-30T00:00:00"/>
    <x v="3"/>
    <x v="2"/>
    <s v="Chairs"/>
    <x v="0"/>
    <n v="320.44"/>
    <n v="8"/>
    <x v="6"/>
    <n v="2023"/>
    <n v="166.76"/>
    <n v="0.52040943702409181"/>
  </r>
  <r>
    <n v="10577"/>
    <d v="2023-07-31T00:00:00"/>
    <x v="2"/>
    <x v="2"/>
    <s v="Binders"/>
    <x v="0"/>
    <n v="407.17"/>
    <n v="9"/>
    <x v="6"/>
    <n v="2023"/>
    <n v="-6.39"/>
    <n v="-1.5693690596065523E-2"/>
  </r>
  <r>
    <n v="10578"/>
    <d v="2023-08-01T00:00:00"/>
    <x v="3"/>
    <x v="1"/>
    <s v="Chairs"/>
    <x v="1"/>
    <n v="768.49"/>
    <n v="2"/>
    <x v="7"/>
    <n v="2023"/>
    <n v="135.22999999999999"/>
    <n v="0.17596845762469257"/>
  </r>
  <r>
    <n v="10579"/>
    <d v="2023-08-02T00:00:00"/>
    <x v="3"/>
    <x v="0"/>
    <s v="Chairs"/>
    <x v="4"/>
    <n v="562.67999999999995"/>
    <n v="7"/>
    <x v="7"/>
    <n v="2023"/>
    <n v="128.28"/>
    <n v="0.22798037961185755"/>
  </r>
  <r>
    <n v="10580"/>
    <d v="2023-08-03T00:00:00"/>
    <x v="3"/>
    <x v="2"/>
    <s v="Tables"/>
    <x v="4"/>
    <n v="123.61"/>
    <n v="1"/>
    <x v="7"/>
    <n v="2023"/>
    <n v="93.71"/>
    <n v="0.75811018526009222"/>
  </r>
  <r>
    <n v="10581"/>
    <d v="2023-08-04T00:00:00"/>
    <x v="3"/>
    <x v="2"/>
    <s v="Tables"/>
    <x v="1"/>
    <n v="67.13"/>
    <n v="1"/>
    <x v="7"/>
    <n v="2023"/>
    <n v="119.99"/>
    <n v="1.7874273797110085"/>
  </r>
  <r>
    <n v="10582"/>
    <d v="2023-08-05T00:00:00"/>
    <x v="2"/>
    <x v="0"/>
    <s v="Binders"/>
    <x v="4"/>
    <n v="147.22"/>
    <n v="4"/>
    <x v="7"/>
    <n v="2023"/>
    <n v="96.72"/>
    <n v="0.656975954354028"/>
  </r>
  <r>
    <n v="10583"/>
    <d v="2023-08-06T00:00:00"/>
    <x v="1"/>
    <x v="2"/>
    <s v="Accessories"/>
    <x v="1"/>
    <n v="439.97"/>
    <n v="7"/>
    <x v="7"/>
    <n v="2023"/>
    <n v="126.18"/>
    <n v="0.28679228129190626"/>
  </r>
  <r>
    <n v="10584"/>
    <d v="2023-08-07T00:00:00"/>
    <x v="3"/>
    <x v="2"/>
    <s v="Binders"/>
    <x v="2"/>
    <n v="936.53"/>
    <n v="2"/>
    <x v="7"/>
    <n v="2023"/>
    <n v="186.2"/>
    <n v="0.19881904477165707"/>
  </r>
  <r>
    <n v="10585"/>
    <d v="2023-08-08T00:00:00"/>
    <x v="3"/>
    <x v="0"/>
    <s v="Accessories"/>
    <x v="0"/>
    <n v="655.53"/>
    <n v="2"/>
    <x v="7"/>
    <n v="2023"/>
    <n v="-56.15"/>
    <n v="-8.565588150046527E-2"/>
  </r>
  <r>
    <n v="10586"/>
    <d v="2023-08-09T00:00:00"/>
    <x v="0"/>
    <x v="0"/>
    <s v="Chairs"/>
    <x v="2"/>
    <n v="811.73"/>
    <n v="1"/>
    <x v="7"/>
    <n v="2023"/>
    <n v="199.85"/>
    <n v="0.2462025550367733"/>
  </r>
  <r>
    <n v="10587"/>
    <d v="2023-08-10T00:00:00"/>
    <x v="3"/>
    <x v="0"/>
    <s v="Phones"/>
    <x v="3"/>
    <n v="493.06"/>
    <n v="2"/>
    <x v="7"/>
    <n v="2023"/>
    <n v="-45.65"/>
    <n v="-9.2585080923214214E-2"/>
  </r>
  <r>
    <n v="10588"/>
    <d v="2023-08-11T00:00:00"/>
    <x v="0"/>
    <x v="0"/>
    <s v="Binders"/>
    <x v="3"/>
    <n v="393.58"/>
    <n v="7"/>
    <x v="7"/>
    <n v="2023"/>
    <n v="-73.349999999999994"/>
    <n v="-0.18636617714314752"/>
  </r>
  <r>
    <n v="10589"/>
    <d v="2023-08-12T00:00:00"/>
    <x v="1"/>
    <x v="1"/>
    <s v="Binders"/>
    <x v="3"/>
    <n v="152.97999999999999"/>
    <n v="9"/>
    <x v="7"/>
    <n v="2023"/>
    <n v="290.43"/>
    <n v="1.8984834618904434"/>
  </r>
  <r>
    <n v="10590"/>
    <d v="2023-08-13T00:00:00"/>
    <x v="2"/>
    <x v="0"/>
    <s v="Accessories"/>
    <x v="1"/>
    <n v="882.14"/>
    <n v="6"/>
    <x v="7"/>
    <n v="2023"/>
    <n v="282.8"/>
    <n v="0.32058403428027299"/>
  </r>
  <r>
    <n v="10591"/>
    <d v="2023-08-14T00:00:00"/>
    <x v="2"/>
    <x v="1"/>
    <s v="Chairs"/>
    <x v="4"/>
    <n v="794"/>
    <n v="2"/>
    <x v="7"/>
    <n v="2023"/>
    <n v="-75.83"/>
    <n v="-9.5503778337531486E-2"/>
  </r>
  <r>
    <n v="10592"/>
    <d v="2023-08-15T00:00:00"/>
    <x v="1"/>
    <x v="1"/>
    <s v="Chairs"/>
    <x v="2"/>
    <n v="209.71"/>
    <n v="9"/>
    <x v="7"/>
    <n v="2023"/>
    <n v="77.3"/>
    <n v="0.3686042630298984"/>
  </r>
  <r>
    <n v="10593"/>
    <d v="2023-08-16T00:00:00"/>
    <x v="2"/>
    <x v="1"/>
    <s v="Accessories"/>
    <x v="2"/>
    <n v="536.65"/>
    <n v="7"/>
    <x v="7"/>
    <n v="2023"/>
    <n v="-25.5"/>
    <n v="-4.7517003633653222E-2"/>
  </r>
  <r>
    <n v="10594"/>
    <d v="2023-08-17T00:00:00"/>
    <x v="1"/>
    <x v="2"/>
    <s v="Chairs"/>
    <x v="2"/>
    <n v="513.01"/>
    <n v="1"/>
    <x v="7"/>
    <n v="2023"/>
    <n v="94.14"/>
    <n v="0.18350519483051014"/>
  </r>
  <r>
    <n v="10595"/>
    <d v="2023-08-18T00:00:00"/>
    <x v="1"/>
    <x v="1"/>
    <s v="Tables"/>
    <x v="2"/>
    <n v="643.84"/>
    <n v="9"/>
    <x v="7"/>
    <n v="2023"/>
    <n v="232.07"/>
    <n v="0.36044669483101388"/>
  </r>
  <r>
    <n v="10596"/>
    <d v="2023-08-19T00:00:00"/>
    <x v="1"/>
    <x v="1"/>
    <s v="Phones"/>
    <x v="3"/>
    <n v="948.88"/>
    <n v="2"/>
    <x v="7"/>
    <n v="2023"/>
    <n v="280.24"/>
    <n v="0.29533766124272826"/>
  </r>
  <r>
    <n v="10597"/>
    <d v="2023-08-20T00:00:00"/>
    <x v="2"/>
    <x v="2"/>
    <s v="Binders"/>
    <x v="2"/>
    <n v="600.78"/>
    <n v="4"/>
    <x v="7"/>
    <n v="2023"/>
    <n v="153.69999999999999"/>
    <n v="0.2558340823595992"/>
  </r>
  <r>
    <n v="10598"/>
    <d v="2023-08-21T00:00:00"/>
    <x v="0"/>
    <x v="2"/>
    <s v="Phones"/>
    <x v="4"/>
    <n v="563.21"/>
    <n v="9"/>
    <x v="7"/>
    <n v="2023"/>
    <n v="41.56"/>
    <n v="7.3791303421459134E-2"/>
  </r>
  <r>
    <n v="10599"/>
    <d v="2023-08-22T00:00:00"/>
    <x v="1"/>
    <x v="2"/>
    <s v="Binders"/>
    <x v="3"/>
    <n v="97.81"/>
    <n v="4"/>
    <x v="7"/>
    <n v="2023"/>
    <n v="141.33000000000001"/>
    <n v="1.4449442797259995"/>
  </r>
  <r>
    <n v="10600"/>
    <d v="2023-08-23T00:00:00"/>
    <x v="3"/>
    <x v="0"/>
    <s v="Tables"/>
    <x v="2"/>
    <n v="109.76"/>
    <n v="3"/>
    <x v="7"/>
    <n v="2023"/>
    <n v="24.8"/>
    <n v="0.22594752186588921"/>
  </r>
  <r>
    <n v="10601"/>
    <d v="2023-08-24T00:00:00"/>
    <x v="2"/>
    <x v="2"/>
    <s v="Chairs"/>
    <x v="1"/>
    <n v="227.98"/>
    <n v="1"/>
    <x v="7"/>
    <n v="2023"/>
    <n v="263.93"/>
    <n v="1.1576892709886832"/>
  </r>
  <r>
    <n v="10602"/>
    <d v="2023-08-25T00:00:00"/>
    <x v="1"/>
    <x v="2"/>
    <s v="Accessories"/>
    <x v="0"/>
    <n v="80.849999999999994"/>
    <n v="7"/>
    <x v="7"/>
    <n v="2023"/>
    <n v="248.16"/>
    <n v="3.0693877551020412"/>
  </r>
  <r>
    <n v="10603"/>
    <d v="2023-08-26T00:00:00"/>
    <x v="1"/>
    <x v="1"/>
    <s v="Tables"/>
    <x v="0"/>
    <n v="756.19"/>
    <n v="6"/>
    <x v="7"/>
    <n v="2023"/>
    <n v="123.29"/>
    <n v="0.16304103466060116"/>
  </r>
  <r>
    <n v="10604"/>
    <d v="2023-08-27T00:00:00"/>
    <x v="3"/>
    <x v="2"/>
    <s v="Phones"/>
    <x v="0"/>
    <n v="737.16"/>
    <n v="4"/>
    <x v="7"/>
    <n v="2023"/>
    <n v="29.92"/>
    <n v="4.058820337511531E-2"/>
  </r>
  <r>
    <n v="10605"/>
    <d v="2023-08-28T00:00:00"/>
    <x v="0"/>
    <x v="0"/>
    <s v="Accessories"/>
    <x v="3"/>
    <n v="179.25"/>
    <n v="6"/>
    <x v="7"/>
    <n v="2023"/>
    <n v="17.36"/>
    <n v="9.6847977684797762E-2"/>
  </r>
  <r>
    <n v="10606"/>
    <d v="2023-08-29T00:00:00"/>
    <x v="0"/>
    <x v="2"/>
    <s v="Chairs"/>
    <x v="2"/>
    <n v="844.27"/>
    <n v="6"/>
    <x v="7"/>
    <n v="2023"/>
    <n v="-86.63"/>
    <n v="-0.1026093548272472"/>
  </r>
  <r>
    <n v="10607"/>
    <d v="2023-08-30T00:00:00"/>
    <x v="0"/>
    <x v="0"/>
    <s v="Tables"/>
    <x v="3"/>
    <n v="197.05"/>
    <n v="4"/>
    <x v="7"/>
    <n v="2023"/>
    <n v="226.33"/>
    <n v="1.1485917279878204"/>
  </r>
  <r>
    <n v="10608"/>
    <d v="2023-08-31T00:00:00"/>
    <x v="1"/>
    <x v="2"/>
    <s v="Accessories"/>
    <x v="4"/>
    <n v="336.12"/>
    <n v="6"/>
    <x v="7"/>
    <n v="2023"/>
    <n v="80.150000000000006"/>
    <n v="0.23845650362965609"/>
  </r>
  <r>
    <n v="10609"/>
    <d v="2023-09-01T00:00:00"/>
    <x v="1"/>
    <x v="2"/>
    <s v="Tables"/>
    <x v="1"/>
    <n v="286.52999999999997"/>
    <n v="8"/>
    <x v="8"/>
    <n v="2023"/>
    <n v="30.05"/>
    <n v="0.10487558021847626"/>
  </r>
  <r>
    <n v="10610"/>
    <d v="2023-09-02T00:00:00"/>
    <x v="1"/>
    <x v="2"/>
    <s v="Tables"/>
    <x v="1"/>
    <n v="403.69"/>
    <n v="3"/>
    <x v="8"/>
    <n v="2023"/>
    <n v="88.44"/>
    <n v="0.21907899625950605"/>
  </r>
  <r>
    <n v="10611"/>
    <d v="2023-09-03T00:00:00"/>
    <x v="2"/>
    <x v="2"/>
    <s v="Chairs"/>
    <x v="0"/>
    <n v="291.93"/>
    <n v="4"/>
    <x v="8"/>
    <n v="2023"/>
    <n v="227.5"/>
    <n v="0.77929640667283251"/>
  </r>
  <r>
    <n v="10612"/>
    <d v="2023-09-04T00:00:00"/>
    <x v="3"/>
    <x v="0"/>
    <s v="Binders"/>
    <x v="0"/>
    <n v="514.5"/>
    <n v="1"/>
    <x v="8"/>
    <n v="2023"/>
    <n v="-50.15"/>
    <n v="-9.7473275024295425E-2"/>
  </r>
  <r>
    <n v="10613"/>
    <d v="2023-09-05T00:00:00"/>
    <x v="1"/>
    <x v="0"/>
    <s v="Accessories"/>
    <x v="0"/>
    <n v="437.04"/>
    <n v="4"/>
    <x v="8"/>
    <n v="2023"/>
    <n v="243.06"/>
    <n v="0.55615046677649638"/>
  </r>
  <r>
    <n v="10614"/>
    <d v="2023-09-06T00:00:00"/>
    <x v="3"/>
    <x v="1"/>
    <s v="Chairs"/>
    <x v="2"/>
    <n v="987.24"/>
    <n v="9"/>
    <x v="8"/>
    <n v="2023"/>
    <n v="259"/>
    <n v="0.26234755479923827"/>
  </r>
  <r>
    <n v="10615"/>
    <d v="2023-09-07T00:00:00"/>
    <x v="3"/>
    <x v="0"/>
    <s v="Tables"/>
    <x v="4"/>
    <n v="103.13"/>
    <n v="8"/>
    <x v="8"/>
    <n v="2023"/>
    <n v="278.68"/>
    <n v="2.7022204984000777"/>
  </r>
  <r>
    <n v="10616"/>
    <d v="2023-09-08T00:00:00"/>
    <x v="0"/>
    <x v="2"/>
    <s v="Chairs"/>
    <x v="4"/>
    <n v="185.07"/>
    <n v="4"/>
    <x v="8"/>
    <n v="2023"/>
    <n v="59"/>
    <n v="0.31879829253795861"/>
  </r>
  <r>
    <n v="10617"/>
    <d v="2023-09-09T00:00:00"/>
    <x v="2"/>
    <x v="1"/>
    <s v="Binders"/>
    <x v="4"/>
    <n v="100.18"/>
    <n v="7"/>
    <x v="8"/>
    <n v="2023"/>
    <n v="-13.14"/>
    <n v="-0.1311639049710521"/>
  </r>
  <r>
    <n v="10618"/>
    <d v="2023-09-10T00:00:00"/>
    <x v="1"/>
    <x v="1"/>
    <s v="Accessories"/>
    <x v="4"/>
    <n v="644.54999999999995"/>
    <n v="3"/>
    <x v="8"/>
    <n v="2023"/>
    <n v="49.46"/>
    <n v="7.6735707082460636E-2"/>
  </r>
  <r>
    <n v="10619"/>
    <d v="2023-09-11T00:00:00"/>
    <x v="0"/>
    <x v="1"/>
    <s v="Binders"/>
    <x v="0"/>
    <n v="101.78"/>
    <n v="9"/>
    <x v="8"/>
    <n v="2023"/>
    <n v="33.159999999999997"/>
    <n v="0.32580074670858711"/>
  </r>
  <r>
    <n v="10620"/>
    <d v="2023-09-12T00:00:00"/>
    <x v="0"/>
    <x v="2"/>
    <s v="Phones"/>
    <x v="1"/>
    <n v="844.62"/>
    <n v="4"/>
    <x v="8"/>
    <n v="2023"/>
    <n v="-29.54"/>
    <n v="-3.4974307972816178E-2"/>
  </r>
  <r>
    <n v="10621"/>
    <d v="2023-09-13T00:00:00"/>
    <x v="1"/>
    <x v="0"/>
    <s v="Accessories"/>
    <x v="0"/>
    <n v="536.34"/>
    <n v="2"/>
    <x v="8"/>
    <n v="2023"/>
    <n v="142.91"/>
    <n v="0.26645411492709847"/>
  </r>
  <r>
    <n v="10622"/>
    <d v="2023-09-14T00:00:00"/>
    <x v="3"/>
    <x v="2"/>
    <s v="Binders"/>
    <x v="4"/>
    <n v="550.66"/>
    <n v="5"/>
    <x v="8"/>
    <n v="2023"/>
    <n v="90.65"/>
    <n v="0.16462063705371738"/>
  </r>
  <r>
    <n v="10623"/>
    <d v="2023-09-15T00:00:00"/>
    <x v="0"/>
    <x v="1"/>
    <s v="Tables"/>
    <x v="0"/>
    <n v="583.51"/>
    <n v="2"/>
    <x v="8"/>
    <n v="2023"/>
    <n v="246.28"/>
    <n v="0.42206645987215302"/>
  </r>
  <r>
    <n v="10624"/>
    <d v="2023-09-16T00:00:00"/>
    <x v="3"/>
    <x v="2"/>
    <s v="Accessories"/>
    <x v="4"/>
    <n v="212.27"/>
    <n v="6"/>
    <x v="8"/>
    <n v="2023"/>
    <n v="-87.16"/>
    <n v="-0.41060912988175435"/>
  </r>
  <r>
    <n v="10625"/>
    <d v="2023-09-17T00:00:00"/>
    <x v="2"/>
    <x v="2"/>
    <s v="Accessories"/>
    <x v="3"/>
    <n v="237.81"/>
    <n v="1"/>
    <x v="8"/>
    <n v="2023"/>
    <n v="157.55000000000001"/>
    <n v="0.66250367940793076"/>
  </r>
  <r>
    <n v="10626"/>
    <d v="2023-09-18T00:00:00"/>
    <x v="3"/>
    <x v="0"/>
    <s v="Chairs"/>
    <x v="1"/>
    <n v="352.88"/>
    <n v="6"/>
    <x v="8"/>
    <n v="2023"/>
    <n v="205.18"/>
    <n v="0.58144411698027665"/>
  </r>
  <r>
    <n v="10627"/>
    <d v="2023-09-19T00:00:00"/>
    <x v="2"/>
    <x v="0"/>
    <s v="Tables"/>
    <x v="3"/>
    <n v="613.82000000000005"/>
    <n v="4"/>
    <x v="8"/>
    <n v="2023"/>
    <n v="203.79"/>
    <n v="0.33200286729008499"/>
  </r>
  <r>
    <n v="10628"/>
    <d v="2023-09-20T00:00:00"/>
    <x v="3"/>
    <x v="1"/>
    <s v="Phones"/>
    <x v="2"/>
    <n v="249.61"/>
    <n v="3"/>
    <x v="8"/>
    <n v="2023"/>
    <n v="254.43"/>
    <n v="1.0193101237931173"/>
  </r>
  <r>
    <n v="10629"/>
    <d v="2023-09-21T00:00:00"/>
    <x v="0"/>
    <x v="2"/>
    <s v="Binders"/>
    <x v="0"/>
    <n v="160.52000000000001"/>
    <n v="2"/>
    <x v="8"/>
    <n v="2023"/>
    <n v="191.61"/>
    <n v="1.1936830301520061"/>
  </r>
  <r>
    <n v="10630"/>
    <d v="2023-09-22T00:00:00"/>
    <x v="0"/>
    <x v="2"/>
    <s v="Chairs"/>
    <x v="2"/>
    <n v="971.61"/>
    <n v="7"/>
    <x v="8"/>
    <n v="2023"/>
    <n v="271.12"/>
    <n v="0.27904200244954253"/>
  </r>
  <r>
    <n v="10631"/>
    <d v="2023-09-23T00:00:00"/>
    <x v="2"/>
    <x v="0"/>
    <s v="Binders"/>
    <x v="0"/>
    <n v="70.88"/>
    <n v="9"/>
    <x v="8"/>
    <n v="2023"/>
    <n v="33.06"/>
    <n v="0.46642212189616261"/>
  </r>
  <r>
    <n v="10632"/>
    <d v="2023-09-24T00:00:00"/>
    <x v="1"/>
    <x v="2"/>
    <s v="Phones"/>
    <x v="3"/>
    <n v="812.56"/>
    <n v="3"/>
    <x v="8"/>
    <n v="2023"/>
    <n v="101.28"/>
    <n v="0.12464310327852714"/>
  </r>
  <r>
    <n v="10633"/>
    <d v="2023-09-25T00:00:00"/>
    <x v="2"/>
    <x v="2"/>
    <s v="Phones"/>
    <x v="4"/>
    <n v="798.63"/>
    <n v="6"/>
    <x v="8"/>
    <n v="2023"/>
    <n v="-94.37"/>
    <n v="-0.11816485731815735"/>
  </r>
  <r>
    <n v="10634"/>
    <d v="2023-09-26T00:00:00"/>
    <x v="2"/>
    <x v="2"/>
    <s v="Accessories"/>
    <x v="4"/>
    <n v="332.35"/>
    <n v="9"/>
    <x v="8"/>
    <n v="2023"/>
    <n v="-97.22"/>
    <n v="-0.29252294268090867"/>
  </r>
  <r>
    <n v="10635"/>
    <d v="2023-09-27T00:00:00"/>
    <x v="3"/>
    <x v="0"/>
    <s v="Phones"/>
    <x v="0"/>
    <n v="178.85"/>
    <n v="2"/>
    <x v="8"/>
    <n v="2023"/>
    <n v="-3.95"/>
    <n v="-2.2085546547386078E-2"/>
  </r>
  <r>
    <n v="10636"/>
    <d v="2023-09-28T00:00:00"/>
    <x v="3"/>
    <x v="1"/>
    <s v="Binders"/>
    <x v="4"/>
    <n v="188.35"/>
    <n v="7"/>
    <x v="8"/>
    <n v="2023"/>
    <n v="-59.68"/>
    <n v="-0.31685691531722859"/>
  </r>
  <r>
    <n v="10637"/>
    <d v="2023-09-29T00:00:00"/>
    <x v="2"/>
    <x v="1"/>
    <s v="Tables"/>
    <x v="3"/>
    <n v="712.56"/>
    <n v="5"/>
    <x v="8"/>
    <n v="2023"/>
    <n v="4.08"/>
    <n v="5.7258336140114524E-3"/>
  </r>
  <r>
    <n v="10638"/>
    <d v="2023-09-30T00:00:00"/>
    <x v="0"/>
    <x v="2"/>
    <s v="Tables"/>
    <x v="4"/>
    <n v="660.67"/>
    <n v="5"/>
    <x v="8"/>
    <n v="2023"/>
    <n v="-29.18"/>
    <n v="-4.4167284726111374E-2"/>
  </r>
  <r>
    <n v="10639"/>
    <d v="2023-10-01T00:00:00"/>
    <x v="3"/>
    <x v="1"/>
    <s v="Accessories"/>
    <x v="3"/>
    <n v="793.61"/>
    <n v="7"/>
    <x v="9"/>
    <n v="2023"/>
    <n v="-88.59"/>
    <n v="-0.11162913773767971"/>
  </r>
  <r>
    <n v="10640"/>
    <d v="2023-10-02T00:00:00"/>
    <x v="1"/>
    <x v="0"/>
    <s v="Binders"/>
    <x v="2"/>
    <n v="940.61"/>
    <n v="9"/>
    <x v="9"/>
    <n v="2023"/>
    <n v="263.72000000000003"/>
    <n v="0.28037124844515793"/>
  </r>
  <r>
    <n v="10641"/>
    <d v="2023-10-03T00:00:00"/>
    <x v="3"/>
    <x v="0"/>
    <s v="Binders"/>
    <x v="3"/>
    <n v="707.33"/>
    <n v="4"/>
    <x v="9"/>
    <n v="2023"/>
    <n v="-96.71"/>
    <n v="-0.13672543225934145"/>
  </r>
  <r>
    <n v="10642"/>
    <d v="2023-10-04T00:00:00"/>
    <x v="3"/>
    <x v="1"/>
    <s v="Phones"/>
    <x v="1"/>
    <n v="198.06"/>
    <n v="9"/>
    <x v="9"/>
    <n v="2023"/>
    <n v="194.43"/>
    <n v="0.98167222053923053"/>
  </r>
  <r>
    <n v="10643"/>
    <d v="2023-10-05T00:00:00"/>
    <x v="1"/>
    <x v="1"/>
    <s v="Binders"/>
    <x v="1"/>
    <n v="281.27"/>
    <n v="9"/>
    <x v="9"/>
    <n v="2023"/>
    <n v="-39.14"/>
    <n v="-0.13915454900984819"/>
  </r>
  <r>
    <n v="10644"/>
    <d v="2023-10-06T00:00:00"/>
    <x v="2"/>
    <x v="2"/>
    <s v="Chairs"/>
    <x v="1"/>
    <n v="850.08"/>
    <n v="4"/>
    <x v="9"/>
    <n v="2023"/>
    <n v="264.89"/>
    <n v="0.31160596649727079"/>
  </r>
  <r>
    <n v="10645"/>
    <d v="2023-10-07T00:00:00"/>
    <x v="1"/>
    <x v="1"/>
    <s v="Phones"/>
    <x v="0"/>
    <n v="248.84"/>
    <n v="3"/>
    <x v="9"/>
    <n v="2023"/>
    <n v="257.12"/>
    <n v="1.0332743931843755"/>
  </r>
  <r>
    <n v="10646"/>
    <d v="2023-10-08T00:00:00"/>
    <x v="2"/>
    <x v="2"/>
    <s v="Chairs"/>
    <x v="0"/>
    <n v="118.9"/>
    <n v="2"/>
    <x v="9"/>
    <n v="2023"/>
    <n v="161.56"/>
    <n v="1.3587888982338099"/>
  </r>
  <r>
    <n v="10647"/>
    <d v="2023-10-09T00:00:00"/>
    <x v="2"/>
    <x v="2"/>
    <s v="Accessories"/>
    <x v="0"/>
    <n v="718.12"/>
    <n v="9"/>
    <x v="9"/>
    <n v="2023"/>
    <n v="168.89"/>
    <n v="0.23518353478527262"/>
  </r>
  <r>
    <n v="10648"/>
    <d v="2023-10-10T00:00:00"/>
    <x v="2"/>
    <x v="0"/>
    <s v="Tables"/>
    <x v="3"/>
    <n v="432.4"/>
    <n v="2"/>
    <x v="9"/>
    <n v="2023"/>
    <n v="-97.86"/>
    <n v="-0.22631822386679001"/>
  </r>
  <r>
    <n v="10649"/>
    <d v="2023-10-11T00:00:00"/>
    <x v="1"/>
    <x v="0"/>
    <s v="Accessories"/>
    <x v="0"/>
    <n v="924.04"/>
    <n v="6"/>
    <x v="9"/>
    <n v="2023"/>
    <n v="293.95"/>
    <n v="0.3181139344617116"/>
  </r>
  <r>
    <n v="10650"/>
    <d v="2023-10-12T00:00:00"/>
    <x v="2"/>
    <x v="0"/>
    <s v="Tables"/>
    <x v="2"/>
    <n v="667.74"/>
    <n v="5"/>
    <x v="9"/>
    <n v="2023"/>
    <n v="251.13"/>
    <n v="0.37608949591158236"/>
  </r>
  <r>
    <n v="10651"/>
    <d v="2023-10-13T00:00:00"/>
    <x v="0"/>
    <x v="0"/>
    <s v="Accessories"/>
    <x v="1"/>
    <n v="135.9"/>
    <n v="5"/>
    <x v="9"/>
    <n v="2023"/>
    <n v="258.04000000000002"/>
    <n v="1.8987490802060338"/>
  </r>
  <r>
    <n v="10652"/>
    <d v="2023-10-14T00:00:00"/>
    <x v="1"/>
    <x v="1"/>
    <s v="Binders"/>
    <x v="3"/>
    <n v="950.46"/>
    <n v="4"/>
    <x v="9"/>
    <n v="2023"/>
    <n v="163.69999999999999"/>
    <n v="0.17223239273614879"/>
  </r>
  <r>
    <n v="10653"/>
    <d v="2023-10-15T00:00:00"/>
    <x v="0"/>
    <x v="0"/>
    <s v="Chairs"/>
    <x v="1"/>
    <n v="295.63"/>
    <n v="6"/>
    <x v="9"/>
    <n v="2023"/>
    <n v="37.909999999999997"/>
    <n v="0.12823461759631971"/>
  </r>
  <r>
    <n v="10654"/>
    <d v="2023-10-16T00:00:00"/>
    <x v="2"/>
    <x v="1"/>
    <s v="Tables"/>
    <x v="0"/>
    <n v="370.35"/>
    <n v="5"/>
    <x v="9"/>
    <n v="2023"/>
    <n v="257.45999999999998"/>
    <n v="0.69518023491292014"/>
  </r>
  <r>
    <n v="10655"/>
    <d v="2023-10-17T00:00:00"/>
    <x v="3"/>
    <x v="0"/>
    <s v="Phones"/>
    <x v="3"/>
    <n v="432.15"/>
    <n v="4"/>
    <x v="9"/>
    <n v="2023"/>
    <n v="16.61"/>
    <n v="3.8435728335068843E-2"/>
  </r>
  <r>
    <n v="10656"/>
    <d v="2023-10-18T00:00:00"/>
    <x v="2"/>
    <x v="1"/>
    <s v="Chairs"/>
    <x v="4"/>
    <n v="98.66"/>
    <n v="9"/>
    <x v="9"/>
    <n v="2023"/>
    <n v="125.08"/>
    <n v="1.267788364078654"/>
  </r>
  <r>
    <n v="10657"/>
    <d v="2023-10-19T00:00:00"/>
    <x v="0"/>
    <x v="2"/>
    <s v="Phones"/>
    <x v="2"/>
    <n v="521.69000000000005"/>
    <n v="6"/>
    <x v="9"/>
    <n v="2023"/>
    <n v="-60.11"/>
    <n v="-0.11522168337518449"/>
  </r>
  <r>
    <n v="10658"/>
    <d v="2023-10-20T00:00:00"/>
    <x v="0"/>
    <x v="1"/>
    <s v="Chairs"/>
    <x v="0"/>
    <n v="167.15"/>
    <n v="3"/>
    <x v="9"/>
    <n v="2023"/>
    <n v="268.77999999999997"/>
    <n v="1.6080167514208792"/>
  </r>
  <r>
    <n v="10659"/>
    <d v="2023-10-21T00:00:00"/>
    <x v="1"/>
    <x v="1"/>
    <s v="Chairs"/>
    <x v="0"/>
    <n v="430.92"/>
    <n v="6"/>
    <x v="9"/>
    <n v="2023"/>
    <n v="-43.69"/>
    <n v="-0.10138772858071103"/>
  </r>
  <r>
    <n v="10660"/>
    <d v="2023-10-22T00:00:00"/>
    <x v="3"/>
    <x v="0"/>
    <s v="Accessories"/>
    <x v="2"/>
    <n v="383.17"/>
    <n v="1"/>
    <x v="9"/>
    <n v="2023"/>
    <n v="-10.039999999999999"/>
    <n v="-2.6202468878043686E-2"/>
  </r>
  <r>
    <n v="10661"/>
    <d v="2023-10-23T00:00:00"/>
    <x v="1"/>
    <x v="1"/>
    <s v="Tables"/>
    <x v="2"/>
    <n v="784.2"/>
    <n v="5"/>
    <x v="9"/>
    <n v="2023"/>
    <n v="123.25"/>
    <n v="0.15716653914817647"/>
  </r>
  <r>
    <n v="10662"/>
    <d v="2023-10-24T00:00:00"/>
    <x v="0"/>
    <x v="2"/>
    <s v="Tables"/>
    <x v="4"/>
    <n v="813.01"/>
    <n v="6"/>
    <x v="9"/>
    <n v="2023"/>
    <n v="205.64"/>
    <n v="0.25293661824577801"/>
  </r>
  <r>
    <n v="10663"/>
    <d v="2023-10-25T00:00:00"/>
    <x v="2"/>
    <x v="2"/>
    <s v="Chairs"/>
    <x v="0"/>
    <n v="195.74"/>
    <n v="8"/>
    <x v="9"/>
    <n v="2023"/>
    <n v="147.74"/>
    <n v="0.75477674466128541"/>
  </r>
  <r>
    <n v="10664"/>
    <d v="2023-10-26T00:00:00"/>
    <x v="3"/>
    <x v="0"/>
    <s v="Binders"/>
    <x v="0"/>
    <n v="398.22"/>
    <n v="9"/>
    <x v="9"/>
    <n v="2023"/>
    <n v="-7.15"/>
    <n v="-1.7954899301893427E-2"/>
  </r>
  <r>
    <n v="10665"/>
    <d v="2023-10-27T00:00:00"/>
    <x v="2"/>
    <x v="2"/>
    <s v="Binders"/>
    <x v="1"/>
    <n v="404.69"/>
    <n v="3"/>
    <x v="9"/>
    <n v="2023"/>
    <n v="-99.62"/>
    <n v="-0.24616373026267022"/>
  </r>
  <r>
    <n v="10666"/>
    <d v="2023-10-28T00:00:00"/>
    <x v="2"/>
    <x v="1"/>
    <s v="Phones"/>
    <x v="3"/>
    <n v="193.84"/>
    <n v="2"/>
    <x v="9"/>
    <n v="2023"/>
    <n v="202.86"/>
    <n v="1.0465332232769295"/>
  </r>
  <r>
    <n v="10667"/>
    <d v="2023-10-29T00:00:00"/>
    <x v="3"/>
    <x v="2"/>
    <s v="Phones"/>
    <x v="3"/>
    <n v="808.53"/>
    <n v="4"/>
    <x v="9"/>
    <n v="2023"/>
    <n v="294.08"/>
    <n v="0.36372181613545568"/>
  </r>
  <r>
    <n v="10668"/>
    <d v="2023-10-30T00:00:00"/>
    <x v="1"/>
    <x v="0"/>
    <s v="Accessories"/>
    <x v="1"/>
    <n v="721.87"/>
    <n v="8"/>
    <x v="9"/>
    <n v="2023"/>
    <n v="223.97"/>
    <n v="0.31026362087356452"/>
  </r>
  <r>
    <n v="10669"/>
    <d v="2023-10-31T00:00:00"/>
    <x v="2"/>
    <x v="1"/>
    <s v="Chairs"/>
    <x v="3"/>
    <n v="230.86"/>
    <n v="8"/>
    <x v="9"/>
    <n v="2023"/>
    <n v="84.08"/>
    <n v="0.36420341332409251"/>
  </r>
  <r>
    <n v="10670"/>
    <d v="2023-11-01T00:00:00"/>
    <x v="0"/>
    <x v="0"/>
    <s v="Phones"/>
    <x v="2"/>
    <n v="398.39"/>
    <n v="3"/>
    <x v="10"/>
    <n v="2023"/>
    <n v="261.51"/>
    <n v="0.65641707874193633"/>
  </r>
  <r>
    <n v="10671"/>
    <d v="2023-11-02T00:00:00"/>
    <x v="2"/>
    <x v="1"/>
    <s v="Phones"/>
    <x v="3"/>
    <n v="150.51"/>
    <n v="4"/>
    <x v="10"/>
    <n v="2023"/>
    <n v="63.94"/>
    <n v="0.42482227094545216"/>
  </r>
  <r>
    <n v="10672"/>
    <d v="2023-11-03T00:00:00"/>
    <x v="3"/>
    <x v="2"/>
    <s v="Chairs"/>
    <x v="3"/>
    <n v="646.79999999999995"/>
    <n v="3"/>
    <x v="10"/>
    <n v="2023"/>
    <n v="109.97"/>
    <n v="0.17002164502164502"/>
  </r>
  <r>
    <n v="10673"/>
    <d v="2023-11-04T00:00:00"/>
    <x v="3"/>
    <x v="0"/>
    <s v="Accessories"/>
    <x v="1"/>
    <n v="165.3"/>
    <n v="2"/>
    <x v="10"/>
    <n v="2023"/>
    <n v="90.85"/>
    <n v="0.54960677555958859"/>
  </r>
  <r>
    <n v="10674"/>
    <d v="2023-11-05T00:00:00"/>
    <x v="3"/>
    <x v="0"/>
    <s v="Phones"/>
    <x v="4"/>
    <n v="986.64"/>
    <n v="4"/>
    <x v="10"/>
    <n v="2023"/>
    <n v="79.05"/>
    <n v="8.0120408659693498E-2"/>
  </r>
  <r>
    <n v="10675"/>
    <d v="2023-11-06T00:00:00"/>
    <x v="1"/>
    <x v="1"/>
    <s v="Accessories"/>
    <x v="3"/>
    <n v="791.65"/>
    <n v="6"/>
    <x v="10"/>
    <n v="2023"/>
    <n v="210.08"/>
    <n v="0.26536979725888971"/>
  </r>
  <r>
    <n v="10676"/>
    <d v="2023-11-07T00:00:00"/>
    <x v="2"/>
    <x v="0"/>
    <s v="Tables"/>
    <x v="3"/>
    <n v="420.73"/>
    <n v="5"/>
    <x v="10"/>
    <n v="2023"/>
    <n v="110.71"/>
    <n v="0.26313787940009031"/>
  </r>
  <r>
    <n v="10677"/>
    <d v="2023-11-08T00:00:00"/>
    <x v="1"/>
    <x v="1"/>
    <s v="Accessories"/>
    <x v="4"/>
    <n v="599.64"/>
    <n v="3"/>
    <x v="10"/>
    <n v="2023"/>
    <n v="26.69"/>
    <n v="4.4510039356947508E-2"/>
  </r>
  <r>
    <n v="10678"/>
    <d v="2023-11-09T00:00:00"/>
    <x v="1"/>
    <x v="1"/>
    <s v="Binders"/>
    <x v="1"/>
    <n v="915.77"/>
    <n v="2"/>
    <x v="10"/>
    <n v="2023"/>
    <n v="3.26"/>
    <n v="3.559845812813261E-3"/>
  </r>
  <r>
    <n v="10679"/>
    <d v="2023-11-10T00:00:00"/>
    <x v="3"/>
    <x v="1"/>
    <s v="Binders"/>
    <x v="4"/>
    <n v="576.39"/>
    <n v="9"/>
    <x v="10"/>
    <n v="2023"/>
    <n v="-84.9"/>
    <n v="-0.14729610159787646"/>
  </r>
  <r>
    <n v="10680"/>
    <d v="2023-11-11T00:00:00"/>
    <x v="3"/>
    <x v="1"/>
    <s v="Accessories"/>
    <x v="1"/>
    <n v="215.77"/>
    <n v="1"/>
    <x v="10"/>
    <n v="2023"/>
    <n v="133.28"/>
    <n v="0.61769476757658615"/>
  </r>
  <r>
    <n v="10681"/>
    <d v="2023-11-12T00:00:00"/>
    <x v="1"/>
    <x v="2"/>
    <s v="Binders"/>
    <x v="2"/>
    <n v="409.77"/>
    <n v="9"/>
    <x v="10"/>
    <n v="2023"/>
    <n v="-8.02"/>
    <n v="-1.9571954999145862E-2"/>
  </r>
  <r>
    <n v="10682"/>
    <d v="2023-11-13T00:00:00"/>
    <x v="2"/>
    <x v="1"/>
    <s v="Tables"/>
    <x v="1"/>
    <n v="850.99"/>
    <n v="1"/>
    <x v="10"/>
    <n v="2023"/>
    <n v="-40.75"/>
    <n v="-4.7885404058802102E-2"/>
  </r>
  <r>
    <n v="10683"/>
    <d v="2023-11-14T00:00:00"/>
    <x v="0"/>
    <x v="0"/>
    <s v="Chairs"/>
    <x v="2"/>
    <n v="662"/>
    <n v="7"/>
    <x v="10"/>
    <n v="2023"/>
    <n v="161.53"/>
    <n v="0.24400302114803626"/>
  </r>
  <r>
    <n v="10684"/>
    <d v="2023-11-15T00:00:00"/>
    <x v="1"/>
    <x v="2"/>
    <s v="Binders"/>
    <x v="2"/>
    <n v="668.19"/>
    <n v="6"/>
    <x v="10"/>
    <n v="2023"/>
    <n v="172.48"/>
    <n v="0.25813017255571019"/>
  </r>
  <r>
    <n v="10685"/>
    <d v="2023-11-16T00:00:00"/>
    <x v="2"/>
    <x v="0"/>
    <s v="Binders"/>
    <x v="1"/>
    <n v="873.48"/>
    <n v="7"/>
    <x v="10"/>
    <n v="2023"/>
    <n v="200.86"/>
    <n v="0.22995374822548886"/>
  </r>
  <r>
    <n v="10686"/>
    <d v="2023-11-17T00:00:00"/>
    <x v="3"/>
    <x v="2"/>
    <s v="Accessories"/>
    <x v="0"/>
    <n v="899.27"/>
    <n v="3"/>
    <x v="10"/>
    <n v="2023"/>
    <n v="101.43"/>
    <n v="0.11279148642788041"/>
  </r>
  <r>
    <n v="10687"/>
    <d v="2023-11-18T00:00:00"/>
    <x v="3"/>
    <x v="1"/>
    <s v="Tables"/>
    <x v="1"/>
    <n v="923.8"/>
    <n v="3"/>
    <x v="10"/>
    <n v="2023"/>
    <n v="257.62"/>
    <n v="0.27886988525654904"/>
  </r>
  <r>
    <n v="10688"/>
    <d v="2023-11-19T00:00:00"/>
    <x v="2"/>
    <x v="2"/>
    <s v="Chairs"/>
    <x v="3"/>
    <n v="140.11000000000001"/>
    <n v="1"/>
    <x v="10"/>
    <n v="2023"/>
    <n v="274.54000000000002"/>
    <n v="1.9594604239526086"/>
  </r>
  <r>
    <n v="10689"/>
    <d v="2023-11-20T00:00:00"/>
    <x v="0"/>
    <x v="2"/>
    <s v="Accessories"/>
    <x v="3"/>
    <n v="566.91999999999996"/>
    <n v="4"/>
    <x v="10"/>
    <n v="2023"/>
    <n v="222.95"/>
    <n v="0.39326536371974885"/>
  </r>
  <r>
    <n v="10690"/>
    <d v="2023-11-21T00:00:00"/>
    <x v="3"/>
    <x v="0"/>
    <s v="Accessories"/>
    <x v="0"/>
    <n v="753.48"/>
    <n v="2"/>
    <x v="10"/>
    <n v="2023"/>
    <n v="154.24"/>
    <n v="0.20470350905133514"/>
  </r>
  <r>
    <n v="10691"/>
    <d v="2023-11-22T00:00:00"/>
    <x v="3"/>
    <x v="0"/>
    <s v="Tables"/>
    <x v="2"/>
    <n v="769.08"/>
    <n v="8"/>
    <x v="10"/>
    <n v="2023"/>
    <n v="21.49"/>
    <n v="2.7942476725438183E-2"/>
  </r>
  <r>
    <n v="10692"/>
    <d v="2023-11-23T00:00:00"/>
    <x v="3"/>
    <x v="1"/>
    <s v="Chairs"/>
    <x v="0"/>
    <n v="626.38"/>
    <n v="3"/>
    <x v="10"/>
    <n v="2023"/>
    <n v="293.18"/>
    <n v="0.46805453558542737"/>
  </r>
  <r>
    <n v="10693"/>
    <d v="2023-11-24T00:00:00"/>
    <x v="2"/>
    <x v="2"/>
    <s v="Tables"/>
    <x v="3"/>
    <n v="208.45"/>
    <n v="7"/>
    <x v="10"/>
    <n v="2023"/>
    <n v="9.65"/>
    <n v="4.6294075317822023E-2"/>
  </r>
  <r>
    <n v="10694"/>
    <d v="2023-11-25T00:00:00"/>
    <x v="1"/>
    <x v="2"/>
    <s v="Chairs"/>
    <x v="0"/>
    <n v="807.55"/>
    <n v="7"/>
    <x v="10"/>
    <n v="2023"/>
    <n v="-18.940000000000001"/>
    <n v="-2.3453656120364066E-2"/>
  </r>
  <r>
    <n v="10695"/>
    <d v="2023-11-26T00:00:00"/>
    <x v="3"/>
    <x v="2"/>
    <s v="Tables"/>
    <x v="1"/>
    <n v="734.11"/>
    <n v="9"/>
    <x v="10"/>
    <n v="2023"/>
    <n v="76.86"/>
    <n v="0.10469820599092779"/>
  </r>
  <r>
    <n v="10696"/>
    <d v="2023-11-27T00:00:00"/>
    <x v="1"/>
    <x v="1"/>
    <s v="Accessories"/>
    <x v="0"/>
    <n v="131.83000000000001"/>
    <n v="6"/>
    <x v="10"/>
    <n v="2023"/>
    <n v="-77.260000000000005"/>
    <n v="-0.58605780171432909"/>
  </r>
  <r>
    <n v="10697"/>
    <d v="2023-11-28T00:00:00"/>
    <x v="0"/>
    <x v="1"/>
    <s v="Accessories"/>
    <x v="2"/>
    <n v="490.62"/>
    <n v="1"/>
    <x v="10"/>
    <n v="2023"/>
    <n v="291.39999999999998"/>
    <n v="0.59394235864824096"/>
  </r>
  <r>
    <n v="10698"/>
    <d v="2023-11-29T00:00:00"/>
    <x v="3"/>
    <x v="1"/>
    <s v="Phones"/>
    <x v="1"/>
    <n v="215.28"/>
    <n v="8"/>
    <x v="10"/>
    <n v="2023"/>
    <n v="135.37"/>
    <n v="0.62880899293942771"/>
  </r>
  <r>
    <n v="10699"/>
    <d v="2023-11-30T00:00:00"/>
    <x v="3"/>
    <x v="1"/>
    <s v="Binders"/>
    <x v="4"/>
    <n v="370.6"/>
    <n v="1"/>
    <x v="10"/>
    <n v="2023"/>
    <n v="122.78"/>
    <n v="0.33130059363194819"/>
  </r>
  <r>
    <n v="10700"/>
    <d v="2023-12-01T00:00:00"/>
    <x v="0"/>
    <x v="1"/>
    <s v="Tables"/>
    <x v="3"/>
    <n v="67.180000000000007"/>
    <n v="3"/>
    <x v="11"/>
    <n v="2023"/>
    <n v="162.32"/>
    <n v="2.4161952962191124"/>
  </r>
  <r>
    <n v="10701"/>
    <d v="2023-12-02T00:00:00"/>
    <x v="3"/>
    <x v="0"/>
    <s v="Phones"/>
    <x v="3"/>
    <n v="430.31"/>
    <n v="5"/>
    <x v="11"/>
    <n v="2023"/>
    <n v="98.81"/>
    <n v="0.22962515395877392"/>
  </r>
  <r>
    <n v="10702"/>
    <d v="2023-12-03T00:00:00"/>
    <x v="1"/>
    <x v="2"/>
    <s v="Binders"/>
    <x v="0"/>
    <n v="572.38"/>
    <n v="8"/>
    <x v="11"/>
    <n v="2023"/>
    <n v="-87.17"/>
    <n v="-0.15229393060554178"/>
  </r>
  <r>
    <n v="10703"/>
    <d v="2023-12-04T00:00:00"/>
    <x v="2"/>
    <x v="2"/>
    <s v="Tables"/>
    <x v="1"/>
    <n v="638.6"/>
    <n v="9"/>
    <x v="11"/>
    <n v="2023"/>
    <n v="144.91999999999999"/>
    <n v="0.22693391794550577"/>
  </r>
  <r>
    <n v="10704"/>
    <d v="2023-12-05T00:00:00"/>
    <x v="1"/>
    <x v="2"/>
    <s v="Chairs"/>
    <x v="4"/>
    <n v="680.32"/>
    <n v="7"/>
    <x v="11"/>
    <n v="2023"/>
    <n v="186.47"/>
    <n v="0.27409160395108184"/>
  </r>
  <r>
    <n v="10705"/>
    <d v="2023-12-06T00:00:00"/>
    <x v="2"/>
    <x v="2"/>
    <s v="Binders"/>
    <x v="1"/>
    <n v="844.48"/>
    <n v="9"/>
    <x v="11"/>
    <n v="2023"/>
    <n v="66.7"/>
    <n v="7.898351648351648E-2"/>
  </r>
  <r>
    <n v="10706"/>
    <d v="2023-12-07T00:00:00"/>
    <x v="2"/>
    <x v="2"/>
    <s v="Accessories"/>
    <x v="3"/>
    <n v="254.69"/>
    <n v="3"/>
    <x v="11"/>
    <n v="2023"/>
    <n v="202.92"/>
    <n v="0.79673328359967011"/>
  </r>
  <r>
    <n v="10707"/>
    <d v="2023-12-08T00:00:00"/>
    <x v="1"/>
    <x v="2"/>
    <s v="Phones"/>
    <x v="1"/>
    <n v="164.46"/>
    <n v="5"/>
    <x v="11"/>
    <n v="2023"/>
    <n v="-9.1999999999999993"/>
    <n v="-5.5940654262434629E-2"/>
  </r>
  <r>
    <n v="10708"/>
    <d v="2023-12-09T00:00:00"/>
    <x v="1"/>
    <x v="2"/>
    <s v="Binders"/>
    <x v="4"/>
    <n v="858.96"/>
    <n v="8"/>
    <x v="11"/>
    <n v="2023"/>
    <n v="-11.49"/>
    <n v="-1.3376641519977648E-2"/>
  </r>
  <r>
    <n v="10709"/>
    <d v="2023-12-10T00:00:00"/>
    <x v="1"/>
    <x v="2"/>
    <s v="Binders"/>
    <x v="0"/>
    <n v="198.78"/>
    <n v="1"/>
    <x v="11"/>
    <n v="2023"/>
    <n v="-35.43"/>
    <n v="-0.1782372472079686"/>
  </r>
  <r>
    <n v="10710"/>
    <d v="2023-12-11T00:00:00"/>
    <x v="1"/>
    <x v="0"/>
    <s v="Accessories"/>
    <x v="2"/>
    <n v="976.02"/>
    <n v="8"/>
    <x v="11"/>
    <n v="2023"/>
    <n v="48.8"/>
    <n v="4.999897543083133E-2"/>
  </r>
  <r>
    <n v="10711"/>
    <d v="2023-12-12T00:00:00"/>
    <x v="0"/>
    <x v="2"/>
    <s v="Tables"/>
    <x v="1"/>
    <n v="850.41"/>
    <n v="7"/>
    <x v="11"/>
    <n v="2023"/>
    <n v="238.8"/>
    <n v="0.28080572900130529"/>
  </r>
  <r>
    <n v="10712"/>
    <d v="2023-12-13T00:00:00"/>
    <x v="3"/>
    <x v="0"/>
    <s v="Chairs"/>
    <x v="2"/>
    <n v="525.83000000000004"/>
    <n v="1"/>
    <x v="11"/>
    <n v="2023"/>
    <n v="231.16"/>
    <n v="0.43960975980830302"/>
  </r>
  <r>
    <n v="10713"/>
    <d v="2023-12-14T00:00:00"/>
    <x v="2"/>
    <x v="1"/>
    <s v="Accessories"/>
    <x v="3"/>
    <n v="982.35"/>
    <n v="6"/>
    <x v="11"/>
    <n v="2023"/>
    <n v="53.13"/>
    <n v="5.4084593067643918E-2"/>
  </r>
  <r>
    <n v="10714"/>
    <d v="2023-12-15T00:00:00"/>
    <x v="1"/>
    <x v="2"/>
    <s v="Chairs"/>
    <x v="0"/>
    <n v="142.51"/>
    <n v="1"/>
    <x v="11"/>
    <n v="2023"/>
    <n v="135.65"/>
    <n v="0.95186302715598914"/>
  </r>
  <r>
    <n v="10715"/>
    <d v="2023-12-16T00:00:00"/>
    <x v="1"/>
    <x v="1"/>
    <s v="Tables"/>
    <x v="0"/>
    <n v="337.91"/>
    <n v="2"/>
    <x v="11"/>
    <n v="2023"/>
    <n v="188.33"/>
    <n v="0.55733775265603269"/>
  </r>
  <r>
    <n v="10716"/>
    <d v="2023-12-17T00:00:00"/>
    <x v="1"/>
    <x v="1"/>
    <s v="Binders"/>
    <x v="1"/>
    <n v="656.31"/>
    <n v="5"/>
    <x v="11"/>
    <n v="2023"/>
    <n v="-3.52"/>
    <n v="-5.363319163200317E-3"/>
  </r>
  <r>
    <n v="10717"/>
    <d v="2023-12-18T00:00:00"/>
    <x v="0"/>
    <x v="1"/>
    <s v="Chairs"/>
    <x v="0"/>
    <n v="382.51"/>
    <n v="2"/>
    <x v="11"/>
    <n v="2023"/>
    <n v="-32.74"/>
    <n v="-8.5592533528535214E-2"/>
  </r>
  <r>
    <n v="10718"/>
    <d v="2023-12-19T00:00:00"/>
    <x v="1"/>
    <x v="0"/>
    <s v="Phones"/>
    <x v="1"/>
    <n v="931.95"/>
    <n v="1"/>
    <x v="11"/>
    <n v="2023"/>
    <n v="288.83999999999997"/>
    <n v="0.30993079027844839"/>
  </r>
  <r>
    <n v="10719"/>
    <d v="2023-12-20T00:00:00"/>
    <x v="1"/>
    <x v="1"/>
    <s v="Phones"/>
    <x v="1"/>
    <n v="112.34"/>
    <n v="6"/>
    <x v="11"/>
    <n v="2023"/>
    <n v="147.02000000000001"/>
    <n v="1.3087057147943744"/>
  </r>
  <r>
    <n v="10720"/>
    <d v="2023-12-21T00:00:00"/>
    <x v="1"/>
    <x v="1"/>
    <s v="Accessories"/>
    <x v="2"/>
    <n v="571.94000000000005"/>
    <n v="8"/>
    <x v="11"/>
    <n v="2023"/>
    <n v="292.57"/>
    <n v="0.51153967199356565"/>
  </r>
  <r>
    <n v="10721"/>
    <d v="2023-12-22T00:00:00"/>
    <x v="3"/>
    <x v="1"/>
    <s v="Tables"/>
    <x v="0"/>
    <n v="611.32000000000005"/>
    <n v="8"/>
    <x v="11"/>
    <n v="2023"/>
    <n v="35.1"/>
    <n v="5.741673755152784E-2"/>
  </r>
  <r>
    <n v="10722"/>
    <d v="2023-12-23T00:00:00"/>
    <x v="0"/>
    <x v="2"/>
    <s v="Accessories"/>
    <x v="1"/>
    <n v="670.09"/>
    <n v="8"/>
    <x v="11"/>
    <n v="2023"/>
    <n v="181.21"/>
    <n v="0.27042636063812325"/>
  </r>
  <r>
    <n v="10723"/>
    <d v="2023-12-24T00:00:00"/>
    <x v="1"/>
    <x v="2"/>
    <s v="Accessories"/>
    <x v="2"/>
    <n v="292.88"/>
    <n v="6"/>
    <x v="11"/>
    <n v="2023"/>
    <n v="-10.96"/>
    <n v="-3.7421469543840485E-2"/>
  </r>
  <r>
    <n v="10724"/>
    <d v="2023-12-25T00:00:00"/>
    <x v="2"/>
    <x v="0"/>
    <s v="Accessories"/>
    <x v="4"/>
    <n v="396.34"/>
    <n v="3"/>
    <x v="11"/>
    <n v="2023"/>
    <n v="4.4800000000000004"/>
    <n v="1.1303426351112682E-2"/>
  </r>
  <r>
    <n v="10725"/>
    <d v="2023-12-26T00:00:00"/>
    <x v="2"/>
    <x v="0"/>
    <s v="Phones"/>
    <x v="2"/>
    <n v="851.5"/>
    <n v="1"/>
    <x v="11"/>
    <n v="2023"/>
    <n v="104.76"/>
    <n v="0.12302994715208457"/>
  </r>
  <r>
    <n v="10726"/>
    <d v="2023-12-27T00:00:00"/>
    <x v="2"/>
    <x v="2"/>
    <s v="Phones"/>
    <x v="2"/>
    <n v="235.2"/>
    <n v="2"/>
    <x v="11"/>
    <n v="2023"/>
    <n v="27.85"/>
    <n v="0.11840986394557824"/>
  </r>
  <r>
    <n v="10727"/>
    <d v="2023-12-28T00:00:00"/>
    <x v="0"/>
    <x v="0"/>
    <s v="Accessories"/>
    <x v="1"/>
    <n v="835.52"/>
    <n v="5"/>
    <x v="11"/>
    <n v="2023"/>
    <n v="-32.950000000000003"/>
    <n v="-3.9436518575258525E-2"/>
  </r>
  <r>
    <n v="10728"/>
    <d v="2023-12-29T00:00:00"/>
    <x v="0"/>
    <x v="2"/>
    <s v="Phones"/>
    <x v="3"/>
    <n v="584.52"/>
    <n v="5"/>
    <x v="11"/>
    <n v="2023"/>
    <n v="5.15"/>
    <n v="8.8106480531034027E-3"/>
  </r>
  <r>
    <n v="10729"/>
    <d v="2023-12-30T00:00:00"/>
    <x v="2"/>
    <x v="1"/>
    <s v="Tables"/>
    <x v="3"/>
    <n v="774.08"/>
    <n v="1"/>
    <x v="11"/>
    <n v="2023"/>
    <n v="-85.7"/>
    <n v="-0.11071207110376188"/>
  </r>
  <r>
    <n v="10730"/>
    <d v="2023-12-31T00:00:00"/>
    <x v="1"/>
    <x v="1"/>
    <s v="Accessories"/>
    <x v="3"/>
    <n v="727.93"/>
    <n v="1"/>
    <x v="11"/>
    <n v="2023"/>
    <n v="181.77"/>
    <n v="0.24970807632602038"/>
  </r>
  <r>
    <n v="10731"/>
    <d v="2024-01-01T00:00:00"/>
    <x v="0"/>
    <x v="0"/>
    <s v="Phones"/>
    <x v="2"/>
    <n v="247.14"/>
    <n v="9"/>
    <x v="0"/>
    <n v="2024"/>
    <n v="96.85"/>
    <n v="0.39188314315772438"/>
  </r>
  <r>
    <n v="10732"/>
    <d v="2024-01-02T00:00:00"/>
    <x v="2"/>
    <x v="2"/>
    <s v="Chairs"/>
    <x v="1"/>
    <n v="590.37"/>
    <n v="2"/>
    <x v="0"/>
    <n v="2024"/>
    <n v="-62.3"/>
    <n v="-0.10552704236326371"/>
  </r>
  <r>
    <n v="10733"/>
    <d v="2024-01-03T00:00:00"/>
    <x v="2"/>
    <x v="2"/>
    <s v="Accessories"/>
    <x v="0"/>
    <n v="874.34"/>
    <n v="7"/>
    <x v="0"/>
    <n v="2024"/>
    <n v="-31.32"/>
    <n v="-3.5821305213075007E-2"/>
  </r>
  <r>
    <n v="10734"/>
    <d v="2024-01-04T00:00:00"/>
    <x v="1"/>
    <x v="0"/>
    <s v="Accessories"/>
    <x v="2"/>
    <n v="460.51"/>
    <n v="4"/>
    <x v="0"/>
    <n v="2024"/>
    <n v="-58.99"/>
    <n v="-0.12809710972617316"/>
  </r>
  <r>
    <n v="10735"/>
    <d v="2024-01-05T00:00:00"/>
    <x v="3"/>
    <x v="2"/>
    <s v="Tables"/>
    <x v="2"/>
    <n v="968.26"/>
    <n v="7"/>
    <x v="0"/>
    <n v="2024"/>
    <n v="145.04"/>
    <n v="0.1497944766901452"/>
  </r>
  <r>
    <n v="10736"/>
    <d v="2024-01-06T00:00:00"/>
    <x v="0"/>
    <x v="1"/>
    <s v="Binders"/>
    <x v="1"/>
    <n v="479.6"/>
    <n v="8"/>
    <x v="0"/>
    <n v="2024"/>
    <n v="-62.32"/>
    <n v="-0.1299416180150125"/>
  </r>
  <r>
    <n v="10737"/>
    <d v="2024-01-07T00:00:00"/>
    <x v="1"/>
    <x v="0"/>
    <s v="Binders"/>
    <x v="4"/>
    <n v="185.65"/>
    <n v="5"/>
    <x v="0"/>
    <n v="2024"/>
    <n v="201.71"/>
    <n v="1.0865068677619176"/>
  </r>
  <r>
    <n v="10738"/>
    <d v="2024-01-08T00:00:00"/>
    <x v="2"/>
    <x v="0"/>
    <s v="Tables"/>
    <x v="2"/>
    <n v="419.96"/>
    <n v="1"/>
    <x v="0"/>
    <n v="2024"/>
    <n v="-91.8"/>
    <n v="-0.21859224688065532"/>
  </r>
  <r>
    <n v="10739"/>
    <d v="2024-01-09T00:00:00"/>
    <x v="2"/>
    <x v="2"/>
    <s v="Tables"/>
    <x v="4"/>
    <n v="954.12"/>
    <n v="4"/>
    <x v="0"/>
    <n v="2024"/>
    <n v="-0.25"/>
    <n v="-2.6202154865216117E-4"/>
  </r>
  <r>
    <n v="10740"/>
    <d v="2024-01-10T00:00:00"/>
    <x v="1"/>
    <x v="0"/>
    <s v="Tables"/>
    <x v="4"/>
    <n v="353.73"/>
    <n v="3"/>
    <x v="0"/>
    <n v="2024"/>
    <n v="256.27"/>
    <n v="0.72447912249455793"/>
  </r>
  <r>
    <n v="10741"/>
    <d v="2024-01-11T00:00:00"/>
    <x v="0"/>
    <x v="2"/>
    <s v="Binders"/>
    <x v="3"/>
    <n v="874.69"/>
    <n v="5"/>
    <x v="0"/>
    <n v="2024"/>
    <n v="187.41"/>
    <n v="0.21425876596279822"/>
  </r>
  <r>
    <n v="10742"/>
    <d v="2024-01-12T00:00:00"/>
    <x v="3"/>
    <x v="2"/>
    <s v="Tables"/>
    <x v="1"/>
    <n v="887.19"/>
    <n v="6"/>
    <x v="0"/>
    <n v="2024"/>
    <n v="-70.81"/>
    <n v="-7.9813794114000386E-2"/>
  </r>
  <r>
    <n v="10743"/>
    <d v="2024-01-13T00:00:00"/>
    <x v="3"/>
    <x v="2"/>
    <s v="Phones"/>
    <x v="4"/>
    <n v="382.68"/>
    <n v="2"/>
    <x v="0"/>
    <n v="2024"/>
    <n v="228.45"/>
    <n v="0.59697397303229849"/>
  </r>
  <r>
    <n v="10744"/>
    <d v="2024-01-14T00:00:00"/>
    <x v="2"/>
    <x v="2"/>
    <s v="Accessories"/>
    <x v="1"/>
    <n v="129.09"/>
    <n v="7"/>
    <x v="0"/>
    <n v="2024"/>
    <n v="97.21"/>
    <n v="0.75304051436981945"/>
  </r>
  <r>
    <n v="10745"/>
    <d v="2024-01-15T00:00:00"/>
    <x v="0"/>
    <x v="2"/>
    <s v="Accessories"/>
    <x v="3"/>
    <n v="738.33"/>
    <n v="3"/>
    <x v="0"/>
    <n v="2024"/>
    <n v="238.71"/>
    <n v="0.32331071472105966"/>
  </r>
  <r>
    <n v="10746"/>
    <d v="2024-01-16T00:00:00"/>
    <x v="3"/>
    <x v="0"/>
    <s v="Chairs"/>
    <x v="1"/>
    <n v="345.94"/>
    <n v="1"/>
    <x v="0"/>
    <n v="2024"/>
    <n v="140.30000000000001"/>
    <n v="0.40556165809099848"/>
  </r>
  <r>
    <n v="10747"/>
    <d v="2024-01-17T00:00:00"/>
    <x v="0"/>
    <x v="1"/>
    <s v="Chairs"/>
    <x v="2"/>
    <n v="793.78"/>
    <n v="3"/>
    <x v="0"/>
    <n v="2024"/>
    <n v="172.73"/>
    <n v="0.21760437400791149"/>
  </r>
  <r>
    <n v="10748"/>
    <d v="2024-01-18T00:00:00"/>
    <x v="0"/>
    <x v="1"/>
    <s v="Accessories"/>
    <x v="4"/>
    <n v="470.52"/>
    <n v="9"/>
    <x v="0"/>
    <n v="2024"/>
    <n v="297.39999999999998"/>
    <n v="0.63206664966420123"/>
  </r>
  <r>
    <n v="10749"/>
    <d v="2024-01-19T00:00:00"/>
    <x v="2"/>
    <x v="0"/>
    <s v="Phones"/>
    <x v="1"/>
    <n v="511"/>
    <n v="6"/>
    <x v="0"/>
    <n v="2024"/>
    <n v="-7.07"/>
    <n v="-1.3835616438356164E-2"/>
  </r>
  <r>
    <n v="10750"/>
    <d v="2024-01-20T00:00:00"/>
    <x v="3"/>
    <x v="0"/>
    <s v="Binders"/>
    <x v="0"/>
    <n v="789.01"/>
    <n v="6"/>
    <x v="0"/>
    <n v="2024"/>
    <n v="149.58000000000001"/>
    <n v="0.18957934626937556"/>
  </r>
  <r>
    <n v="10751"/>
    <d v="2024-01-21T00:00:00"/>
    <x v="1"/>
    <x v="1"/>
    <s v="Binders"/>
    <x v="1"/>
    <n v="413.25"/>
    <n v="4"/>
    <x v="0"/>
    <n v="2024"/>
    <n v="84.13"/>
    <n v="0.20358136721113126"/>
  </r>
  <r>
    <n v="10752"/>
    <d v="2024-01-22T00:00:00"/>
    <x v="2"/>
    <x v="1"/>
    <s v="Phones"/>
    <x v="4"/>
    <n v="470.97"/>
    <n v="8"/>
    <x v="0"/>
    <n v="2024"/>
    <n v="-84.22"/>
    <n v="-0.17882243030341635"/>
  </r>
  <r>
    <n v="10753"/>
    <d v="2024-01-23T00:00:00"/>
    <x v="3"/>
    <x v="1"/>
    <s v="Binders"/>
    <x v="3"/>
    <n v="407.38"/>
    <n v="5"/>
    <x v="0"/>
    <n v="2024"/>
    <n v="-94.21"/>
    <n v="-0.23125828464823997"/>
  </r>
  <r>
    <n v="10754"/>
    <d v="2024-01-24T00:00:00"/>
    <x v="3"/>
    <x v="1"/>
    <s v="Tables"/>
    <x v="3"/>
    <n v="398.97"/>
    <n v="7"/>
    <x v="0"/>
    <n v="2024"/>
    <n v="-52.31"/>
    <n v="-0.13111261498358273"/>
  </r>
  <r>
    <n v="10755"/>
    <d v="2024-01-25T00:00:00"/>
    <x v="3"/>
    <x v="1"/>
    <s v="Accessories"/>
    <x v="4"/>
    <n v="549.65"/>
    <n v="9"/>
    <x v="0"/>
    <n v="2024"/>
    <n v="159.63999999999999"/>
    <n v="0.29043937050850538"/>
  </r>
  <r>
    <n v="10756"/>
    <d v="2024-01-26T00:00:00"/>
    <x v="3"/>
    <x v="2"/>
    <s v="Accessories"/>
    <x v="2"/>
    <n v="818.36"/>
    <n v="5"/>
    <x v="0"/>
    <n v="2024"/>
    <n v="126.87"/>
    <n v="0.15502957133779754"/>
  </r>
  <r>
    <n v="10757"/>
    <d v="2024-01-27T00:00:00"/>
    <x v="3"/>
    <x v="0"/>
    <s v="Phones"/>
    <x v="2"/>
    <n v="393.68"/>
    <n v="5"/>
    <x v="0"/>
    <n v="2024"/>
    <n v="121.37"/>
    <n v="0.30829607803292014"/>
  </r>
  <r>
    <n v="10758"/>
    <d v="2024-01-28T00:00:00"/>
    <x v="0"/>
    <x v="2"/>
    <s v="Binders"/>
    <x v="3"/>
    <n v="548.04"/>
    <n v="4"/>
    <x v="0"/>
    <n v="2024"/>
    <n v="-87.26"/>
    <n v="-0.1592219546018539"/>
  </r>
  <r>
    <n v="10759"/>
    <d v="2024-01-29T00:00:00"/>
    <x v="2"/>
    <x v="1"/>
    <s v="Chairs"/>
    <x v="3"/>
    <n v="687.19"/>
    <n v="6"/>
    <x v="0"/>
    <n v="2024"/>
    <n v="87.72"/>
    <n v="0.12765028594711797"/>
  </r>
  <r>
    <n v="10760"/>
    <d v="2024-01-30T00:00:00"/>
    <x v="0"/>
    <x v="1"/>
    <s v="Chairs"/>
    <x v="4"/>
    <n v="305.97000000000003"/>
    <n v="2"/>
    <x v="0"/>
    <n v="2024"/>
    <n v="269.85000000000002"/>
    <n v="0.881949210706932"/>
  </r>
  <r>
    <n v="10761"/>
    <d v="2024-01-31T00:00:00"/>
    <x v="1"/>
    <x v="1"/>
    <s v="Binders"/>
    <x v="2"/>
    <n v="313.64999999999998"/>
    <n v="3"/>
    <x v="0"/>
    <n v="2024"/>
    <n v="59.04"/>
    <n v="0.18823529411764706"/>
  </r>
  <r>
    <n v="10762"/>
    <d v="2024-02-01T00:00:00"/>
    <x v="3"/>
    <x v="2"/>
    <s v="Chairs"/>
    <x v="3"/>
    <n v="936.74"/>
    <n v="1"/>
    <x v="1"/>
    <n v="2024"/>
    <n v="149.97"/>
    <n v="0.16009778593846744"/>
  </r>
  <r>
    <n v="10763"/>
    <d v="2024-02-02T00:00:00"/>
    <x v="2"/>
    <x v="2"/>
    <s v="Phones"/>
    <x v="2"/>
    <n v="737.36"/>
    <n v="2"/>
    <x v="1"/>
    <n v="2024"/>
    <n v="211.93"/>
    <n v="0.28741727243137682"/>
  </r>
  <r>
    <n v="10764"/>
    <d v="2024-02-03T00:00:00"/>
    <x v="3"/>
    <x v="1"/>
    <s v="Phones"/>
    <x v="3"/>
    <n v="598.33000000000004"/>
    <n v="2"/>
    <x v="1"/>
    <n v="2024"/>
    <n v="213.57"/>
    <n v="0.35694349272140791"/>
  </r>
  <r>
    <n v="10765"/>
    <d v="2024-02-04T00:00:00"/>
    <x v="2"/>
    <x v="2"/>
    <s v="Binders"/>
    <x v="1"/>
    <n v="665.33"/>
    <n v="8"/>
    <x v="1"/>
    <n v="2024"/>
    <n v="107.71"/>
    <n v="0.16188958862519348"/>
  </r>
  <r>
    <n v="10766"/>
    <d v="2024-02-05T00:00:00"/>
    <x v="0"/>
    <x v="2"/>
    <s v="Chairs"/>
    <x v="0"/>
    <n v="77.83"/>
    <n v="8"/>
    <x v="1"/>
    <n v="2024"/>
    <n v="243.18"/>
    <n v="3.1245021200051397"/>
  </r>
  <r>
    <n v="10767"/>
    <d v="2024-02-06T00:00:00"/>
    <x v="2"/>
    <x v="1"/>
    <s v="Phones"/>
    <x v="1"/>
    <n v="637.20000000000005"/>
    <n v="2"/>
    <x v="1"/>
    <n v="2024"/>
    <n v="56.55"/>
    <n v="8.8747645951035764E-2"/>
  </r>
  <r>
    <n v="10768"/>
    <d v="2024-02-07T00:00:00"/>
    <x v="1"/>
    <x v="2"/>
    <s v="Phones"/>
    <x v="3"/>
    <n v="534.03"/>
    <n v="6"/>
    <x v="1"/>
    <n v="2024"/>
    <n v="255.48"/>
    <n v="0.47840008988259086"/>
  </r>
  <r>
    <n v="10769"/>
    <d v="2024-02-08T00:00:00"/>
    <x v="1"/>
    <x v="0"/>
    <s v="Tables"/>
    <x v="0"/>
    <n v="568.46"/>
    <n v="5"/>
    <x v="1"/>
    <n v="2024"/>
    <n v="-3.91"/>
    <n v="-6.8782324174084366E-3"/>
  </r>
  <r>
    <n v="10770"/>
    <d v="2024-02-09T00:00:00"/>
    <x v="2"/>
    <x v="0"/>
    <s v="Tables"/>
    <x v="0"/>
    <n v="391.45"/>
    <n v="3"/>
    <x v="1"/>
    <n v="2024"/>
    <n v="12.09"/>
    <n v="3.0885170519862053E-2"/>
  </r>
  <r>
    <n v="10771"/>
    <d v="2024-02-10T00:00:00"/>
    <x v="2"/>
    <x v="0"/>
    <s v="Phones"/>
    <x v="3"/>
    <n v="127.4"/>
    <n v="5"/>
    <x v="1"/>
    <n v="2024"/>
    <n v="-78.75"/>
    <n v="-0.61813186813186816"/>
  </r>
  <r>
    <n v="10772"/>
    <d v="2024-02-11T00:00:00"/>
    <x v="2"/>
    <x v="0"/>
    <s v="Binders"/>
    <x v="3"/>
    <n v="233.67"/>
    <n v="5"/>
    <x v="1"/>
    <n v="2024"/>
    <n v="218.23"/>
    <n v="0.93392390978730688"/>
  </r>
  <r>
    <n v="10773"/>
    <d v="2024-02-12T00:00:00"/>
    <x v="2"/>
    <x v="1"/>
    <s v="Accessories"/>
    <x v="2"/>
    <n v="953.21"/>
    <n v="5"/>
    <x v="1"/>
    <n v="2024"/>
    <n v="66.819999999999993"/>
    <n v="7.0099977969177815E-2"/>
  </r>
  <r>
    <n v="10774"/>
    <d v="2024-02-13T00:00:00"/>
    <x v="1"/>
    <x v="1"/>
    <s v="Accessories"/>
    <x v="3"/>
    <n v="438.26"/>
    <n v="3"/>
    <x v="1"/>
    <n v="2024"/>
    <n v="-8.35"/>
    <n v="-1.9052617167891205E-2"/>
  </r>
  <r>
    <n v="10775"/>
    <d v="2024-02-14T00:00:00"/>
    <x v="3"/>
    <x v="1"/>
    <s v="Phones"/>
    <x v="4"/>
    <n v="493.35"/>
    <n v="3"/>
    <x v="1"/>
    <n v="2024"/>
    <n v="-7.28"/>
    <n v="-1.4756258234519103E-2"/>
  </r>
  <r>
    <n v="10776"/>
    <d v="2024-02-15T00:00:00"/>
    <x v="2"/>
    <x v="0"/>
    <s v="Phones"/>
    <x v="3"/>
    <n v="100.07"/>
    <n v="4"/>
    <x v="1"/>
    <n v="2024"/>
    <n v="260.56"/>
    <n v="2.6037773558509048"/>
  </r>
  <r>
    <n v="10777"/>
    <d v="2024-02-16T00:00:00"/>
    <x v="2"/>
    <x v="0"/>
    <s v="Phones"/>
    <x v="4"/>
    <n v="85.69"/>
    <n v="7"/>
    <x v="1"/>
    <n v="2024"/>
    <n v="233.57"/>
    <n v="2.7257556307620492"/>
  </r>
  <r>
    <n v="10778"/>
    <d v="2024-02-17T00:00:00"/>
    <x v="1"/>
    <x v="2"/>
    <s v="Binders"/>
    <x v="3"/>
    <n v="731.32"/>
    <n v="2"/>
    <x v="1"/>
    <n v="2024"/>
    <n v="121.41"/>
    <n v="0.1660148772083356"/>
  </r>
  <r>
    <n v="10779"/>
    <d v="2024-02-18T00:00:00"/>
    <x v="1"/>
    <x v="2"/>
    <s v="Tables"/>
    <x v="2"/>
    <n v="561.19000000000005"/>
    <n v="4"/>
    <x v="1"/>
    <n v="2024"/>
    <n v="146.44"/>
    <n v="0.26094549083198199"/>
  </r>
  <r>
    <n v="10780"/>
    <d v="2024-02-19T00:00:00"/>
    <x v="0"/>
    <x v="0"/>
    <s v="Phones"/>
    <x v="4"/>
    <n v="533.27"/>
    <n v="4"/>
    <x v="1"/>
    <n v="2024"/>
    <n v="89.73"/>
    <n v="0.16826373131809402"/>
  </r>
  <r>
    <n v="10781"/>
    <d v="2024-02-20T00:00:00"/>
    <x v="2"/>
    <x v="0"/>
    <s v="Phones"/>
    <x v="1"/>
    <n v="280.97000000000003"/>
    <n v="1"/>
    <x v="1"/>
    <n v="2024"/>
    <n v="56.67"/>
    <n v="0.20169413104601913"/>
  </r>
  <r>
    <n v="10782"/>
    <d v="2024-02-21T00:00:00"/>
    <x v="0"/>
    <x v="0"/>
    <s v="Chairs"/>
    <x v="4"/>
    <n v="757.51"/>
    <n v="8"/>
    <x v="1"/>
    <n v="2024"/>
    <n v="266.19"/>
    <n v="0.35140130163298172"/>
  </r>
  <r>
    <n v="10783"/>
    <d v="2024-02-22T00:00:00"/>
    <x v="1"/>
    <x v="0"/>
    <s v="Binders"/>
    <x v="2"/>
    <n v="209.82"/>
    <n v="1"/>
    <x v="1"/>
    <n v="2024"/>
    <n v="-49.75"/>
    <n v="-0.23710799733104568"/>
  </r>
  <r>
    <n v="10784"/>
    <d v="2024-02-23T00:00:00"/>
    <x v="1"/>
    <x v="2"/>
    <s v="Phones"/>
    <x v="4"/>
    <n v="230.44"/>
    <n v="8"/>
    <x v="1"/>
    <n v="2024"/>
    <n v="67.38"/>
    <n v="0.29239715327200139"/>
  </r>
  <r>
    <n v="10785"/>
    <d v="2024-02-24T00:00:00"/>
    <x v="3"/>
    <x v="0"/>
    <s v="Chairs"/>
    <x v="3"/>
    <n v="487.68"/>
    <n v="7"/>
    <x v="1"/>
    <n v="2024"/>
    <n v="37.82"/>
    <n v="7.7550853018372709E-2"/>
  </r>
  <r>
    <n v="10786"/>
    <d v="2024-02-25T00:00:00"/>
    <x v="2"/>
    <x v="2"/>
    <s v="Accessories"/>
    <x v="3"/>
    <n v="321.97000000000003"/>
    <n v="9"/>
    <x v="1"/>
    <n v="2024"/>
    <n v="99.26"/>
    <n v="0.30828959219803087"/>
  </r>
  <r>
    <n v="10787"/>
    <d v="2024-02-26T00:00:00"/>
    <x v="0"/>
    <x v="0"/>
    <s v="Phones"/>
    <x v="2"/>
    <n v="285.08999999999997"/>
    <n v="8"/>
    <x v="1"/>
    <n v="2024"/>
    <n v="83.05"/>
    <n v="0.29131151566172087"/>
  </r>
  <r>
    <n v="10788"/>
    <d v="2024-02-27T00:00:00"/>
    <x v="1"/>
    <x v="0"/>
    <s v="Phones"/>
    <x v="0"/>
    <n v="662.98"/>
    <n v="5"/>
    <x v="1"/>
    <n v="2024"/>
    <n v="107.56"/>
    <n v="0.16223717155871972"/>
  </r>
  <r>
    <n v="10789"/>
    <d v="2024-02-28T00:00:00"/>
    <x v="1"/>
    <x v="0"/>
    <s v="Chairs"/>
    <x v="3"/>
    <n v="668.42"/>
    <n v="8"/>
    <x v="1"/>
    <n v="2024"/>
    <n v="-44.03"/>
    <n v="-6.5871757278357923E-2"/>
  </r>
  <r>
    <n v="10790"/>
    <d v="2024-02-29T00:00:00"/>
    <x v="0"/>
    <x v="2"/>
    <s v="Binders"/>
    <x v="1"/>
    <n v="833.29"/>
    <n v="3"/>
    <x v="1"/>
    <n v="2024"/>
    <n v="105.26"/>
    <n v="0.12631856856556542"/>
  </r>
  <r>
    <n v="10791"/>
    <d v="2024-03-01T00:00:00"/>
    <x v="3"/>
    <x v="2"/>
    <s v="Phones"/>
    <x v="2"/>
    <n v="446.82"/>
    <n v="7"/>
    <x v="2"/>
    <n v="2024"/>
    <n v="-3.03"/>
    <n v="-6.7812541963206659E-3"/>
  </r>
  <r>
    <n v="10792"/>
    <d v="2024-03-02T00:00:00"/>
    <x v="1"/>
    <x v="1"/>
    <s v="Accessories"/>
    <x v="4"/>
    <n v="119.43"/>
    <n v="4"/>
    <x v="2"/>
    <n v="2024"/>
    <n v="-26.27"/>
    <n v="-0.21996148371430962"/>
  </r>
  <r>
    <n v="10793"/>
    <d v="2024-03-03T00:00:00"/>
    <x v="2"/>
    <x v="0"/>
    <s v="Phones"/>
    <x v="4"/>
    <n v="309.98"/>
    <n v="5"/>
    <x v="2"/>
    <n v="2024"/>
    <n v="-74.069999999999993"/>
    <n v="-0.23895090005806824"/>
  </r>
  <r>
    <n v="10794"/>
    <d v="2024-03-04T00:00:00"/>
    <x v="1"/>
    <x v="1"/>
    <s v="Accessories"/>
    <x v="1"/>
    <n v="981.01"/>
    <n v="9"/>
    <x v="2"/>
    <n v="2024"/>
    <n v="205.06"/>
    <n v="0.20902946962824029"/>
  </r>
  <r>
    <n v="10795"/>
    <d v="2024-03-05T00:00:00"/>
    <x v="2"/>
    <x v="1"/>
    <s v="Tables"/>
    <x v="3"/>
    <n v="616.45000000000005"/>
    <n v="7"/>
    <x v="2"/>
    <n v="2024"/>
    <n v="70.98"/>
    <n v="0.11514315840700787"/>
  </r>
  <r>
    <n v="10796"/>
    <d v="2024-03-06T00:00:00"/>
    <x v="0"/>
    <x v="2"/>
    <s v="Tables"/>
    <x v="2"/>
    <n v="724.25"/>
    <n v="4"/>
    <x v="2"/>
    <n v="2024"/>
    <n v="150.66"/>
    <n v="0.20802209181912323"/>
  </r>
  <r>
    <n v="10797"/>
    <d v="2024-03-07T00:00:00"/>
    <x v="2"/>
    <x v="2"/>
    <s v="Accessories"/>
    <x v="1"/>
    <n v="56.99"/>
    <n v="6"/>
    <x v="2"/>
    <n v="2024"/>
    <n v="191.04"/>
    <n v="3.3521670468503242"/>
  </r>
  <r>
    <n v="10798"/>
    <d v="2024-03-08T00:00:00"/>
    <x v="0"/>
    <x v="1"/>
    <s v="Binders"/>
    <x v="3"/>
    <n v="542.29999999999995"/>
    <n v="7"/>
    <x v="2"/>
    <n v="2024"/>
    <n v="171.73"/>
    <n v="0.31666973999631204"/>
  </r>
  <r>
    <n v="10799"/>
    <d v="2024-03-09T00:00:00"/>
    <x v="2"/>
    <x v="0"/>
    <s v="Phones"/>
    <x v="2"/>
    <n v="85.65"/>
    <n v="9"/>
    <x v="2"/>
    <n v="2024"/>
    <n v="88.2"/>
    <n v="1.0297723292469352"/>
  </r>
  <r>
    <n v="10800"/>
    <d v="2024-03-10T00:00:00"/>
    <x v="0"/>
    <x v="2"/>
    <s v="Phones"/>
    <x v="4"/>
    <n v="590.77"/>
    <n v="4"/>
    <x v="2"/>
    <n v="2024"/>
    <n v="55.16"/>
    <n v="9.3369670091575402E-2"/>
  </r>
  <r>
    <n v="10801"/>
    <d v="2024-03-11T00:00:00"/>
    <x v="2"/>
    <x v="0"/>
    <s v="Tables"/>
    <x v="2"/>
    <n v="924.73"/>
    <n v="3"/>
    <x v="2"/>
    <n v="2024"/>
    <n v="50.38"/>
    <n v="5.4480767359121045E-2"/>
  </r>
  <r>
    <n v="10802"/>
    <d v="2024-03-12T00:00:00"/>
    <x v="3"/>
    <x v="0"/>
    <s v="Accessories"/>
    <x v="0"/>
    <n v="970"/>
    <n v="8"/>
    <x v="2"/>
    <n v="2024"/>
    <n v="156.02000000000001"/>
    <n v="0.16084536082474227"/>
  </r>
  <r>
    <n v="10803"/>
    <d v="2024-03-13T00:00:00"/>
    <x v="2"/>
    <x v="1"/>
    <s v="Phones"/>
    <x v="2"/>
    <n v="563.53"/>
    <n v="1"/>
    <x v="2"/>
    <n v="2024"/>
    <n v="97.92"/>
    <n v="0.17376182279559207"/>
  </r>
  <r>
    <n v="10804"/>
    <d v="2024-03-14T00:00:00"/>
    <x v="2"/>
    <x v="1"/>
    <s v="Phones"/>
    <x v="0"/>
    <n v="485.29"/>
    <n v="9"/>
    <x v="2"/>
    <n v="2024"/>
    <n v="239.65"/>
    <n v="0.49382843248366953"/>
  </r>
  <r>
    <n v="10805"/>
    <d v="2024-03-15T00:00:00"/>
    <x v="3"/>
    <x v="1"/>
    <s v="Binders"/>
    <x v="2"/>
    <n v="947.77"/>
    <n v="1"/>
    <x v="2"/>
    <n v="2024"/>
    <n v="249.88"/>
    <n v="0.26365046372010087"/>
  </r>
  <r>
    <n v="10806"/>
    <d v="2024-03-16T00:00:00"/>
    <x v="1"/>
    <x v="1"/>
    <s v="Chairs"/>
    <x v="0"/>
    <n v="689.93"/>
    <n v="2"/>
    <x v="2"/>
    <n v="2024"/>
    <n v="-31.78"/>
    <n v="-4.6062644036351519E-2"/>
  </r>
  <r>
    <n v="10807"/>
    <d v="2024-03-17T00:00:00"/>
    <x v="1"/>
    <x v="2"/>
    <s v="Tables"/>
    <x v="4"/>
    <n v="111.65"/>
    <n v="8"/>
    <x v="2"/>
    <n v="2024"/>
    <n v="-45.51"/>
    <n v="-0.4076130765785938"/>
  </r>
  <r>
    <n v="10808"/>
    <d v="2024-03-18T00:00:00"/>
    <x v="2"/>
    <x v="2"/>
    <s v="Tables"/>
    <x v="3"/>
    <n v="492.44"/>
    <n v="9"/>
    <x v="2"/>
    <n v="2024"/>
    <n v="152.16"/>
    <n v="0.30899195841117699"/>
  </r>
  <r>
    <n v="10809"/>
    <d v="2024-03-19T00:00:00"/>
    <x v="3"/>
    <x v="1"/>
    <s v="Chairs"/>
    <x v="0"/>
    <n v="278.23"/>
    <n v="7"/>
    <x v="2"/>
    <n v="2024"/>
    <n v="20.49"/>
    <n v="7.3644107393163918E-2"/>
  </r>
  <r>
    <n v="10810"/>
    <d v="2024-03-20T00:00:00"/>
    <x v="2"/>
    <x v="2"/>
    <s v="Phones"/>
    <x v="0"/>
    <n v="496.31"/>
    <n v="3"/>
    <x v="2"/>
    <n v="2024"/>
    <n v="-92.57"/>
    <n v="-0.18651649170881102"/>
  </r>
  <r>
    <n v="10811"/>
    <d v="2024-03-21T00:00:00"/>
    <x v="0"/>
    <x v="1"/>
    <s v="Binders"/>
    <x v="4"/>
    <n v="482.69"/>
    <n v="7"/>
    <x v="2"/>
    <n v="2024"/>
    <n v="255.46"/>
    <n v="0.52924237087986081"/>
  </r>
  <r>
    <n v="10812"/>
    <d v="2024-03-22T00:00:00"/>
    <x v="0"/>
    <x v="0"/>
    <s v="Binders"/>
    <x v="0"/>
    <n v="603.04"/>
    <n v="6"/>
    <x v="2"/>
    <n v="2024"/>
    <n v="-9.24"/>
    <n v="-1.5322366675510747E-2"/>
  </r>
  <r>
    <n v="10813"/>
    <d v="2024-03-23T00:00:00"/>
    <x v="2"/>
    <x v="0"/>
    <s v="Tables"/>
    <x v="1"/>
    <n v="388.93"/>
    <n v="2"/>
    <x v="2"/>
    <n v="2024"/>
    <n v="271.70999999999998"/>
    <n v="0.69860900419098548"/>
  </r>
  <r>
    <n v="10814"/>
    <d v="2024-03-24T00:00:00"/>
    <x v="1"/>
    <x v="0"/>
    <s v="Binders"/>
    <x v="4"/>
    <n v="206.06"/>
    <n v="3"/>
    <x v="2"/>
    <n v="2024"/>
    <n v="186.97"/>
    <n v="0.90735708046200136"/>
  </r>
  <r>
    <n v="10815"/>
    <d v="2024-03-25T00:00:00"/>
    <x v="1"/>
    <x v="1"/>
    <s v="Chairs"/>
    <x v="1"/>
    <n v="528.53"/>
    <n v="5"/>
    <x v="2"/>
    <n v="2024"/>
    <n v="205.06"/>
    <n v="0.38798176073259799"/>
  </r>
  <r>
    <n v="10816"/>
    <d v="2024-03-26T00:00:00"/>
    <x v="2"/>
    <x v="0"/>
    <s v="Phones"/>
    <x v="4"/>
    <n v="838.69"/>
    <n v="4"/>
    <x v="2"/>
    <n v="2024"/>
    <n v="-19.420000000000002"/>
    <n v="-2.3155158640260406E-2"/>
  </r>
  <r>
    <n v="10817"/>
    <d v="2024-03-27T00:00:00"/>
    <x v="2"/>
    <x v="2"/>
    <s v="Chairs"/>
    <x v="0"/>
    <n v="680.81"/>
    <n v="2"/>
    <x v="2"/>
    <n v="2024"/>
    <n v="-6.32"/>
    <n v="-9.2830598845492877E-3"/>
  </r>
  <r>
    <n v="10818"/>
    <d v="2024-03-28T00:00:00"/>
    <x v="0"/>
    <x v="0"/>
    <s v="Accessories"/>
    <x v="1"/>
    <n v="371.45"/>
    <n v="4"/>
    <x v="2"/>
    <n v="2024"/>
    <n v="108.51"/>
    <n v="0.29212545430071346"/>
  </r>
  <r>
    <n v="10819"/>
    <d v="2024-03-29T00:00:00"/>
    <x v="1"/>
    <x v="0"/>
    <s v="Tables"/>
    <x v="0"/>
    <n v="938.75"/>
    <n v="8"/>
    <x v="2"/>
    <n v="2024"/>
    <n v="-31.16"/>
    <n v="-3.3193075898801598E-2"/>
  </r>
  <r>
    <n v="10820"/>
    <d v="2024-03-30T00:00:00"/>
    <x v="2"/>
    <x v="0"/>
    <s v="Binders"/>
    <x v="4"/>
    <n v="916.6"/>
    <n v="5"/>
    <x v="2"/>
    <n v="2024"/>
    <n v="22.17"/>
    <n v="2.4187213615535677E-2"/>
  </r>
  <r>
    <n v="10821"/>
    <d v="2024-03-31T00:00:00"/>
    <x v="0"/>
    <x v="2"/>
    <s v="Accessories"/>
    <x v="0"/>
    <n v="248.88"/>
    <n v="5"/>
    <x v="2"/>
    <n v="2024"/>
    <n v="28.58"/>
    <n v="0.11483445837351333"/>
  </r>
  <r>
    <n v="10822"/>
    <d v="2024-04-01T00:00:00"/>
    <x v="1"/>
    <x v="1"/>
    <s v="Binders"/>
    <x v="1"/>
    <n v="87.45"/>
    <n v="3"/>
    <x v="3"/>
    <n v="2024"/>
    <n v="-36.15"/>
    <n v="-0.41337907375643224"/>
  </r>
  <r>
    <n v="10823"/>
    <d v="2024-04-02T00:00:00"/>
    <x v="3"/>
    <x v="2"/>
    <s v="Phones"/>
    <x v="1"/>
    <n v="754.24"/>
    <n v="8"/>
    <x v="3"/>
    <n v="2024"/>
    <n v="-17.93"/>
    <n v="-2.3772274077216802E-2"/>
  </r>
  <r>
    <n v="10824"/>
    <d v="2024-04-03T00:00:00"/>
    <x v="0"/>
    <x v="1"/>
    <s v="Phones"/>
    <x v="0"/>
    <n v="836.23"/>
    <n v="6"/>
    <x v="3"/>
    <n v="2024"/>
    <n v="215.42"/>
    <n v="0.25760855267091587"/>
  </r>
  <r>
    <n v="10825"/>
    <d v="2024-04-04T00:00:00"/>
    <x v="1"/>
    <x v="1"/>
    <s v="Phones"/>
    <x v="2"/>
    <n v="969.47"/>
    <n v="2"/>
    <x v="3"/>
    <n v="2024"/>
    <n v="-33.119999999999997"/>
    <n v="-3.4162996276315923E-2"/>
  </r>
  <r>
    <n v="10826"/>
    <d v="2024-04-05T00:00:00"/>
    <x v="1"/>
    <x v="0"/>
    <s v="Binders"/>
    <x v="4"/>
    <n v="895.34"/>
    <n v="2"/>
    <x v="3"/>
    <n v="2024"/>
    <n v="-88.62"/>
    <n v="-9.8979158755333169E-2"/>
  </r>
  <r>
    <n v="10827"/>
    <d v="2024-04-06T00:00:00"/>
    <x v="0"/>
    <x v="1"/>
    <s v="Accessories"/>
    <x v="4"/>
    <n v="620.51"/>
    <n v="9"/>
    <x v="3"/>
    <n v="2024"/>
    <n v="151.74"/>
    <n v="0.24454078097049203"/>
  </r>
  <r>
    <n v="10828"/>
    <d v="2024-04-07T00:00:00"/>
    <x v="3"/>
    <x v="2"/>
    <s v="Phones"/>
    <x v="0"/>
    <n v="553.54999999999995"/>
    <n v="7"/>
    <x v="3"/>
    <n v="2024"/>
    <n v="290.39"/>
    <n v="0.52459579080480534"/>
  </r>
  <r>
    <n v="10829"/>
    <d v="2024-04-08T00:00:00"/>
    <x v="0"/>
    <x v="2"/>
    <s v="Accessories"/>
    <x v="2"/>
    <n v="76.45"/>
    <n v="9"/>
    <x v="3"/>
    <n v="2024"/>
    <n v="32.49"/>
    <n v="0.42498364944408112"/>
  </r>
  <r>
    <n v="10830"/>
    <d v="2024-04-09T00:00:00"/>
    <x v="1"/>
    <x v="1"/>
    <s v="Binders"/>
    <x v="1"/>
    <n v="284.32"/>
    <n v="6"/>
    <x v="3"/>
    <n v="2024"/>
    <n v="-52.54"/>
    <n v="-0.18479178390545864"/>
  </r>
  <r>
    <n v="10831"/>
    <d v="2024-04-10T00:00:00"/>
    <x v="2"/>
    <x v="0"/>
    <s v="Accessories"/>
    <x v="3"/>
    <n v="486.63"/>
    <n v="5"/>
    <x v="3"/>
    <n v="2024"/>
    <n v="128.15"/>
    <n v="0.2633417586256499"/>
  </r>
  <r>
    <n v="10832"/>
    <d v="2024-04-11T00:00:00"/>
    <x v="2"/>
    <x v="0"/>
    <s v="Binders"/>
    <x v="3"/>
    <n v="647.08000000000004"/>
    <n v="1"/>
    <x v="3"/>
    <n v="2024"/>
    <n v="262.54000000000002"/>
    <n v="0.40573035791555911"/>
  </r>
  <r>
    <n v="10833"/>
    <d v="2024-04-12T00:00:00"/>
    <x v="0"/>
    <x v="2"/>
    <s v="Binders"/>
    <x v="0"/>
    <n v="579.39"/>
    <n v="6"/>
    <x v="3"/>
    <n v="2024"/>
    <n v="213.62"/>
    <n v="0.3686981135331987"/>
  </r>
  <r>
    <n v="10834"/>
    <d v="2024-04-13T00:00:00"/>
    <x v="1"/>
    <x v="0"/>
    <s v="Tables"/>
    <x v="2"/>
    <n v="755.5"/>
    <n v="6"/>
    <x v="3"/>
    <n v="2024"/>
    <n v="149.01"/>
    <n v="0.1972336201191264"/>
  </r>
  <r>
    <n v="10835"/>
    <d v="2024-04-14T00:00:00"/>
    <x v="2"/>
    <x v="1"/>
    <s v="Binders"/>
    <x v="2"/>
    <n v="315.77999999999997"/>
    <n v="3"/>
    <x v="3"/>
    <n v="2024"/>
    <n v="26.02"/>
    <n v="8.2399138640825903E-2"/>
  </r>
  <r>
    <n v="10836"/>
    <d v="2024-04-15T00:00:00"/>
    <x v="1"/>
    <x v="1"/>
    <s v="Binders"/>
    <x v="4"/>
    <n v="586.70000000000005"/>
    <n v="3"/>
    <x v="3"/>
    <n v="2024"/>
    <n v="116.75"/>
    <n v="0.19899437531958411"/>
  </r>
  <r>
    <n v="10837"/>
    <d v="2024-04-16T00:00:00"/>
    <x v="0"/>
    <x v="2"/>
    <s v="Chairs"/>
    <x v="1"/>
    <n v="133.74"/>
    <n v="3"/>
    <x v="3"/>
    <n v="2024"/>
    <n v="-63.5"/>
    <n v="-0.47480185434424999"/>
  </r>
  <r>
    <n v="10838"/>
    <d v="2024-04-17T00:00:00"/>
    <x v="2"/>
    <x v="1"/>
    <s v="Phones"/>
    <x v="2"/>
    <n v="442.98"/>
    <n v="3"/>
    <x v="3"/>
    <n v="2024"/>
    <n v="171.58"/>
    <n v="0.387331256490135"/>
  </r>
  <r>
    <n v="10839"/>
    <d v="2024-04-18T00:00:00"/>
    <x v="1"/>
    <x v="2"/>
    <s v="Tables"/>
    <x v="3"/>
    <n v="762.65"/>
    <n v="7"/>
    <x v="3"/>
    <n v="2024"/>
    <n v="190.04"/>
    <n v="0.24918376712777815"/>
  </r>
  <r>
    <n v="10840"/>
    <d v="2024-04-19T00:00:00"/>
    <x v="2"/>
    <x v="1"/>
    <s v="Tables"/>
    <x v="1"/>
    <n v="708.73"/>
    <n v="2"/>
    <x v="3"/>
    <n v="2024"/>
    <n v="286.01"/>
    <n v="0.40355283394240399"/>
  </r>
  <r>
    <n v="10841"/>
    <d v="2024-04-20T00:00:00"/>
    <x v="0"/>
    <x v="2"/>
    <s v="Tables"/>
    <x v="1"/>
    <n v="991.11"/>
    <n v="2"/>
    <x v="3"/>
    <n v="2024"/>
    <n v="4.16"/>
    <n v="4.1973141225494651E-3"/>
  </r>
  <r>
    <n v="10842"/>
    <d v="2024-04-21T00:00:00"/>
    <x v="1"/>
    <x v="0"/>
    <s v="Chairs"/>
    <x v="0"/>
    <n v="314"/>
    <n v="3"/>
    <x v="3"/>
    <n v="2024"/>
    <n v="-92.62"/>
    <n v="-0.29496815286624206"/>
  </r>
  <r>
    <n v="10843"/>
    <d v="2024-04-22T00:00:00"/>
    <x v="2"/>
    <x v="1"/>
    <s v="Binders"/>
    <x v="2"/>
    <n v="523.28"/>
    <n v="7"/>
    <x v="3"/>
    <n v="2024"/>
    <n v="118.24"/>
    <n v="0.22595933343525454"/>
  </r>
  <r>
    <n v="10844"/>
    <d v="2024-04-23T00:00:00"/>
    <x v="0"/>
    <x v="1"/>
    <s v="Phones"/>
    <x v="0"/>
    <n v="363.05"/>
    <n v="3"/>
    <x v="3"/>
    <n v="2024"/>
    <n v="182.72"/>
    <n v="0.50329155763668909"/>
  </r>
  <r>
    <n v="10845"/>
    <d v="2024-04-24T00:00:00"/>
    <x v="2"/>
    <x v="2"/>
    <s v="Accessories"/>
    <x v="2"/>
    <n v="468.57"/>
    <n v="7"/>
    <x v="3"/>
    <n v="2024"/>
    <n v="216.16"/>
    <n v="0.46131847962951106"/>
  </r>
  <r>
    <n v="10846"/>
    <d v="2024-04-25T00:00:00"/>
    <x v="2"/>
    <x v="2"/>
    <s v="Binders"/>
    <x v="4"/>
    <n v="864.1"/>
    <n v="9"/>
    <x v="3"/>
    <n v="2024"/>
    <n v="-22.5"/>
    <n v="-2.603865293368823E-2"/>
  </r>
  <r>
    <n v="10847"/>
    <d v="2024-04-26T00:00:00"/>
    <x v="3"/>
    <x v="1"/>
    <s v="Chairs"/>
    <x v="0"/>
    <n v="700"/>
    <n v="4"/>
    <x v="3"/>
    <n v="2024"/>
    <n v="4.7"/>
    <n v="6.7142857142857143E-3"/>
  </r>
  <r>
    <n v="10848"/>
    <d v="2024-04-27T00:00:00"/>
    <x v="3"/>
    <x v="2"/>
    <s v="Binders"/>
    <x v="0"/>
    <n v="888.32"/>
    <n v="7"/>
    <x v="3"/>
    <n v="2024"/>
    <n v="105.04"/>
    <n v="0.11824567723342939"/>
  </r>
  <r>
    <n v="10849"/>
    <d v="2024-04-28T00:00:00"/>
    <x v="0"/>
    <x v="1"/>
    <s v="Binders"/>
    <x v="3"/>
    <n v="243.34"/>
    <n v="9"/>
    <x v="3"/>
    <n v="2024"/>
    <n v="32.24"/>
    <n v="0.13248952083504562"/>
  </r>
  <r>
    <n v="10850"/>
    <d v="2024-04-29T00:00:00"/>
    <x v="3"/>
    <x v="0"/>
    <s v="Chairs"/>
    <x v="0"/>
    <n v="879.69"/>
    <n v="8"/>
    <x v="3"/>
    <n v="2024"/>
    <n v="244.2"/>
    <n v="0.27759779013061414"/>
  </r>
  <r>
    <n v="10851"/>
    <d v="2024-04-30T00:00:00"/>
    <x v="0"/>
    <x v="2"/>
    <s v="Tables"/>
    <x v="2"/>
    <n v="106.77"/>
    <n v="8"/>
    <x v="3"/>
    <n v="2024"/>
    <n v="89.5"/>
    <n v="0.83825044488152101"/>
  </r>
  <r>
    <n v="10852"/>
    <d v="2024-05-01T00:00:00"/>
    <x v="3"/>
    <x v="1"/>
    <s v="Tables"/>
    <x v="3"/>
    <n v="894.17"/>
    <n v="9"/>
    <x v="4"/>
    <n v="2024"/>
    <n v="219.83"/>
    <n v="0.24584810494648671"/>
  </r>
  <r>
    <n v="10853"/>
    <d v="2024-05-02T00:00:00"/>
    <x v="2"/>
    <x v="0"/>
    <s v="Phones"/>
    <x v="0"/>
    <n v="362.62"/>
    <n v="5"/>
    <x v="4"/>
    <n v="2024"/>
    <n v="132.25"/>
    <n v="0.36470685566157407"/>
  </r>
  <r>
    <n v="10854"/>
    <d v="2024-05-03T00:00:00"/>
    <x v="0"/>
    <x v="0"/>
    <s v="Phones"/>
    <x v="0"/>
    <n v="348.86"/>
    <n v="5"/>
    <x v="4"/>
    <n v="2024"/>
    <n v="209.24"/>
    <n v="0.59978214756635895"/>
  </r>
  <r>
    <n v="10855"/>
    <d v="2024-05-04T00:00:00"/>
    <x v="0"/>
    <x v="1"/>
    <s v="Tables"/>
    <x v="4"/>
    <n v="536.48"/>
    <n v="3"/>
    <x v="4"/>
    <n v="2024"/>
    <n v="33.07"/>
    <n v="6.1642558902475393E-2"/>
  </r>
  <r>
    <n v="10856"/>
    <d v="2024-05-05T00:00:00"/>
    <x v="2"/>
    <x v="2"/>
    <s v="Accessories"/>
    <x v="0"/>
    <n v="943.66"/>
    <n v="5"/>
    <x v="4"/>
    <n v="2024"/>
    <n v="232.57"/>
    <n v="0.24645529110060826"/>
  </r>
  <r>
    <n v="10857"/>
    <d v="2024-05-06T00:00:00"/>
    <x v="0"/>
    <x v="1"/>
    <s v="Binders"/>
    <x v="1"/>
    <n v="95.39"/>
    <n v="8"/>
    <x v="4"/>
    <n v="2024"/>
    <n v="9.83"/>
    <n v="0.10305063423838977"/>
  </r>
  <r>
    <n v="10858"/>
    <d v="2024-05-07T00:00:00"/>
    <x v="0"/>
    <x v="0"/>
    <s v="Accessories"/>
    <x v="3"/>
    <n v="384.62"/>
    <n v="5"/>
    <x v="4"/>
    <n v="2024"/>
    <n v="118.44"/>
    <n v="0.30794030471634337"/>
  </r>
  <r>
    <n v="10859"/>
    <d v="2024-05-08T00:00:00"/>
    <x v="3"/>
    <x v="1"/>
    <s v="Binders"/>
    <x v="1"/>
    <n v="863.74"/>
    <n v="4"/>
    <x v="4"/>
    <n v="2024"/>
    <n v="-14.4"/>
    <n v="-1.6671683608493297E-2"/>
  </r>
  <r>
    <n v="10860"/>
    <d v="2024-05-09T00:00:00"/>
    <x v="0"/>
    <x v="2"/>
    <s v="Tables"/>
    <x v="3"/>
    <n v="426.25"/>
    <n v="8"/>
    <x v="4"/>
    <n v="2024"/>
    <n v="90.21"/>
    <n v="0.21163636363636362"/>
  </r>
  <r>
    <n v="10861"/>
    <d v="2024-05-10T00:00:00"/>
    <x v="1"/>
    <x v="0"/>
    <s v="Phones"/>
    <x v="4"/>
    <n v="239.2"/>
    <n v="7"/>
    <x v="4"/>
    <n v="2024"/>
    <n v="27.27"/>
    <n v="0.11400501672240804"/>
  </r>
  <r>
    <n v="10862"/>
    <d v="2024-05-11T00:00:00"/>
    <x v="2"/>
    <x v="1"/>
    <s v="Phones"/>
    <x v="0"/>
    <n v="453.55"/>
    <n v="6"/>
    <x v="4"/>
    <n v="2024"/>
    <n v="6.68"/>
    <n v="1.472825487818322E-2"/>
  </r>
  <r>
    <n v="10863"/>
    <d v="2024-05-12T00:00:00"/>
    <x v="3"/>
    <x v="2"/>
    <s v="Accessories"/>
    <x v="0"/>
    <n v="416.27"/>
    <n v="5"/>
    <x v="4"/>
    <n v="2024"/>
    <n v="286.79000000000002"/>
    <n v="0.68895188219184667"/>
  </r>
  <r>
    <n v="10864"/>
    <d v="2024-05-13T00:00:00"/>
    <x v="3"/>
    <x v="0"/>
    <s v="Phones"/>
    <x v="0"/>
    <n v="919.65"/>
    <n v="5"/>
    <x v="4"/>
    <n v="2024"/>
    <n v="-35.97"/>
    <n v="-3.9112705920730712E-2"/>
  </r>
  <r>
    <n v="10865"/>
    <d v="2024-05-14T00:00:00"/>
    <x v="1"/>
    <x v="2"/>
    <s v="Tables"/>
    <x v="3"/>
    <n v="773.84"/>
    <n v="2"/>
    <x v="4"/>
    <n v="2024"/>
    <n v="214.93"/>
    <n v="0.27774475343740307"/>
  </r>
  <r>
    <n v="10866"/>
    <d v="2024-05-15T00:00:00"/>
    <x v="2"/>
    <x v="0"/>
    <s v="Accessories"/>
    <x v="0"/>
    <n v="529.86"/>
    <n v="4"/>
    <x v="4"/>
    <n v="2024"/>
    <n v="293.67"/>
    <n v="0.55424074283773073"/>
  </r>
  <r>
    <n v="10867"/>
    <d v="2024-05-16T00:00:00"/>
    <x v="2"/>
    <x v="1"/>
    <s v="Binders"/>
    <x v="1"/>
    <n v="988.95"/>
    <n v="8"/>
    <x v="4"/>
    <n v="2024"/>
    <n v="-92.04"/>
    <n v="-9.3068405885029584E-2"/>
  </r>
  <r>
    <n v="10868"/>
    <d v="2024-05-17T00:00:00"/>
    <x v="3"/>
    <x v="2"/>
    <s v="Phones"/>
    <x v="0"/>
    <n v="492.01"/>
    <n v="8"/>
    <x v="4"/>
    <n v="2024"/>
    <n v="179.61"/>
    <n v="0.36505355582203619"/>
  </r>
  <r>
    <n v="10869"/>
    <d v="2024-05-18T00:00:00"/>
    <x v="0"/>
    <x v="0"/>
    <s v="Chairs"/>
    <x v="4"/>
    <n v="105.33"/>
    <n v="1"/>
    <x v="4"/>
    <n v="2024"/>
    <n v="1.1599999999999999"/>
    <n v="1.1013006740719642E-2"/>
  </r>
  <r>
    <n v="10870"/>
    <d v="2024-05-19T00:00:00"/>
    <x v="3"/>
    <x v="2"/>
    <s v="Phones"/>
    <x v="1"/>
    <n v="299.16000000000003"/>
    <n v="2"/>
    <x v="4"/>
    <n v="2024"/>
    <n v="-83.8"/>
    <n v="-0.28011766278914291"/>
  </r>
  <r>
    <n v="10871"/>
    <d v="2024-05-20T00:00:00"/>
    <x v="2"/>
    <x v="2"/>
    <s v="Binders"/>
    <x v="0"/>
    <n v="464.27"/>
    <n v="5"/>
    <x v="4"/>
    <n v="2024"/>
    <n v="61.16"/>
    <n v="0.13173368944795055"/>
  </r>
  <r>
    <n v="10872"/>
    <d v="2024-05-21T00:00:00"/>
    <x v="1"/>
    <x v="1"/>
    <s v="Accessories"/>
    <x v="0"/>
    <n v="199.06"/>
    <n v="9"/>
    <x v="4"/>
    <n v="2024"/>
    <n v="274.08999999999997"/>
    <n v="1.3769215311966241"/>
  </r>
  <r>
    <n v="10873"/>
    <d v="2024-05-22T00:00:00"/>
    <x v="3"/>
    <x v="2"/>
    <s v="Binders"/>
    <x v="2"/>
    <n v="950.19"/>
    <n v="7"/>
    <x v="4"/>
    <n v="2024"/>
    <n v="-95.29"/>
    <n v="-0.1002852061166714"/>
  </r>
  <r>
    <n v="10874"/>
    <d v="2024-05-23T00:00:00"/>
    <x v="2"/>
    <x v="0"/>
    <s v="Chairs"/>
    <x v="3"/>
    <n v="778.51"/>
    <n v="5"/>
    <x v="4"/>
    <n v="2024"/>
    <n v="135.15"/>
    <n v="0.17360085291133062"/>
  </r>
  <r>
    <n v="10875"/>
    <d v="2024-05-24T00:00:00"/>
    <x v="3"/>
    <x v="0"/>
    <s v="Tables"/>
    <x v="1"/>
    <n v="304.87"/>
    <n v="1"/>
    <x v="4"/>
    <n v="2024"/>
    <n v="100.56"/>
    <n v="0.32984550792140915"/>
  </r>
  <r>
    <n v="10876"/>
    <d v="2024-05-25T00:00:00"/>
    <x v="0"/>
    <x v="0"/>
    <s v="Phones"/>
    <x v="2"/>
    <n v="611.26"/>
    <n v="6"/>
    <x v="4"/>
    <n v="2024"/>
    <n v="249.35"/>
    <n v="0.40792788666034091"/>
  </r>
  <r>
    <n v="10877"/>
    <d v="2024-05-26T00:00:00"/>
    <x v="3"/>
    <x v="0"/>
    <s v="Accessories"/>
    <x v="4"/>
    <n v="735.38"/>
    <n v="8"/>
    <x v="4"/>
    <n v="2024"/>
    <n v="-66.400000000000006"/>
    <n v="-9.0293453724604969E-2"/>
  </r>
  <r>
    <n v="10878"/>
    <d v="2024-05-27T00:00:00"/>
    <x v="3"/>
    <x v="1"/>
    <s v="Tables"/>
    <x v="3"/>
    <n v="944.21"/>
    <n v="7"/>
    <x v="4"/>
    <n v="2024"/>
    <n v="172.61"/>
    <n v="0.18280890903506636"/>
  </r>
  <r>
    <n v="10879"/>
    <d v="2024-05-28T00:00:00"/>
    <x v="2"/>
    <x v="2"/>
    <s v="Binders"/>
    <x v="1"/>
    <n v="887.55"/>
    <n v="2"/>
    <x v="4"/>
    <n v="2024"/>
    <n v="172.04"/>
    <n v="0.19383696693144048"/>
  </r>
  <r>
    <n v="10880"/>
    <d v="2024-05-29T00:00:00"/>
    <x v="2"/>
    <x v="1"/>
    <s v="Accessories"/>
    <x v="0"/>
    <n v="539.42999999999995"/>
    <n v="5"/>
    <x v="4"/>
    <n v="2024"/>
    <n v="167.63"/>
    <n v="0.31075394397790262"/>
  </r>
  <r>
    <n v="10881"/>
    <d v="2024-05-30T00:00:00"/>
    <x v="2"/>
    <x v="2"/>
    <s v="Tables"/>
    <x v="1"/>
    <n v="785.92"/>
    <n v="4"/>
    <x v="4"/>
    <n v="2024"/>
    <n v="276.93"/>
    <n v="0.35236410830618897"/>
  </r>
  <r>
    <n v="10882"/>
    <d v="2024-05-31T00:00:00"/>
    <x v="3"/>
    <x v="2"/>
    <s v="Accessories"/>
    <x v="0"/>
    <n v="584.04"/>
    <n v="9"/>
    <x v="4"/>
    <n v="2024"/>
    <n v="229.24"/>
    <n v="0.3925073625094172"/>
  </r>
  <r>
    <n v="10883"/>
    <d v="2024-06-01T00:00:00"/>
    <x v="0"/>
    <x v="2"/>
    <s v="Chairs"/>
    <x v="3"/>
    <n v="575.07000000000005"/>
    <n v="1"/>
    <x v="5"/>
    <n v="2024"/>
    <n v="-83.21"/>
    <n v="-0.14469542838263166"/>
  </r>
  <r>
    <n v="10884"/>
    <d v="2024-06-02T00:00:00"/>
    <x v="1"/>
    <x v="1"/>
    <s v="Chairs"/>
    <x v="0"/>
    <n v="159"/>
    <n v="6"/>
    <x v="5"/>
    <n v="2024"/>
    <n v="88.43"/>
    <n v="0.55616352201257868"/>
  </r>
  <r>
    <n v="10885"/>
    <d v="2024-06-03T00:00:00"/>
    <x v="1"/>
    <x v="2"/>
    <s v="Phones"/>
    <x v="4"/>
    <n v="169.83"/>
    <n v="3"/>
    <x v="5"/>
    <n v="2024"/>
    <n v="59.18"/>
    <n v="0.3484661131719955"/>
  </r>
  <r>
    <n v="10886"/>
    <d v="2024-06-04T00:00:00"/>
    <x v="2"/>
    <x v="1"/>
    <s v="Phones"/>
    <x v="0"/>
    <n v="553.05999999999995"/>
    <n v="9"/>
    <x v="5"/>
    <n v="2024"/>
    <n v="24.06"/>
    <n v="4.3503417350739523E-2"/>
  </r>
  <r>
    <n v="10887"/>
    <d v="2024-06-05T00:00:00"/>
    <x v="2"/>
    <x v="0"/>
    <s v="Chairs"/>
    <x v="4"/>
    <n v="305.42"/>
    <n v="5"/>
    <x v="5"/>
    <n v="2024"/>
    <n v="80.53"/>
    <n v="0.26366970073996465"/>
  </r>
  <r>
    <n v="10888"/>
    <d v="2024-06-06T00:00:00"/>
    <x v="3"/>
    <x v="0"/>
    <s v="Accessories"/>
    <x v="3"/>
    <n v="69.989999999999995"/>
    <n v="6"/>
    <x v="5"/>
    <n v="2024"/>
    <n v="53.68"/>
    <n v="0.76696670952993284"/>
  </r>
  <r>
    <n v="10889"/>
    <d v="2024-06-07T00:00:00"/>
    <x v="1"/>
    <x v="2"/>
    <s v="Chairs"/>
    <x v="3"/>
    <n v="736.7"/>
    <n v="9"/>
    <x v="5"/>
    <n v="2024"/>
    <n v="72.930000000000007"/>
    <n v="9.8995520564680334E-2"/>
  </r>
  <r>
    <n v="10890"/>
    <d v="2024-06-08T00:00:00"/>
    <x v="2"/>
    <x v="1"/>
    <s v="Phones"/>
    <x v="1"/>
    <n v="80.86"/>
    <n v="9"/>
    <x v="5"/>
    <n v="2024"/>
    <n v="291.7"/>
    <n v="3.6074697007172891"/>
  </r>
  <r>
    <n v="10891"/>
    <d v="2024-06-09T00:00:00"/>
    <x v="0"/>
    <x v="0"/>
    <s v="Chairs"/>
    <x v="4"/>
    <n v="615.51"/>
    <n v="8"/>
    <x v="5"/>
    <n v="2024"/>
    <n v="-64.55"/>
    <n v="-0.10487238225211613"/>
  </r>
  <r>
    <n v="10892"/>
    <d v="2024-06-10T00:00:00"/>
    <x v="0"/>
    <x v="1"/>
    <s v="Chairs"/>
    <x v="4"/>
    <n v="562.23"/>
    <n v="9"/>
    <x v="5"/>
    <n v="2024"/>
    <n v="268.89"/>
    <n v="0.47825622965690195"/>
  </r>
  <r>
    <n v="10893"/>
    <d v="2024-06-11T00:00:00"/>
    <x v="2"/>
    <x v="1"/>
    <s v="Accessories"/>
    <x v="2"/>
    <n v="970.37"/>
    <n v="4"/>
    <x v="5"/>
    <n v="2024"/>
    <n v="92.09"/>
    <n v="9.4901944619062831E-2"/>
  </r>
  <r>
    <n v="10894"/>
    <d v="2024-06-12T00:00:00"/>
    <x v="2"/>
    <x v="2"/>
    <s v="Tables"/>
    <x v="2"/>
    <n v="510"/>
    <n v="6"/>
    <x v="5"/>
    <n v="2024"/>
    <n v="149.5"/>
    <n v="0.2931372549019608"/>
  </r>
  <r>
    <n v="10895"/>
    <d v="2024-06-13T00:00:00"/>
    <x v="1"/>
    <x v="0"/>
    <s v="Phones"/>
    <x v="2"/>
    <n v="110.42"/>
    <n v="5"/>
    <x v="5"/>
    <n v="2024"/>
    <n v="232.07"/>
    <n v="2.1017025901104871"/>
  </r>
  <r>
    <n v="10896"/>
    <d v="2024-06-14T00:00:00"/>
    <x v="1"/>
    <x v="2"/>
    <s v="Accessories"/>
    <x v="0"/>
    <n v="574.1"/>
    <n v="5"/>
    <x v="5"/>
    <n v="2024"/>
    <n v="44.19"/>
    <n v="7.6972652847935891E-2"/>
  </r>
  <r>
    <n v="10897"/>
    <d v="2024-06-15T00:00:00"/>
    <x v="3"/>
    <x v="2"/>
    <s v="Chairs"/>
    <x v="2"/>
    <n v="849.04"/>
    <n v="4"/>
    <x v="5"/>
    <n v="2024"/>
    <n v="72.17"/>
    <n v="8.500188448129653E-2"/>
  </r>
  <r>
    <n v="10898"/>
    <d v="2024-06-16T00:00:00"/>
    <x v="1"/>
    <x v="0"/>
    <s v="Chairs"/>
    <x v="4"/>
    <n v="997.01"/>
    <n v="2"/>
    <x v="5"/>
    <n v="2024"/>
    <n v="63.81"/>
    <n v="6.4001364078594997E-2"/>
  </r>
  <r>
    <n v="10899"/>
    <d v="2024-06-17T00:00:00"/>
    <x v="0"/>
    <x v="0"/>
    <s v="Tables"/>
    <x v="0"/>
    <n v="458.83"/>
    <n v="6"/>
    <x v="5"/>
    <n v="2024"/>
    <n v="49.89"/>
    <n v="0.10873308196935685"/>
  </r>
  <r>
    <n v="10900"/>
    <d v="2024-06-18T00:00:00"/>
    <x v="0"/>
    <x v="1"/>
    <s v="Phones"/>
    <x v="3"/>
    <n v="354.28"/>
    <n v="9"/>
    <x v="5"/>
    <n v="2024"/>
    <n v="270.20999999999998"/>
    <n v="0.76270181777125434"/>
  </r>
  <r>
    <n v="10901"/>
    <d v="2024-06-19T00:00:00"/>
    <x v="2"/>
    <x v="0"/>
    <s v="Phones"/>
    <x v="1"/>
    <n v="911.32"/>
    <n v="1"/>
    <x v="5"/>
    <n v="2024"/>
    <n v="231.57"/>
    <n v="0.25410393714611768"/>
  </r>
  <r>
    <n v="10902"/>
    <d v="2024-06-20T00:00:00"/>
    <x v="1"/>
    <x v="1"/>
    <s v="Binders"/>
    <x v="2"/>
    <n v="231.68"/>
    <n v="7"/>
    <x v="5"/>
    <n v="2024"/>
    <n v="-56.4"/>
    <n v="-0.243439226519337"/>
  </r>
  <r>
    <n v="10903"/>
    <d v="2024-06-21T00:00:00"/>
    <x v="3"/>
    <x v="1"/>
    <s v="Phones"/>
    <x v="3"/>
    <n v="634.66"/>
    <n v="6"/>
    <x v="5"/>
    <n v="2024"/>
    <n v="-56.75"/>
    <n v="-8.9417956070967142E-2"/>
  </r>
  <r>
    <n v="10904"/>
    <d v="2024-06-22T00:00:00"/>
    <x v="0"/>
    <x v="1"/>
    <s v="Tables"/>
    <x v="4"/>
    <n v="435.43"/>
    <n v="3"/>
    <x v="5"/>
    <n v="2024"/>
    <n v="71.150000000000006"/>
    <n v="0.16340169487632916"/>
  </r>
  <r>
    <n v="10905"/>
    <d v="2024-06-23T00:00:00"/>
    <x v="0"/>
    <x v="0"/>
    <s v="Binders"/>
    <x v="1"/>
    <n v="89.03"/>
    <n v="1"/>
    <x v="5"/>
    <n v="2024"/>
    <n v="-60.54"/>
    <n v="-0.67999550713242729"/>
  </r>
  <r>
    <n v="10906"/>
    <d v="2024-06-24T00:00:00"/>
    <x v="3"/>
    <x v="2"/>
    <s v="Binders"/>
    <x v="3"/>
    <n v="379.92"/>
    <n v="4"/>
    <x v="5"/>
    <n v="2024"/>
    <n v="147.63999999999999"/>
    <n v="0.38860812802695299"/>
  </r>
  <r>
    <n v="10907"/>
    <d v="2024-06-25T00:00:00"/>
    <x v="3"/>
    <x v="1"/>
    <s v="Chairs"/>
    <x v="1"/>
    <n v="301.97000000000003"/>
    <n v="9"/>
    <x v="5"/>
    <n v="2024"/>
    <n v="-42.52"/>
    <n v="-0.14080868960492765"/>
  </r>
  <r>
    <n v="10908"/>
    <d v="2024-06-26T00:00:00"/>
    <x v="0"/>
    <x v="2"/>
    <s v="Chairs"/>
    <x v="2"/>
    <n v="701.79"/>
    <n v="2"/>
    <x v="5"/>
    <n v="2024"/>
    <n v="108.95"/>
    <n v="0.15524587127203296"/>
  </r>
  <r>
    <n v="10909"/>
    <d v="2024-06-27T00:00:00"/>
    <x v="0"/>
    <x v="2"/>
    <s v="Phones"/>
    <x v="4"/>
    <n v="951.35"/>
    <n v="3"/>
    <x v="5"/>
    <n v="2024"/>
    <n v="-97.11"/>
    <n v="-0.10207599726704157"/>
  </r>
  <r>
    <n v="10910"/>
    <d v="2024-06-28T00:00:00"/>
    <x v="3"/>
    <x v="0"/>
    <s v="Binders"/>
    <x v="1"/>
    <n v="304.64"/>
    <n v="2"/>
    <x v="5"/>
    <n v="2024"/>
    <n v="26.64"/>
    <n v="8.7447478991596647E-2"/>
  </r>
  <r>
    <n v="10911"/>
    <d v="2024-06-29T00:00:00"/>
    <x v="0"/>
    <x v="2"/>
    <s v="Chairs"/>
    <x v="3"/>
    <n v="820.89"/>
    <n v="2"/>
    <x v="5"/>
    <n v="2024"/>
    <n v="170.88"/>
    <n v="0.20816430946899098"/>
  </r>
  <r>
    <n v="10912"/>
    <d v="2024-06-30T00:00:00"/>
    <x v="2"/>
    <x v="2"/>
    <s v="Tables"/>
    <x v="2"/>
    <n v="102.59"/>
    <n v="8"/>
    <x v="5"/>
    <n v="2024"/>
    <n v="93.62"/>
    <n v="0.91256457744419539"/>
  </r>
  <r>
    <n v="10913"/>
    <d v="2024-07-01T00:00:00"/>
    <x v="2"/>
    <x v="0"/>
    <s v="Chairs"/>
    <x v="2"/>
    <n v="561.21"/>
    <n v="3"/>
    <x v="6"/>
    <n v="2024"/>
    <n v="291.31"/>
    <n v="0.51907485611446691"/>
  </r>
  <r>
    <n v="10914"/>
    <d v="2024-07-02T00:00:00"/>
    <x v="3"/>
    <x v="1"/>
    <s v="Chairs"/>
    <x v="3"/>
    <n v="117.02"/>
    <n v="7"/>
    <x v="6"/>
    <n v="2024"/>
    <n v="249.64"/>
    <n v="2.1333105452059478"/>
  </r>
  <r>
    <n v="10915"/>
    <d v="2024-07-03T00:00:00"/>
    <x v="1"/>
    <x v="2"/>
    <s v="Binders"/>
    <x v="3"/>
    <n v="937.33"/>
    <n v="8"/>
    <x v="6"/>
    <n v="2024"/>
    <n v="43.63"/>
    <n v="4.6547107208773857E-2"/>
  </r>
  <r>
    <n v="10916"/>
    <d v="2024-07-04T00:00:00"/>
    <x v="3"/>
    <x v="0"/>
    <s v="Binders"/>
    <x v="1"/>
    <n v="778.03"/>
    <n v="3"/>
    <x v="6"/>
    <n v="2024"/>
    <n v="-81.81"/>
    <n v="-0.10515018701078366"/>
  </r>
  <r>
    <n v="10917"/>
    <d v="2024-07-05T00:00:00"/>
    <x v="3"/>
    <x v="2"/>
    <s v="Accessories"/>
    <x v="0"/>
    <n v="675.05"/>
    <n v="2"/>
    <x v="6"/>
    <n v="2024"/>
    <n v="238.25"/>
    <n v="0.35293681949485228"/>
  </r>
  <r>
    <n v="10918"/>
    <d v="2024-07-06T00:00:00"/>
    <x v="1"/>
    <x v="2"/>
    <s v="Tables"/>
    <x v="2"/>
    <n v="832.7"/>
    <n v="8"/>
    <x v="6"/>
    <n v="2024"/>
    <n v="264.49"/>
    <n v="0.31762939834274045"/>
  </r>
  <r>
    <n v="10919"/>
    <d v="2024-07-07T00:00:00"/>
    <x v="1"/>
    <x v="1"/>
    <s v="Binders"/>
    <x v="1"/>
    <n v="665.14"/>
    <n v="3"/>
    <x v="6"/>
    <n v="2024"/>
    <n v="228.25"/>
    <n v="0.34316083831975225"/>
  </r>
  <r>
    <n v="10920"/>
    <d v="2024-07-08T00:00:00"/>
    <x v="1"/>
    <x v="2"/>
    <s v="Phones"/>
    <x v="3"/>
    <n v="970.5"/>
    <n v="7"/>
    <x v="6"/>
    <n v="2024"/>
    <n v="-48.82"/>
    <n v="-5.030396702730551E-2"/>
  </r>
  <r>
    <n v="10921"/>
    <d v="2024-07-09T00:00:00"/>
    <x v="2"/>
    <x v="0"/>
    <s v="Tables"/>
    <x v="1"/>
    <n v="728.26"/>
    <n v="1"/>
    <x v="6"/>
    <n v="2024"/>
    <n v="299.17"/>
    <n v="0.4108010875236866"/>
  </r>
  <r>
    <n v="10922"/>
    <d v="2024-07-10T00:00:00"/>
    <x v="0"/>
    <x v="2"/>
    <s v="Tables"/>
    <x v="3"/>
    <n v="928.43"/>
    <n v="6"/>
    <x v="6"/>
    <n v="2024"/>
    <n v="3.43"/>
    <n v="3.6944088407311272E-3"/>
  </r>
  <r>
    <n v="10923"/>
    <d v="2024-07-11T00:00:00"/>
    <x v="2"/>
    <x v="1"/>
    <s v="Binders"/>
    <x v="4"/>
    <n v="541.28"/>
    <n v="9"/>
    <x v="6"/>
    <n v="2024"/>
    <n v="189.68"/>
    <n v="0.3504286136565179"/>
  </r>
  <r>
    <n v="10924"/>
    <d v="2024-07-12T00:00:00"/>
    <x v="0"/>
    <x v="1"/>
    <s v="Tables"/>
    <x v="3"/>
    <n v="161.21"/>
    <n v="3"/>
    <x v="6"/>
    <n v="2024"/>
    <n v="263.20999999999998"/>
    <n v="1.6327150921158735"/>
  </r>
  <r>
    <n v="10925"/>
    <d v="2024-07-13T00:00:00"/>
    <x v="2"/>
    <x v="0"/>
    <s v="Binders"/>
    <x v="3"/>
    <n v="551.77"/>
    <n v="7"/>
    <x v="6"/>
    <n v="2024"/>
    <n v="-5.73"/>
    <n v="-1.0384761766678146E-2"/>
  </r>
  <r>
    <n v="10926"/>
    <d v="2024-07-14T00:00:00"/>
    <x v="0"/>
    <x v="1"/>
    <s v="Chairs"/>
    <x v="3"/>
    <n v="170.53"/>
    <n v="6"/>
    <x v="6"/>
    <n v="2024"/>
    <n v="263.3"/>
    <n v="1.5440098516390079"/>
  </r>
  <r>
    <n v="10927"/>
    <d v="2024-07-15T00:00:00"/>
    <x v="2"/>
    <x v="2"/>
    <s v="Accessories"/>
    <x v="0"/>
    <n v="612.87"/>
    <n v="8"/>
    <x v="6"/>
    <n v="2024"/>
    <n v="23.79"/>
    <n v="3.8817367467815361E-2"/>
  </r>
  <r>
    <n v="10928"/>
    <d v="2024-07-16T00:00:00"/>
    <x v="1"/>
    <x v="1"/>
    <s v="Chairs"/>
    <x v="3"/>
    <n v="508.37"/>
    <n v="3"/>
    <x v="6"/>
    <n v="2024"/>
    <n v="290.57"/>
    <n v="0.57157188661801439"/>
  </r>
  <r>
    <n v="10929"/>
    <d v="2024-07-17T00:00:00"/>
    <x v="3"/>
    <x v="0"/>
    <s v="Binders"/>
    <x v="2"/>
    <n v="641.45000000000005"/>
    <n v="3"/>
    <x v="6"/>
    <n v="2024"/>
    <n v="12.5"/>
    <n v="1.9487099540104448E-2"/>
  </r>
  <r>
    <n v="10930"/>
    <d v="2024-07-18T00:00:00"/>
    <x v="2"/>
    <x v="1"/>
    <s v="Binders"/>
    <x v="2"/>
    <n v="59.54"/>
    <n v="4"/>
    <x v="6"/>
    <n v="2024"/>
    <n v="281.37"/>
    <n v="4.7257306012764531"/>
  </r>
  <r>
    <n v="10931"/>
    <d v="2024-07-19T00:00:00"/>
    <x v="0"/>
    <x v="1"/>
    <s v="Chairs"/>
    <x v="1"/>
    <n v="235.1"/>
    <n v="3"/>
    <x v="6"/>
    <n v="2024"/>
    <n v="-78.58"/>
    <n v="-0.33424074861760955"/>
  </r>
  <r>
    <n v="10932"/>
    <d v="2024-07-20T00:00:00"/>
    <x v="1"/>
    <x v="1"/>
    <s v="Phones"/>
    <x v="0"/>
    <n v="516.76"/>
    <n v="9"/>
    <x v="6"/>
    <n v="2024"/>
    <n v="183.71"/>
    <n v="0.35550352194442297"/>
  </r>
  <r>
    <n v="10933"/>
    <d v="2024-07-21T00:00:00"/>
    <x v="2"/>
    <x v="0"/>
    <s v="Phones"/>
    <x v="1"/>
    <n v="952.98"/>
    <n v="4"/>
    <x v="6"/>
    <n v="2024"/>
    <n v="112.84"/>
    <n v="0.11840752166887028"/>
  </r>
  <r>
    <n v="10934"/>
    <d v="2024-07-22T00:00:00"/>
    <x v="2"/>
    <x v="1"/>
    <s v="Phones"/>
    <x v="2"/>
    <n v="414.43"/>
    <n v="6"/>
    <x v="6"/>
    <n v="2024"/>
    <n v="91.15"/>
    <n v="0.21994064136283573"/>
  </r>
  <r>
    <n v="10935"/>
    <d v="2024-07-23T00:00:00"/>
    <x v="1"/>
    <x v="1"/>
    <s v="Binders"/>
    <x v="2"/>
    <n v="453.15"/>
    <n v="8"/>
    <x v="6"/>
    <n v="2024"/>
    <n v="-10.6"/>
    <n v="-2.3391812865497075E-2"/>
  </r>
  <r>
    <n v="10936"/>
    <d v="2024-07-24T00:00:00"/>
    <x v="2"/>
    <x v="2"/>
    <s v="Tables"/>
    <x v="4"/>
    <n v="728.96"/>
    <n v="8"/>
    <x v="6"/>
    <n v="2024"/>
    <n v="182.24"/>
    <n v="0.25"/>
  </r>
  <r>
    <n v="10937"/>
    <d v="2024-07-25T00:00:00"/>
    <x v="3"/>
    <x v="0"/>
    <s v="Binders"/>
    <x v="3"/>
    <n v="623.6"/>
    <n v="5"/>
    <x v="6"/>
    <n v="2024"/>
    <n v="-23.68"/>
    <n v="-3.7973059653624117E-2"/>
  </r>
  <r>
    <n v="10938"/>
    <d v="2024-07-26T00:00:00"/>
    <x v="2"/>
    <x v="1"/>
    <s v="Tables"/>
    <x v="2"/>
    <n v="333.98"/>
    <n v="5"/>
    <x v="6"/>
    <n v="2024"/>
    <n v="121.14"/>
    <n v="0.36271633031918077"/>
  </r>
  <r>
    <n v="10939"/>
    <d v="2024-07-27T00:00:00"/>
    <x v="3"/>
    <x v="0"/>
    <s v="Chairs"/>
    <x v="1"/>
    <n v="440.28"/>
    <n v="6"/>
    <x v="6"/>
    <n v="2024"/>
    <n v="1.3"/>
    <n v="2.9526664849641141E-3"/>
  </r>
  <r>
    <n v="10940"/>
    <d v="2024-07-28T00:00:00"/>
    <x v="3"/>
    <x v="1"/>
    <s v="Accessories"/>
    <x v="1"/>
    <n v="256.81"/>
    <n v="7"/>
    <x v="6"/>
    <n v="2024"/>
    <n v="282.25"/>
    <n v="1.0990615630232468"/>
  </r>
  <r>
    <n v="10941"/>
    <d v="2024-07-29T00:00:00"/>
    <x v="1"/>
    <x v="1"/>
    <s v="Tables"/>
    <x v="3"/>
    <n v="967.72"/>
    <n v="7"/>
    <x v="6"/>
    <n v="2024"/>
    <n v="-88.55"/>
    <n v="-9.1503740751457022E-2"/>
  </r>
  <r>
    <n v="10942"/>
    <d v="2024-07-30T00:00:00"/>
    <x v="2"/>
    <x v="1"/>
    <s v="Phones"/>
    <x v="3"/>
    <n v="174.1"/>
    <n v="4"/>
    <x v="6"/>
    <n v="2024"/>
    <n v="-20.11"/>
    <n v="-0.11550832854681217"/>
  </r>
  <r>
    <n v="10943"/>
    <d v="2024-07-31T00:00:00"/>
    <x v="1"/>
    <x v="2"/>
    <s v="Binders"/>
    <x v="4"/>
    <n v="403.24"/>
    <n v="6"/>
    <x v="6"/>
    <n v="2024"/>
    <n v="-3.08"/>
    <n v="-7.6381311377839503E-3"/>
  </r>
  <r>
    <n v="10944"/>
    <d v="2024-08-01T00:00:00"/>
    <x v="2"/>
    <x v="2"/>
    <s v="Chairs"/>
    <x v="0"/>
    <n v="74.55"/>
    <n v="7"/>
    <x v="7"/>
    <n v="2024"/>
    <n v="65.63"/>
    <n v="0.88034875922199862"/>
  </r>
  <r>
    <n v="10945"/>
    <d v="2024-08-02T00:00:00"/>
    <x v="2"/>
    <x v="2"/>
    <s v="Phones"/>
    <x v="1"/>
    <n v="260.69"/>
    <n v="5"/>
    <x v="7"/>
    <n v="2024"/>
    <n v="-6.91"/>
    <n v="-2.6506578695001726E-2"/>
  </r>
  <r>
    <n v="10946"/>
    <d v="2024-08-03T00:00:00"/>
    <x v="0"/>
    <x v="0"/>
    <s v="Chairs"/>
    <x v="3"/>
    <n v="791.45"/>
    <n v="5"/>
    <x v="7"/>
    <n v="2024"/>
    <n v="96.54"/>
    <n v="0.12197864678754186"/>
  </r>
  <r>
    <n v="10947"/>
    <d v="2024-08-04T00:00:00"/>
    <x v="2"/>
    <x v="0"/>
    <s v="Accessories"/>
    <x v="1"/>
    <n v="241.12"/>
    <n v="2"/>
    <x v="7"/>
    <n v="2024"/>
    <n v="248.99"/>
    <n v="1.0326393497013935"/>
  </r>
  <r>
    <n v="10948"/>
    <d v="2024-08-05T00:00:00"/>
    <x v="1"/>
    <x v="2"/>
    <s v="Binders"/>
    <x v="3"/>
    <n v="126.06"/>
    <n v="7"/>
    <x v="7"/>
    <n v="2024"/>
    <n v="184.83"/>
    <n v="1.4662065683008092"/>
  </r>
  <r>
    <n v="10949"/>
    <d v="2024-08-06T00:00:00"/>
    <x v="3"/>
    <x v="0"/>
    <s v="Binders"/>
    <x v="2"/>
    <n v="500.73"/>
    <n v="6"/>
    <x v="7"/>
    <n v="2024"/>
    <n v="131.97999999999999"/>
    <n v="0.26357518023685417"/>
  </r>
  <r>
    <n v="10950"/>
    <d v="2024-08-07T00:00:00"/>
    <x v="2"/>
    <x v="1"/>
    <s v="Accessories"/>
    <x v="1"/>
    <n v="59.47"/>
    <n v="1"/>
    <x v="7"/>
    <n v="2024"/>
    <n v="-64.400000000000006"/>
    <n v="-1.0828989406423408"/>
  </r>
  <r>
    <n v="10951"/>
    <d v="2024-08-08T00:00:00"/>
    <x v="0"/>
    <x v="1"/>
    <s v="Binders"/>
    <x v="2"/>
    <n v="130.53"/>
    <n v="4"/>
    <x v="7"/>
    <n v="2024"/>
    <n v="177.6"/>
    <n v="1.3606067570673408"/>
  </r>
  <r>
    <n v="10952"/>
    <d v="2024-08-09T00:00:00"/>
    <x v="1"/>
    <x v="1"/>
    <s v="Tables"/>
    <x v="1"/>
    <n v="817.24"/>
    <n v="3"/>
    <x v="7"/>
    <n v="2024"/>
    <n v="-33.43"/>
    <n v="-4.090597621261808E-2"/>
  </r>
  <r>
    <n v="10953"/>
    <d v="2024-08-10T00:00:00"/>
    <x v="2"/>
    <x v="2"/>
    <s v="Chairs"/>
    <x v="0"/>
    <n v="782.9"/>
    <n v="3"/>
    <x v="7"/>
    <n v="2024"/>
    <n v="214.55"/>
    <n v="0.27404521650274621"/>
  </r>
  <r>
    <n v="10954"/>
    <d v="2024-08-11T00:00:00"/>
    <x v="1"/>
    <x v="0"/>
    <s v="Phones"/>
    <x v="4"/>
    <n v="919.38"/>
    <n v="7"/>
    <x v="7"/>
    <n v="2024"/>
    <n v="0.02"/>
    <n v="2.1753790598011703E-5"/>
  </r>
  <r>
    <n v="10955"/>
    <d v="2024-08-12T00:00:00"/>
    <x v="0"/>
    <x v="2"/>
    <s v="Accessories"/>
    <x v="2"/>
    <n v="861.79"/>
    <n v="4"/>
    <x v="7"/>
    <n v="2024"/>
    <n v="66.819999999999993"/>
    <n v="7.7536290743684649E-2"/>
  </r>
  <r>
    <n v="10956"/>
    <d v="2024-08-13T00:00:00"/>
    <x v="0"/>
    <x v="0"/>
    <s v="Tables"/>
    <x v="3"/>
    <n v="699.02"/>
    <n v="8"/>
    <x v="7"/>
    <n v="2024"/>
    <n v="40.19"/>
    <n v="5.7494778404051386E-2"/>
  </r>
  <r>
    <n v="10957"/>
    <d v="2024-08-14T00:00:00"/>
    <x v="1"/>
    <x v="1"/>
    <s v="Phones"/>
    <x v="0"/>
    <n v="99.72"/>
    <n v="9"/>
    <x v="7"/>
    <n v="2024"/>
    <n v="243.53"/>
    <n v="2.4421379863618129"/>
  </r>
  <r>
    <n v="10958"/>
    <d v="2024-08-15T00:00:00"/>
    <x v="2"/>
    <x v="2"/>
    <s v="Phones"/>
    <x v="1"/>
    <n v="793.71"/>
    <n v="3"/>
    <x v="7"/>
    <n v="2024"/>
    <n v="-49.38"/>
    <n v="-6.2214158823751746E-2"/>
  </r>
  <r>
    <n v="10959"/>
    <d v="2024-08-16T00:00:00"/>
    <x v="3"/>
    <x v="0"/>
    <s v="Accessories"/>
    <x v="2"/>
    <n v="853.24"/>
    <n v="5"/>
    <x v="7"/>
    <n v="2024"/>
    <n v="126.26"/>
    <n v="0.1479771224977732"/>
  </r>
  <r>
    <n v="10960"/>
    <d v="2024-08-17T00:00:00"/>
    <x v="0"/>
    <x v="0"/>
    <s v="Tables"/>
    <x v="1"/>
    <n v="809.13"/>
    <n v="4"/>
    <x v="7"/>
    <n v="2024"/>
    <n v="-43.18"/>
    <n v="-5.3365960970425022E-2"/>
  </r>
  <r>
    <n v="10961"/>
    <d v="2024-08-18T00:00:00"/>
    <x v="2"/>
    <x v="1"/>
    <s v="Phones"/>
    <x v="1"/>
    <n v="533.05999999999995"/>
    <n v="6"/>
    <x v="7"/>
    <n v="2024"/>
    <n v="181.92"/>
    <n v="0.34127490338798633"/>
  </r>
  <r>
    <n v="10962"/>
    <d v="2024-08-19T00:00:00"/>
    <x v="2"/>
    <x v="2"/>
    <s v="Phones"/>
    <x v="1"/>
    <n v="271.26"/>
    <n v="4"/>
    <x v="7"/>
    <n v="2024"/>
    <n v="262.02999999999997"/>
    <n v="0.96597360465973603"/>
  </r>
  <r>
    <n v="10963"/>
    <d v="2024-08-20T00:00:00"/>
    <x v="3"/>
    <x v="2"/>
    <s v="Tables"/>
    <x v="4"/>
    <n v="853.06"/>
    <n v="8"/>
    <x v="7"/>
    <n v="2024"/>
    <n v="73.84"/>
    <n v="8.655897592197502E-2"/>
  </r>
  <r>
    <n v="10964"/>
    <d v="2024-08-21T00:00:00"/>
    <x v="0"/>
    <x v="2"/>
    <s v="Binders"/>
    <x v="4"/>
    <n v="740.8"/>
    <n v="3"/>
    <x v="7"/>
    <n v="2024"/>
    <n v="95.24"/>
    <n v="0.12856371490280777"/>
  </r>
  <r>
    <n v="10965"/>
    <d v="2024-08-22T00:00:00"/>
    <x v="0"/>
    <x v="1"/>
    <s v="Phones"/>
    <x v="3"/>
    <n v="981.72"/>
    <n v="5"/>
    <x v="7"/>
    <n v="2024"/>
    <n v="270.97000000000003"/>
    <n v="0.27601556451941495"/>
  </r>
  <r>
    <n v="10966"/>
    <d v="2024-08-23T00:00:00"/>
    <x v="2"/>
    <x v="2"/>
    <s v="Chairs"/>
    <x v="2"/>
    <n v="197.91"/>
    <n v="1"/>
    <x v="7"/>
    <n v="2024"/>
    <n v="108.4"/>
    <n v="0.54772371279874699"/>
  </r>
  <r>
    <n v="10967"/>
    <d v="2024-08-24T00:00:00"/>
    <x v="2"/>
    <x v="1"/>
    <s v="Tables"/>
    <x v="0"/>
    <n v="264.38"/>
    <n v="6"/>
    <x v="7"/>
    <n v="2024"/>
    <n v="95.04"/>
    <n v="0.35948256297753239"/>
  </r>
  <r>
    <n v="10968"/>
    <d v="2024-08-25T00:00:00"/>
    <x v="3"/>
    <x v="1"/>
    <s v="Phones"/>
    <x v="0"/>
    <n v="251.21"/>
    <n v="5"/>
    <x v="7"/>
    <n v="2024"/>
    <n v="131.33000000000001"/>
    <n v="0.5227896978623463"/>
  </r>
  <r>
    <n v="10969"/>
    <d v="2024-08-26T00:00:00"/>
    <x v="3"/>
    <x v="1"/>
    <s v="Accessories"/>
    <x v="0"/>
    <n v="802.91"/>
    <n v="8"/>
    <x v="7"/>
    <n v="2024"/>
    <n v="175.69"/>
    <n v="0.21881655478198056"/>
  </r>
  <r>
    <n v="10970"/>
    <d v="2024-08-27T00:00:00"/>
    <x v="0"/>
    <x v="0"/>
    <s v="Chairs"/>
    <x v="1"/>
    <n v="227.56"/>
    <n v="9"/>
    <x v="7"/>
    <n v="2024"/>
    <n v="-57.25"/>
    <n v="-0.25158200035155565"/>
  </r>
  <r>
    <n v="10971"/>
    <d v="2024-08-28T00:00:00"/>
    <x v="1"/>
    <x v="2"/>
    <s v="Phones"/>
    <x v="4"/>
    <n v="113.33"/>
    <n v="8"/>
    <x v="7"/>
    <n v="2024"/>
    <n v="228.44"/>
    <n v="2.0157063443042444"/>
  </r>
  <r>
    <n v="10972"/>
    <d v="2024-08-29T00:00:00"/>
    <x v="0"/>
    <x v="2"/>
    <s v="Chairs"/>
    <x v="2"/>
    <n v="998.63"/>
    <n v="8"/>
    <x v="7"/>
    <n v="2024"/>
    <n v="74.2"/>
    <n v="7.4301793457036136E-2"/>
  </r>
  <r>
    <n v="10973"/>
    <d v="2024-08-30T00:00:00"/>
    <x v="2"/>
    <x v="1"/>
    <s v="Chairs"/>
    <x v="1"/>
    <n v="73.58"/>
    <n v="3"/>
    <x v="7"/>
    <n v="2024"/>
    <n v="-71.06"/>
    <n v="-0.96575156292470787"/>
  </r>
  <r>
    <n v="10974"/>
    <d v="2024-08-31T00:00:00"/>
    <x v="0"/>
    <x v="1"/>
    <s v="Binders"/>
    <x v="4"/>
    <n v="843.48"/>
    <n v="4"/>
    <x v="7"/>
    <n v="2024"/>
    <n v="214.47"/>
    <n v="0.25426803243704649"/>
  </r>
  <r>
    <n v="10975"/>
    <d v="2024-09-01T00:00:00"/>
    <x v="1"/>
    <x v="2"/>
    <s v="Chairs"/>
    <x v="4"/>
    <n v="397.1"/>
    <n v="4"/>
    <x v="8"/>
    <n v="2024"/>
    <n v="50.78"/>
    <n v="0.12787710904054395"/>
  </r>
  <r>
    <n v="10976"/>
    <d v="2024-09-02T00:00:00"/>
    <x v="3"/>
    <x v="1"/>
    <s v="Binders"/>
    <x v="2"/>
    <n v="849.53"/>
    <n v="5"/>
    <x v="8"/>
    <n v="2024"/>
    <n v="-59.85"/>
    <n v="-7.0450719809777171E-2"/>
  </r>
  <r>
    <n v="10977"/>
    <d v="2024-09-03T00:00:00"/>
    <x v="1"/>
    <x v="2"/>
    <s v="Tables"/>
    <x v="2"/>
    <n v="576.89"/>
    <n v="9"/>
    <x v="8"/>
    <n v="2024"/>
    <n v="153.51"/>
    <n v="0.26609925635736448"/>
  </r>
  <r>
    <n v="10978"/>
    <d v="2024-09-04T00:00:00"/>
    <x v="1"/>
    <x v="0"/>
    <s v="Binders"/>
    <x v="2"/>
    <n v="906.55"/>
    <n v="9"/>
    <x v="8"/>
    <n v="2024"/>
    <n v="252.05"/>
    <n v="0.27803209971871384"/>
  </r>
  <r>
    <n v="10979"/>
    <d v="2024-09-05T00:00:00"/>
    <x v="1"/>
    <x v="1"/>
    <s v="Accessories"/>
    <x v="1"/>
    <n v="929.88"/>
    <n v="1"/>
    <x v="8"/>
    <n v="2024"/>
    <n v="255.1"/>
    <n v="0.27433647352346541"/>
  </r>
  <r>
    <n v="10980"/>
    <d v="2024-09-06T00:00:00"/>
    <x v="3"/>
    <x v="2"/>
    <s v="Phones"/>
    <x v="3"/>
    <n v="58.64"/>
    <n v="8"/>
    <x v="8"/>
    <n v="2024"/>
    <n v="283.07"/>
    <n v="4.8272510231923604"/>
  </r>
  <r>
    <n v="10981"/>
    <d v="2024-09-07T00:00:00"/>
    <x v="1"/>
    <x v="1"/>
    <s v="Tables"/>
    <x v="2"/>
    <n v="121.64"/>
    <n v="1"/>
    <x v="8"/>
    <n v="2024"/>
    <n v="247.08"/>
    <n v="2.0312397237750739"/>
  </r>
  <r>
    <n v="10982"/>
    <d v="2024-09-08T00:00:00"/>
    <x v="1"/>
    <x v="2"/>
    <s v="Tables"/>
    <x v="3"/>
    <n v="287.83999999999997"/>
    <n v="2"/>
    <x v="8"/>
    <n v="2024"/>
    <n v="-99.14"/>
    <n v="-0.34442745969983329"/>
  </r>
  <r>
    <n v="10983"/>
    <d v="2024-09-09T00:00:00"/>
    <x v="1"/>
    <x v="2"/>
    <s v="Accessories"/>
    <x v="1"/>
    <n v="685.85"/>
    <n v="7"/>
    <x v="8"/>
    <n v="2024"/>
    <n v="52.1"/>
    <n v="7.5964132098855427E-2"/>
  </r>
  <r>
    <n v="10984"/>
    <d v="2024-09-10T00:00:00"/>
    <x v="2"/>
    <x v="1"/>
    <s v="Binders"/>
    <x v="3"/>
    <n v="893.86"/>
    <n v="8"/>
    <x v="8"/>
    <n v="2024"/>
    <n v="227.42"/>
    <n v="0.25442463025529721"/>
  </r>
  <r>
    <n v="10985"/>
    <d v="2024-09-11T00:00:00"/>
    <x v="1"/>
    <x v="0"/>
    <s v="Phones"/>
    <x v="0"/>
    <n v="486.94"/>
    <n v="1"/>
    <x v="8"/>
    <n v="2024"/>
    <n v="46.5"/>
    <n v="9.5494311414137265E-2"/>
  </r>
  <r>
    <n v="10986"/>
    <d v="2024-09-12T00:00:00"/>
    <x v="3"/>
    <x v="2"/>
    <s v="Binders"/>
    <x v="3"/>
    <n v="626.62"/>
    <n v="3"/>
    <x v="8"/>
    <n v="2024"/>
    <n v="140.62"/>
    <n v="0.22441032842871278"/>
  </r>
  <r>
    <n v="10987"/>
    <d v="2024-09-13T00:00:00"/>
    <x v="1"/>
    <x v="2"/>
    <s v="Chairs"/>
    <x v="2"/>
    <n v="229.07"/>
    <n v="7"/>
    <x v="8"/>
    <n v="2024"/>
    <n v="142.53"/>
    <n v="0.62221155105426296"/>
  </r>
  <r>
    <n v="10988"/>
    <d v="2024-09-14T00:00:00"/>
    <x v="1"/>
    <x v="2"/>
    <s v="Binders"/>
    <x v="1"/>
    <n v="814.72"/>
    <n v="9"/>
    <x v="8"/>
    <n v="2024"/>
    <n v="46.01"/>
    <n v="5.6473389630793396E-2"/>
  </r>
  <r>
    <n v="10989"/>
    <d v="2024-09-15T00:00:00"/>
    <x v="3"/>
    <x v="0"/>
    <s v="Tables"/>
    <x v="2"/>
    <n v="968.96"/>
    <n v="8"/>
    <x v="8"/>
    <n v="2024"/>
    <n v="261.79000000000002"/>
    <n v="0.2701762714663144"/>
  </r>
  <r>
    <n v="10990"/>
    <d v="2024-09-16T00:00:00"/>
    <x v="1"/>
    <x v="0"/>
    <s v="Phones"/>
    <x v="0"/>
    <n v="305.17"/>
    <n v="8"/>
    <x v="8"/>
    <n v="2024"/>
    <n v="101.29"/>
    <n v="0.3319133597666874"/>
  </r>
  <r>
    <n v="10991"/>
    <d v="2024-09-17T00:00:00"/>
    <x v="3"/>
    <x v="1"/>
    <s v="Binders"/>
    <x v="2"/>
    <n v="520.08000000000004"/>
    <n v="9"/>
    <x v="8"/>
    <n v="2024"/>
    <n v="85.91"/>
    <n v="0.16518612521150591"/>
  </r>
  <r>
    <n v="10992"/>
    <d v="2024-09-18T00:00:00"/>
    <x v="1"/>
    <x v="0"/>
    <s v="Phones"/>
    <x v="2"/>
    <n v="131.81"/>
    <n v="3"/>
    <x v="8"/>
    <n v="2024"/>
    <n v="299.01"/>
    <n v="2.268492527122373"/>
  </r>
  <r>
    <n v="10993"/>
    <d v="2024-09-19T00:00:00"/>
    <x v="3"/>
    <x v="1"/>
    <s v="Phones"/>
    <x v="2"/>
    <n v="581.17999999999995"/>
    <n v="8"/>
    <x v="8"/>
    <n v="2024"/>
    <n v="97.4"/>
    <n v="0.16759007536391482"/>
  </r>
  <r>
    <n v="10994"/>
    <d v="2024-09-20T00:00:00"/>
    <x v="1"/>
    <x v="1"/>
    <s v="Chairs"/>
    <x v="4"/>
    <n v="527.64"/>
    <n v="1"/>
    <x v="8"/>
    <n v="2024"/>
    <n v="-28.64"/>
    <n v="-5.4279432946706091E-2"/>
  </r>
  <r>
    <n v="10995"/>
    <d v="2024-09-21T00:00:00"/>
    <x v="1"/>
    <x v="0"/>
    <s v="Chairs"/>
    <x v="0"/>
    <n v="187.21"/>
    <n v="8"/>
    <x v="8"/>
    <n v="2024"/>
    <n v="105.23"/>
    <n v="0.5620960418781048"/>
  </r>
  <r>
    <n v="10996"/>
    <d v="2024-09-22T00:00:00"/>
    <x v="2"/>
    <x v="1"/>
    <s v="Tables"/>
    <x v="2"/>
    <n v="469.96"/>
    <n v="7"/>
    <x v="8"/>
    <n v="2024"/>
    <n v="225.61"/>
    <n v="0.48006213294748495"/>
  </r>
  <r>
    <n v="10997"/>
    <d v="2024-09-23T00:00:00"/>
    <x v="2"/>
    <x v="0"/>
    <s v="Accessories"/>
    <x v="2"/>
    <n v="367.4"/>
    <n v="8"/>
    <x v="8"/>
    <n v="2024"/>
    <n v="210.74"/>
    <n v="0.57359825802939579"/>
  </r>
  <r>
    <n v="10998"/>
    <d v="2024-09-24T00:00:00"/>
    <x v="1"/>
    <x v="1"/>
    <s v="Phones"/>
    <x v="2"/>
    <n v="545.74"/>
    <n v="1"/>
    <x v="8"/>
    <n v="2024"/>
    <n v="215.43"/>
    <n v="0.39474841499615204"/>
  </r>
  <r>
    <n v="10999"/>
    <d v="2024-09-25T00:00:00"/>
    <x v="1"/>
    <x v="0"/>
    <s v="Accessories"/>
    <x v="1"/>
    <n v="606.37"/>
    <n v="6"/>
    <x v="8"/>
    <n v="2024"/>
    <n v="183.21"/>
    <n v="0.30214225637811898"/>
  </r>
  <r>
    <n v="11000"/>
    <d v="2024-09-26T00:00:00"/>
    <x v="0"/>
    <x v="0"/>
    <s v="Tables"/>
    <x v="4"/>
    <n v="58.07"/>
    <n v="7"/>
    <x v="8"/>
    <n v="2024"/>
    <n v="1.69"/>
    <n v="2.9102806957120714E-2"/>
  </r>
  <r>
    <n v="11001"/>
    <d v="2024-09-27T00:00:00"/>
    <x v="3"/>
    <x v="1"/>
    <s v="Phones"/>
    <x v="1"/>
    <n v="772.96"/>
    <n v="5"/>
    <x v="8"/>
    <n v="2024"/>
    <n v="244.83"/>
    <n v="0.31674342786172638"/>
  </r>
  <r>
    <n v="11002"/>
    <d v="2024-09-28T00:00:00"/>
    <x v="0"/>
    <x v="2"/>
    <s v="Phones"/>
    <x v="4"/>
    <n v="727.36"/>
    <n v="5"/>
    <x v="8"/>
    <n v="2024"/>
    <n v="257.38"/>
    <n v="0.35385503739551255"/>
  </r>
  <r>
    <n v="11003"/>
    <d v="2024-09-29T00:00:00"/>
    <x v="2"/>
    <x v="1"/>
    <s v="Accessories"/>
    <x v="2"/>
    <n v="397.97"/>
    <n v="7"/>
    <x v="8"/>
    <n v="2024"/>
    <n v="-22.34"/>
    <n v="-5.6134884539035604E-2"/>
  </r>
  <r>
    <n v="11004"/>
    <d v="2024-09-30T00:00:00"/>
    <x v="2"/>
    <x v="0"/>
    <s v="Binders"/>
    <x v="0"/>
    <n v="100.29"/>
    <n v="3"/>
    <x v="8"/>
    <n v="2024"/>
    <n v="-47.82"/>
    <n v="-0.47681723003290455"/>
  </r>
  <r>
    <n v="11005"/>
    <d v="2024-10-01T00:00:00"/>
    <x v="2"/>
    <x v="2"/>
    <s v="Chairs"/>
    <x v="3"/>
    <n v="767.19"/>
    <n v="6"/>
    <x v="9"/>
    <n v="2024"/>
    <n v="290.24"/>
    <n v="0.37831567147642692"/>
  </r>
  <r>
    <n v="11006"/>
    <d v="2024-10-02T00:00:00"/>
    <x v="2"/>
    <x v="1"/>
    <s v="Binders"/>
    <x v="3"/>
    <n v="957.42"/>
    <n v="7"/>
    <x v="9"/>
    <n v="2024"/>
    <n v="247.33"/>
    <n v="0.25832967767541937"/>
  </r>
  <r>
    <n v="11007"/>
    <d v="2024-10-03T00:00:00"/>
    <x v="1"/>
    <x v="1"/>
    <s v="Accessories"/>
    <x v="2"/>
    <n v="278.14"/>
    <n v="1"/>
    <x v="9"/>
    <n v="2024"/>
    <n v="257.29000000000002"/>
    <n v="0.92503775077299211"/>
  </r>
  <r>
    <n v="11008"/>
    <d v="2024-10-04T00:00:00"/>
    <x v="2"/>
    <x v="1"/>
    <s v="Chairs"/>
    <x v="1"/>
    <n v="357.35"/>
    <n v="2"/>
    <x v="9"/>
    <n v="2024"/>
    <n v="254.55"/>
    <n v="0.71232685042675248"/>
  </r>
  <r>
    <n v="11009"/>
    <d v="2024-10-05T00:00:00"/>
    <x v="1"/>
    <x v="2"/>
    <s v="Binders"/>
    <x v="0"/>
    <n v="224.62"/>
    <n v="4"/>
    <x v="9"/>
    <n v="2024"/>
    <n v="116.67"/>
    <n v="0.51941056005698516"/>
  </r>
  <r>
    <n v="11010"/>
    <d v="2024-10-06T00:00:00"/>
    <x v="1"/>
    <x v="0"/>
    <s v="Chairs"/>
    <x v="4"/>
    <n v="598.09"/>
    <n v="8"/>
    <x v="9"/>
    <n v="2024"/>
    <n v="158.56"/>
    <n v="0.26511060208329851"/>
  </r>
  <r>
    <n v="11011"/>
    <d v="2024-10-07T00:00:00"/>
    <x v="2"/>
    <x v="1"/>
    <s v="Phones"/>
    <x v="2"/>
    <n v="197.1"/>
    <n v="6"/>
    <x v="9"/>
    <n v="2024"/>
    <n v="118.15"/>
    <n v="0.59944190766108574"/>
  </r>
  <r>
    <n v="11012"/>
    <d v="2024-10-08T00:00:00"/>
    <x v="2"/>
    <x v="1"/>
    <s v="Binders"/>
    <x v="0"/>
    <n v="388.38"/>
    <n v="1"/>
    <x v="9"/>
    <n v="2024"/>
    <n v="-79.52"/>
    <n v="-0.20474792728770791"/>
  </r>
  <r>
    <n v="11013"/>
    <d v="2024-10-09T00:00:00"/>
    <x v="3"/>
    <x v="1"/>
    <s v="Chairs"/>
    <x v="0"/>
    <n v="712.16"/>
    <n v="5"/>
    <x v="9"/>
    <n v="2024"/>
    <n v="198.2"/>
    <n v="0.27830824533812626"/>
  </r>
  <r>
    <n v="11014"/>
    <d v="2024-10-10T00:00:00"/>
    <x v="0"/>
    <x v="1"/>
    <s v="Chairs"/>
    <x v="4"/>
    <n v="582.11"/>
    <n v="7"/>
    <x v="9"/>
    <n v="2024"/>
    <n v="102.13"/>
    <n v="0.17544793939289824"/>
  </r>
  <r>
    <n v="11015"/>
    <d v="2024-10-11T00:00:00"/>
    <x v="2"/>
    <x v="1"/>
    <s v="Chairs"/>
    <x v="0"/>
    <n v="417.14"/>
    <n v="6"/>
    <x v="9"/>
    <n v="2024"/>
    <n v="159.08000000000001"/>
    <n v="0.38135877642997557"/>
  </r>
  <r>
    <n v="11016"/>
    <d v="2024-10-12T00:00:00"/>
    <x v="3"/>
    <x v="0"/>
    <s v="Binders"/>
    <x v="1"/>
    <n v="449.24"/>
    <n v="9"/>
    <x v="9"/>
    <n v="2024"/>
    <n v="101.06"/>
    <n v="0.22495770634849968"/>
  </r>
  <r>
    <n v="11017"/>
    <d v="2024-10-13T00:00:00"/>
    <x v="3"/>
    <x v="0"/>
    <s v="Tables"/>
    <x v="1"/>
    <n v="584.01"/>
    <n v="8"/>
    <x v="9"/>
    <n v="2024"/>
    <n v="96.72"/>
    <n v="0.1656136025068064"/>
  </r>
  <r>
    <n v="11018"/>
    <d v="2024-10-14T00:00:00"/>
    <x v="0"/>
    <x v="1"/>
    <s v="Binders"/>
    <x v="1"/>
    <n v="55.57"/>
    <n v="4"/>
    <x v="9"/>
    <n v="2024"/>
    <n v="-31.28"/>
    <n v="-0.56289364765161065"/>
  </r>
  <r>
    <n v="11019"/>
    <d v="2024-10-15T00:00:00"/>
    <x v="1"/>
    <x v="2"/>
    <s v="Accessories"/>
    <x v="0"/>
    <n v="124.58"/>
    <n v="5"/>
    <x v="9"/>
    <n v="2024"/>
    <n v="11.49"/>
    <n v="9.2229892438593683E-2"/>
  </r>
  <r>
    <n v="11020"/>
    <d v="2024-10-16T00:00:00"/>
    <x v="2"/>
    <x v="0"/>
    <s v="Binders"/>
    <x v="1"/>
    <n v="887.2"/>
    <n v="7"/>
    <x v="9"/>
    <n v="2024"/>
    <n v="-36.46"/>
    <n v="-4.1095581605049593E-2"/>
  </r>
  <r>
    <n v="11021"/>
    <d v="2024-10-17T00:00:00"/>
    <x v="0"/>
    <x v="2"/>
    <s v="Chairs"/>
    <x v="4"/>
    <n v="123.99"/>
    <n v="8"/>
    <x v="9"/>
    <n v="2024"/>
    <n v="-21.73"/>
    <n v="-0.17525606903782565"/>
  </r>
  <r>
    <n v="11022"/>
    <d v="2024-10-18T00:00:00"/>
    <x v="2"/>
    <x v="0"/>
    <s v="Phones"/>
    <x v="0"/>
    <n v="721.46"/>
    <n v="5"/>
    <x v="9"/>
    <n v="2024"/>
    <n v="289.19"/>
    <n v="0.40083996340753469"/>
  </r>
  <r>
    <n v="11023"/>
    <d v="2024-10-19T00:00:00"/>
    <x v="3"/>
    <x v="1"/>
    <s v="Binders"/>
    <x v="3"/>
    <n v="924.04"/>
    <n v="9"/>
    <x v="9"/>
    <n v="2024"/>
    <n v="-38.75"/>
    <n v="-4.193541405133977E-2"/>
  </r>
  <r>
    <n v="11024"/>
    <d v="2024-10-20T00:00:00"/>
    <x v="3"/>
    <x v="0"/>
    <s v="Binders"/>
    <x v="0"/>
    <n v="307.14999999999998"/>
    <n v="4"/>
    <x v="9"/>
    <n v="2024"/>
    <n v="7.71"/>
    <n v="2.5101741819957678E-2"/>
  </r>
  <r>
    <n v="11025"/>
    <d v="2024-10-21T00:00:00"/>
    <x v="1"/>
    <x v="1"/>
    <s v="Chairs"/>
    <x v="4"/>
    <n v="401.97"/>
    <n v="4"/>
    <x v="9"/>
    <n v="2024"/>
    <n v="136.24"/>
    <n v="0.3389307659775605"/>
  </r>
  <r>
    <n v="11026"/>
    <d v="2024-10-22T00:00:00"/>
    <x v="3"/>
    <x v="0"/>
    <s v="Phones"/>
    <x v="3"/>
    <n v="590.48"/>
    <n v="8"/>
    <x v="9"/>
    <n v="2024"/>
    <n v="144.07"/>
    <n v="0.24398794201327731"/>
  </r>
  <r>
    <n v="11027"/>
    <d v="2024-10-23T00:00:00"/>
    <x v="3"/>
    <x v="1"/>
    <s v="Phones"/>
    <x v="0"/>
    <n v="887.62"/>
    <n v="1"/>
    <x v="9"/>
    <n v="2024"/>
    <n v="-38.409999999999997"/>
    <n v="-4.327302223924652E-2"/>
  </r>
  <r>
    <n v="11028"/>
    <d v="2024-10-24T00:00:00"/>
    <x v="0"/>
    <x v="1"/>
    <s v="Accessories"/>
    <x v="1"/>
    <n v="944.81"/>
    <n v="8"/>
    <x v="9"/>
    <n v="2024"/>
    <n v="217.49"/>
    <n v="0.23019443062626349"/>
  </r>
  <r>
    <n v="11029"/>
    <d v="2024-10-25T00:00:00"/>
    <x v="2"/>
    <x v="1"/>
    <s v="Binders"/>
    <x v="2"/>
    <n v="752.59"/>
    <n v="5"/>
    <x v="9"/>
    <n v="2024"/>
    <n v="214.08"/>
    <n v="0.28445767283647139"/>
  </r>
  <r>
    <n v="11030"/>
    <d v="2024-10-26T00:00:00"/>
    <x v="2"/>
    <x v="1"/>
    <s v="Phones"/>
    <x v="2"/>
    <n v="132.29"/>
    <n v="1"/>
    <x v="9"/>
    <n v="2024"/>
    <n v="-5.07"/>
    <n v="-3.8324892282107496E-2"/>
  </r>
  <r>
    <n v="11031"/>
    <d v="2024-10-27T00:00:00"/>
    <x v="0"/>
    <x v="2"/>
    <s v="Phones"/>
    <x v="1"/>
    <n v="685.7"/>
    <n v="4"/>
    <x v="9"/>
    <n v="2024"/>
    <n v="15.47"/>
    <n v="2.2560886685139274E-2"/>
  </r>
  <r>
    <n v="11032"/>
    <d v="2024-10-28T00:00:00"/>
    <x v="1"/>
    <x v="1"/>
    <s v="Tables"/>
    <x v="2"/>
    <n v="439.79"/>
    <n v="2"/>
    <x v="9"/>
    <n v="2024"/>
    <n v="275.2"/>
    <n v="0.62575320039109572"/>
  </r>
  <r>
    <n v="11033"/>
    <d v="2024-10-29T00:00:00"/>
    <x v="2"/>
    <x v="2"/>
    <s v="Tables"/>
    <x v="2"/>
    <n v="497.17"/>
    <n v="4"/>
    <x v="9"/>
    <n v="2024"/>
    <n v="230.27"/>
    <n v="0.46316149405635898"/>
  </r>
  <r>
    <n v="11034"/>
    <d v="2024-10-30T00:00:00"/>
    <x v="3"/>
    <x v="2"/>
    <s v="Phones"/>
    <x v="1"/>
    <n v="96.69"/>
    <n v="8"/>
    <x v="9"/>
    <n v="2024"/>
    <n v="179.12"/>
    <n v="1.8525183576378117"/>
  </r>
  <r>
    <n v="11035"/>
    <d v="2024-10-31T00:00:00"/>
    <x v="2"/>
    <x v="1"/>
    <s v="Accessories"/>
    <x v="1"/>
    <n v="231.51"/>
    <n v="5"/>
    <x v="9"/>
    <n v="2024"/>
    <n v="-67.11"/>
    <n v="-0.28987948684722042"/>
  </r>
  <r>
    <n v="11036"/>
    <d v="2024-11-01T00:00:00"/>
    <x v="3"/>
    <x v="2"/>
    <s v="Phones"/>
    <x v="0"/>
    <n v="800.99"/>
    <n v="1"/>
    <x v="10"/>
    <n v="2024"/>
    <n v="67.31"/>
    <n v="8.4033508533190179E-2"/>
  </r>
  <r>
    <n v="11037"/>
    <d v="2024-11-02T00:00:00"/>
    <x v="1"/>
    <x v="0"/>
    <s v="Chairs"/>
    <x v="0"/>
    <n v="481.26"/>
    <n v="7"/>
    <x v="10"/>
    <n v="2024"/>
    <n v="123.72"/>
    <n v="0.25707517765864607"/>
  </r>
  <r>
    <n v="11038"/>
    <d v="2024-11-03T00:00:00"/>
    <x v="0"/>
    <x v="1"/>
    <s v="Binders"/>
    <x v="1"/>
    <n v="336.58"/>
    <n v="1"/>
    <x v="10"/>
    <n v="2024"/>
    <n v="-25.04"/>
    <n v="-7.4395388911997151E-2"/>
  </r>
  <r>
    <n v="11039"/>
    <d v="2024-11-04T00:00:00"/>
    <x v="2"/>
    <x v="2"/>
    <s v="Accessories"/>
    <x v="4"/>
    <n v="414.82"/>
    <n v="9"/>
    <x v="10"/>
    <n v="2024"/>
    <n v="79.290000000000006"/>
    <n v="0.19114314642495542"/>
  </r>
  <r>
    <n v="11040"/>
    <d v="2024-11-05T00:00:00"/>
    <x v="0"/>
    <x v="1"/>
    <s v="Chairs"/>
    <x v="2"/>
    <n v="861.68"/>
    <n v="3"/>
    <x v="10"/>
    <n v="2024"/>
    <n v="140.41"/>
    <n v="0.16294912264413705"/>
  </r>
  <r>
    <n v="11041"/>
    <d v="2024-11-06T00:00:00"/>
    <x v="2"/>
    <x v="1"/>
    <s v="Accessories"/>
    <x v="0"/>
    <n v="761.55"/>
    <n v="3"/>
    <x v="10"/>
    <n v="2024"/>
    <n v="30.95"/>
    <n v="4.0640798371741844E-2"/>
  </r>
  <r>
    <n v="11042"/>
    <d v="2024-11-07T00:00:00"/>
    <x v="3"/>
    <x v="1"/>
    <s v="Chairs"/>
    <x v="2"/>
    <n v="308.7"/>
    <n v="6"/>
    <x v="10"/>
    <n v="2024"/>
    <n v="212.38"/>
    <n v="0.68798185941043088"/>
  </r>
  <r>
    <n v="11043"/>
    <d v="2024-11-08T00:00:00"/>
    <x v="0"/>
    <x v="2"/>
    <s v="Binders"/>
    <x v="3"/>
    <n v="161.63"/>
    <n v="6"/>
    <x v="10"/>
    <n v="2024"/>
    <n v="236.18"/>
    <n v="1.4612386314421828"/>
  </r>
  <r>
    <n v="11044"/>
    <d v="2024-11-09T00:00:00"/>
    <x v="2"/>
    <x v="0"/>
    <s v="Binders"/>
    <x v="1"/>
    <n v="289.39999999999998"/>
    <n v="6"/>
    <x v="10"/>
    <n v="2024"/>
    <n v="29.44"/>
    <n v="0.10172771250863857"/>
  </r>
  <r>
    <n v="11045"/>
    <d v="2024-11-10T00:00:00"/>
    <x v="3"/>
    <x v="0"/>
    <s v="Tables"/>
    <x v="4"/>
    <n v="924.72"/>
    <n v="1"/>
    <x v="10"/>
    <n v="2024"/>
    <n v="235.46"/>
    <n v="0.25462842806471148"/>
  </r>
  <r>
    <n v="11046"/>
    <d v="2024-11-11T00:00:00"/>
    <x v="0"/>
    <x v="2"/>
    <s v="Chairs"/>
    <x v="3"/>
    <n v="602.51"/>
    <n v="5"/>
    <x v="10"/>
    <n v="2024"/>
    <n v="-58.57"/>
    <n v="-9.7210004813198123E-2"/>
  </r>
  <r>
    <n v="11047"/>
    <d v="2024-11-12T00:00:00"/>
    <x v="0"/>
    <x v="1"/>
    <s v="Tables"/>
    <x v="3"/>
    <n v="556.80999999999995"/>
    <n v="6"/>
    <x v="10"/>
    <n v="2024"/>
    <n v="235.09"/>
    <n v="0.42220865286183801"/>
  </r>
  <r>
    <n v="11048"/>
    <d v="2024-11-13T00:00:00"/>
    <x v="2"/>
    <x v="2"/>
    <s v="Chairs"/>
    <x v="3"/>
    <n v="616.57000000000005"/>
    <n v="8"/>
    <x v="10"/>
    <n v="2024"/>
    <n v="-38.9"/>
    <n v="-6.3090971017078348E-2"/>
  </r>
  <r>
    <n v="11049"/>
    <d v="2024-11-14T00:00:00"/>
    <x v="2"/>
    <x v="2"/>
    <s v="Tables"/>
    <x v="1"/>
    <n v="397.73"/>
    <n v="1"/>
    <x v="10"/>
    <n v="2024"/>
    <n v="-66.83"/>
    <n v="-0.16802856208985995"/>
  </r>
  <r>
    <n v="11050"/>
    <d v="2024-11-15T00:00:00"/>
    <x v="2"/>
    <x v="2"/>
    <s v="Binders"/>
    <x v="0"/>
    <n v="816.75"/>
    <n v="5"/>
    <x v="10"/>
    <n v="2024"/>
    <n v="156.71"/>
    <n v="0.19187021732476278"/>
  </r>
  <r>
    <n v="11051"/>
    <d v="2024-11-16T00:00:00"/>
    <x v="3"/>
    <x v="1"/>
    <s v="Accessories"/>
    <x v="1"/>
    <n v="547.12"/>
    <n v="3"/>
    <x v="10"/>
    <n v="2024"/>
    <n v="88.77"/>
    <n v="0.162249597894429"/>
  </r>
  <r>
    <n v="11052"/>
    <d v="2024-11-17T00:00:00"/>
    <x v="2"/>
    <x v="2"/>
    <s v="Tables"/>
    <x v="0"/>
    <n v="160.91"/>
    <n v="2"/>
    <x v="10"/>
    <n v="2024"/>
    <n v="263.16000000000003"/>
    <n v="1.6354483872972472"/>
  </r>
  <r>
    <n v="11053"/>
    <d v="2024-11-18T00:00:00"/>
    <x v="0"/>
    <x v="1"/>
    <s v="Chairs"/>
    <x v="3"/>
    <n v="172.61"/>
    <n v="8"/>
    <x v="10"/>
    <n v="2024"/>
    <n v="45.28"/>
    <n v="0.26232547361103065"/>
  </r>
  <r>
    <n v="11054"/>
    <d v="2024-11-19T00:00:00"/>
    <x v="0"/>
    <x v="2"/>
    <s v="Chairs"/>
    <x v="3"/>
    <n v="560.02"/>
    <n v="7"/>
    <x v="10"/>
    <n v="2024"/>
    <n v="14.86"/>
    <n v="2.6534766615478017E-2"/>
  </r>
  <r>
    <n v="11055"/>
    <d v="2024-11-20T00:00:00"/>
    <x v="2"/>
    <x v="0"/>
    <s v="Binders"/>
    <x v="4"/>
    <n v="939.74"/>
    <n v="7"/>
    <x v="10"/>
    <n v="2024"/>
    <n v="100.29"/>
    <n v="0.10672100793836593"/>
  </r>
  <r>
    <n v="11056"/>
    <d v="2024-11-21T00:00:00"/>
    <x v="2"/>
    <x v="2"/>
    <s v="Chairs"/>
    <x v="0"/>
    <n v="342.93"/>
    <n v="5"/>
    <x v="10"/>
    <n v="2024"/>
    <n v="82.38"/>
    <n v="0.24022395241011282"/>
  </r>
  <r>
    <n v="11057"/>
    <d v="2024-11-22T00:00:00"/>
    <x v="1"/>
    <x v="2"/>
    <s v="Phones"/>
    <x v="3"/>
    <n v="876.06"/>
    <n v="9"/>
    <x v="10"/>
    <n v="2024"/>
    <n v="37.770000000000003"/>
    <n v="4.311348537771386E-2"/>
  </r>
  <r>
    <n v="11058"/>
    <d v="2024-11-23T00:00:00"/>
    <x v="0"/>
    <x v="0"/>
    <s v="Accessories"/>
    <x v="2"/>
    <n v="775.89"/>
    <n v="5"/>
    <x v="10"/>
    <n v="2024"/>
    <n v="177.5"/>
    <n v="0.22876954207426312"/>
  </r>
  <r>
    <n v="11059"/>
    <d v="2024-11-24T00:00:00"/>
    <x v="3"/>
    <x v="1"/>
    <s v="Tables"/>
    <x v="4"/>
    <n v="285.42"/>
    <n v="2"/>
    <x v="10"/>
    <n v="2024"/>
    <n v="203.82"/>
    <n v="0.71410552869455535"/>
  </r>
  <r>
    <n v="11060"/>
    <d v="2024-11-25T00:00:00"/>
    <x v="1"/>
    <x v="1"/>
    <s v="Accessories"/>
    <x v="1"/>
    <n v="84.52"/>
    <n v="3"/>
    <x v="10"/>
    <n v="2024"/>
    <n v="241.19"/>
    <n v="2.8536441079034551"/>
  </r>
  <r>
    <n v="11061"/>
    <d v="2024-11-26T00:00:00"/>
    <x v="2"/>
    <x v="2"/>
    <s v="Binders"/>
    <x v="4"/>
    <n v="146.75"/>
    <n v="4"/>
    <x v="10"/>
    <n v="2024"/>
    <n v="289.14"/>
    <n v="1.9702896081771719"/>
  </r>
  <r>
    <n v="11062"/>
    <d v="2024-11-27T00:00:00"/>
    <x v="2"/>
    <x v="0"/>
    <s v="Tables"/>
    <x v="2"/>
    <n v="742.07"/>
    <n v="5"/>
    <x v="10"/>
    <n v="2024"/>
    <n v="6.66"/>
    <n v="8.9748945517269252E-3"/>
  </r>
  <r>
    <n v="11063"/>
    <d v="2024-11-28T00:00:00"/>
    <x v="0"/>
    <x v="1"/>
    <s v="Tables"/>
    <x v="0"/>
    <n v="239.69"/>
    <n v="3"/>
    <x v="10"/>
    <n v="2024"/>
    <n v="186.44"/>
    <n v="0.77783804080270347"/>
  </r>
  <r>
    <n v="11064"/>
    <d v="2024-11-29T00:00:00"/>
    <x v="2"/>
    <x v="2"/>
    <s v="Phones"/>
    <x v="1"/>
    <n v="402.71"/>
    <n v="7"/>
    <x v="10"/>
    <n v="2024"/>
    <n v="57.7"/>
    <n v="0.14327928285863278"/>
  </r>
  <r>
    <n v="11065"/>
    <d v="2024-11-30T00:00:00"/>
    <x v="3"/>
    <x v="0"/>
    <s v="Binders"/>
    <x v="1"/>
    <n v="526.61"/>
    <n v="5"/>
    <x v="10"/>
    <n v="2024"/>
    <n v="170.83"/>
    <n v="0.32439566282448112"/>
  </r>
  <r>
    <n v="11066"/>
    <d v="2024-12-01T00:00:00"/>
    <x v="0"/>
    <x v="1"/>
    <s v="Chairs"/>
    <x v="0"/>
    <n v="739.19"/>
    <n v="5"/>
    <x v="11"/>
    <n v="2024"/>
    <n v="90.39"/>
    <n v="0.12228249841042221"/>
  </r>
  <r>
    <n v="11067"/>
    <d v="2024-12-02T00:00:00"/>
    <x v="2"/>
    <x v="1"/>
    <s v="Phones"/>
    <x v="4"/>
    <n v="157.57"/>
    <n v="6"/>
    <x v="11"/>
    <n v="2024"/>
    <n v="297.51"/>
    <n v="1.8881132195214825"/>
  </r>
  <r>
    <n v="11068"/>
    <d v="2024-12-03T00:00:00"/>
    <x v="0"/>
    <x v="0"/>
    <s v="Phones"/>
    <x v="3"/>
    <n v="436.05"/>
    <n v="7"/>
    <x v="11"/>
    <n v="2024"/>
    <n v="191.56"/>
    <n v="0.43930741887398234"/>
  </r>
  <r>
    <n v="11069"/>
    <d v="2024-12-04T00:00:00"/>
    <x v="2"/>
    <x v="0"/>
    <s v="Accessories"/>
    <x v="4"/>
    <n v="510.82"/>
    <n v="8"/>
    <x v="11"/>
    <n v="2024"/>
    <n v="281"/>
    <n v="0.5500959242003054"/>
  </r>
  <r>
    <n v="11070"/>
    <d v="2024-12-05T00:00:00"/>
    <x v="2"/>
    <x v="0"/>
    <s v="Accessories"/>
    <x v="2"/>
    <n v="563.79"/>
    <n v="9"/>
    <x v="11"/>
    <n v="2024"/>
    <n v="233.99"/>
    <n v="0.41503041912768945"/>
  </r>
  <r>
    <n v="11071"/>
    <d v="2024-12-06T00:00:00"/>
    <x v="2"/>
    <x v="0"/>
    <s v="Accessories"/>
    <x v="3"/>
    <n v="827.44"/>
    <n v="4"/>
    <x v="11"/>
    <n v="2024"/>
    <n v="261.16000000000003"/>
    <n v="0.31562409358986754"/>
  </r>
  <r>
    <n v="11072"/>
    <d v="2024-12-07T00:00:00"/>
    <x v="3"/>
    <x v="2"/>
    <s v="Phones"/>
    <x v="4"/>
    <n v="213.09"/>
    <n v="5"/>
    <x v="11"/>
    <n v="2024"/>
    <n v="225.77"/>
    <n v="1.059505373316439"/>
  </r>
  <r>
    <n v="11073"/>
    <d v="2024-12-08T00:00:00"/>
    <x v="3"/>
    <x v="0"/>
    <s v="Chairs"/>
    <x v="0"/>
    <n v="817.44"/>
    <n v="5"/>
    <x v="11"/>
    <n v="2024"/>
    <n v="83.66"/>
    <n v="0.10234390291642199"/>
  </r>
  <r>
    <n v="11074"/>
    <d v="2024-12-09T00:00:00"/>
    <x v="0"/>
    <x v="1"/>
    <s v="Tables"/>
    <x v="2"/>
    <n v="708.23"/>
    <n v="8"/>
    <x v="11"/>
    <n v="2024"/>
    <n v="0.72"/>
    <n v="1.01661889499174E-3"/>
  </r>
  <r>
    <n v="11075"/>
    <d v="2024-12-10T00:00:00"/>
    <x v="2"/>
    <x v="1"/>
    <s v="Accessories"/>
    <x v="2"/>
    <n v="578.08000000000004"/>
    <n v="9"/>
    <x v="11"/>
    <n v="2024"/>
    <n v="48.13"/>
    <n v="8.3258372543592585E-2"/>
  </r>
  <r>
    <n v="11076"/>
    <d v="2024-12-11T00:00:00"/>
    <x v="2"/>
    <x v="2"/>
    <s v="Chairs"/>
    <x v="2"/>
    <n v="714.55"/>
    <n v="7"/>
    <x v="11"/>
    <n v="2024"/>
    <n v="-91.91"/>
    <n v="-0.1286264082289553"/>
  </r>
  <r>
    <n v="11077"/>
    <d v="2024-12-12T00:00:00"/>
    <x v="3"/>
    <x v="1"/>
    <s v="Binders"/>
    <x v="3"/>
    <n v="441.42"/>
    <n v="5"/>
    <x v="11"/>
    <n v="2024"/>
    <n v="109.6"/>
    <n v="0.24828961080150422"/>
  </r>
  <r>
    <n v="11078"/>
    <d v="2024-12-13T00:00:00"/>
    <x v="2"/>
    <x v="1"/>
    <s v="Accessories"/>
    <x v="1"/>
    <n v="181.48"/>
    <n v="3"/>
    <x v="11"/>
    <n v="2024"/>
    <n v="102.02"/>
    <n v="0.56215560943354637"/>
  </r>
  <r>
    <n v="11079"/>
    <d v="2024-12-14T00:00:00"/>
    <x v="3"/>
    <x v="0"/>
    <s v="Tables"/>
    <x v="3"/>
    <n v="682.48"/>
    <n v="1"/>
    <x v="11"/>
    <n v="2024"/>
    <n v="110.1"/>
    <n v="0.16132340874457859"/>
  </r>
  <r>
    <n v="11080"/>
    <d v="2024-12-15T00:00:00"/>
    <x v="2"/>
    <x v="1"/>
    <s v="Binders"/>
    <x v="4"/>
    <n v="548.44000000000005"/>
    <n v="9"/>
    <x v="11"/>
    <n v="2024"/>
    <n v="289.61"/>
    <n v="0.52806141054627664"/>
  </r>
  <r>
    <n v="11081"/>
    <d v="2024-12-16T00:00:00"/>
    <x v="0"/>
    <x v="2"/>
    <s v="Binders"/>
    <x v="1"/>
    <n v="657.41"/>
    <n v="5"/>
    <x v="11"/>
    <n v="2024"/>
    <n v="264.58"/>
    <n v="0.40245813115103207"/>
  </r>
  <r>
    <n v="11082"/>
    <d v="2024-12-17T00:00:00"/>
    <x v="2"/>
    <x v="0"/>
    <s v="Tables"/>
    <x v="4"/>
    <n v="371.1"/>
    <n v="9"/>
    <x v="11"/>
    <n v="2024"/>
    <n v="-35.31"/>
    <n v="-9.5149555375909453E-2"/>
  </r>
  <r>
    <n v="11083"/>
    <d v="2024-12-18T00:00:00"/>
    <x v="2"/>
    <x v="0"/>
    <s v="Accessories"/>
    <x v="1"/>
    <n v="911.52"/>
    <n v="4"/>
    <x v="11"/>
    <n v="2024"/>
    <n v="47.55"/>
    <n v="5.2165613480779353E-2"/>
  </r>
  <r>
    <n v="11084"/>
    <d v="2024-12-19T00:00:00"/>
    <x v="1"/>
    <x v="2"/>
    <s v="Phones"/>
    <x v="3"/>
    <n v="608"/>
    <n v="5"/>
    <x v="11"/>
    <n v="2024"/>
    <n v="69.58"/>
    <n v="0.1144407894736842"/>
  </r>
  <r>
    <n v="11085"/>
    <d v="2024-12-20T00:00:00"/>
    <x v="3"/>
    <x v="0"/>
    <s v="Tables"/>
    <x v="2"/>
    <n v="131.13"/>
    <n v="4"/>
    <x v="11"/>
    <n v="2024"/>
    <n v="44.21"/>
    <n v="0.33714634332341953"/>
  </r>
  <r>
    <n v="11086"/>
    <d v="2024-12-21T00:00:00"/>
    <x v="2"/>
    <x v="0"/>
    <s v="Tables"/>
    <x v="0"/>
    <n v="477.31"/>
    <n v="2"/>
    <x v="11"/>
    <n v="2024"/>
    <n v="219.4"/>
    <n v="0.45965934088956861"/>
  </r>
  <r>
    <n v="11087"/>
    <d v="2024-12-22T00:00:00"/>
    <x v="2"/>
    <x v="2"/>
    <s v="Tables"/>
    <x v="2"/>
    <n v="768.54"/>
    <n v="1"/>
    <x v="11"/>
    <n v="2024"/>
    <n v="109.62"/>
    <n v="0.14263408540869701"/>
  </r>
  <r>
    <n v="11088"/>
    <d v="2024-12-23T00:00:00"/>
    <x v="1"/>
    <x v="0"/>
    <s v="Binders"/>
    <x v="3"/>
    <n v="804.43"/>
    <n v="8"/>
    <x v="11"/>
    <n v="2024"/>
    <n v="128.84"/>
    <n v="0.16016309685118657"/>
  </r>
  <r>
    <n v="11089"/>
    <d v="2024-12-24T00:00:00"/>
    <x v="1"/>
    <x v="2"/>
    <s v="Chairs"/>
    <x v="1"/>
    <n v="519.87"/>
    <n v="4"/>
    <x v="11"/>
    <n v="2024"/>
    <n v="241.21"/>
    <n v="0.4639813799603747"/>
  </r>
  <r>
    <n v="11090"/>
    <d v="2024-12-25T00:00:00"/>
    <x v="3"/>
    <x v="2"/>
    <s v="Phones"/>
    <x v="2"/>
    <n v="900.01"/>
    <n v="5"/>
    <x v="11"/>
    <n v="2024"/>
    <n v="222.37"/>
    <n v="0.24707503249963891"/>
  </r>
  <r>
    <n v="11091"/>
    <d v="2024-12-26T00:00:00"/>
    <x v="1"/>
    <x v="1"/>
    <s v="Accessories"/>
    <x v="3"/>
    <n v="304.29000000000002"/>
    <n v="6"/>
    <x v="11"/>
    <n v="2024"/>
    <n v="-47.12"/>
    <n v="-0.15485227907588153"/>
  </r>
  <r>
    <n v="11092"/>
    <d v="2024-12-27T00:00:00"/>
    <x v="0"/>
    <x v="1"/>
    <s v="Accessories"/>
    <x v="4"/>
    <n v="440.07"/>
    <n v="8"/>
    <x v="11"/>
    <n v="2024"/>
    <n v="185.57"/>
    <n v="0.4216829140818506"/>
  </r>
  <r>
    <n v="11093"/>
    <d v="2024-12-28T00:00:00"/>
    <x v="1"/>
    <x v="0"/>
    <s v="Chairs"/>
    <x v="0"/>
    <n v="903.67"/>
    <n v="8"/>
    <x v="11"/>
    <n v="2024"/>
    <n v="74.17"/>
    <n v="8.2076421702612687E-2"/>
  </r>
  <r>
    <n v="11094"/>
    <d v="2024-12-29T00:00:00"/>
    <x v="0"/>
    <x v="0"/>
    <s v="Tables"/>
    <x v="2"/>
    <n v="901.44"/>
    <n v="7"/>
    <x v="11"/>
    <n v="2024"/>
    <n v="17.86"/>
    <n v="1.9812744053958109E-2"/>
  </r>
  <r>
    <n v="11095"/>
    <d v="2024-12-30T00:00:00"/>
    <x v="3"/>
    <x v="2"/>
    <s v="Phones"/>
    <x v="1"/>
    <n v="701.43"/>
    <n v="4"/>
    <x v="11"/>
    <n v="2024"/>
    <n v="-79.989999999999995"/>
    <n v="-0.11403846428011348"/>
  </r>
  <r>
    <n v="11096"/>
    <d v="2024-12-31T00:00:00"/>
    <x v="3"/>
    <x v="0"/>
    <s v="Accessories"/>
    <x v="4"/>
    <n v="866.03"/>
    <n v="6"/>
    <x v="11"/>
    <n v="2024"/>
    <n v="94.9"/>
    <n v="0.10958049952080183"/>
  </r>
  <r>
    <n v="11097"/>
    <d v="2025-01-01T00:00:00"/>
    <x v="3"/>
    <x v="2"/>
    <s v="Accessories"/>
    <x v="3"/>
    <n v="134.33000000000001"/>
    <n v="4"/>
    <x v="0"/>
    <n v="2025"/>
    <n v="42.17"/>
    <n v="0.31392838531973494"/>
  </r>
  <r>
    <n v="11098"/>
    <d v="2025-01-02T00:00:00"/>
    <x v="3"/>
    <x v="2"/>
    <s v="Tables"/>
    <x v="0"/>
    <n v="871.75"/>
    <n v="7"/>
    <x v="0"/>
    <n v="2025"/>
    <n v="0.61"/>
    <n v="6.9974189848006881E-4"/>
  </r>
  <r>
    <n v="11099"/>
    <d v="2025-01-03T00:00:00"/>
    <x v="3"/>
    <x v="0"/>
    <s v="Chairs"/>
    <x v="1"/>
    <n v="354.59"/>
    <n v="1"/>
    <x v="0"/>
    <n v="2025"/>
    <n v="177.87"/>
    <n v="0.50162159113342175"/>
  </r>
  <r>
    <n v="11100"/>
    <d v="2025-01-04T00:00:00"/>
    <x v="0"/>
    <x v="2"/>
    <s v="Phones"/>
    <x v="3"/>
    <n v="219.41"/>
    <n v="5"/>
    <x v="0"/>
    <n v="2025"/>
    <n v="207.79"/>
    <n v="0.94703978852376824"/>
  </r>
  <r>
    <n v="11101"/>
    <d v="2025-01-05T00:00:00"/>
    <x v="0"/>
    <x v="1"/>
    <s v="Chairs"/>
    <x v="3"/>
    <n v="277.39999999999998"/>
    <n v="4"/>
    <x v="0"/>
    <n v="2025"/>
    <n v="-2.08"/>
    <n v="-7.498197548666187E-3"/>
  </r>
  <r>
    <n v="11102"/>
    <d v="2025-01-06T00:00:00"/>
    <x v="3"/>
    <x v="0"/>
    <s v="Chairs"/>
    <x v="2"/>
    <n v="447.07"/>
    <n v="7"/>
    <x v="0"/>
    <n v="2025"/>
    <n v="-80.22"/>
    <n v="-0.17943498780951528"/>
  </r>
  <r>
    <n v="11103"/>
    <d v="2025-01-07T00:00:00"/>
    <x v="1"/>
    <x v="1"/>
    <s v="Phones"/>
    <x v="2"/>
    <n v="288.63"/>
    <n v="9"/>
    <x v="0"/>
    <n v="2025"/>
    <n v="239.5"/>
    <n v="0.82978207393548831"/>
  </r>
  <r>
    <n v="11104"/>
    <d v="2025-01-08T00:00:00"/>
    <x v="2"/>
    <x v="0"/>
    <s v="Phones"/>
    <x v="1"/>
    <n v="354.54"/>
    <n v="5"/>
    <x v="0"/>
    <n v="2025"/>
    <n v="-96.02"/>
    <n v="-0.27082980763806619"/>
  </r>
  <r>
    <n v="11105"/>
    <d v="2025-01-09T00:00:00"/>
    <x v="3"/>
    <x v="2"/>
    <s v="Accessories"/>
    <x v="3"/>
    <n v="178.23"/>
    <n v="4"/>
    <x v="0"/>
    <n v="2025"/>
    <n v="274.83999999999997"/>
    <n v="1.5420524041968242"/>
  </r>
  <r>
    <n v="11106"/>
    <d v="2025-01-10T00:00:00"/>
    <x v="1"/>
    <x v="0"/>
    <s v="Accessories"/>
    <x v="2"/>
    <n v="331.37"/>
    <n v="9"/>
    <x v="0"/>
    <n v="2025"/>
    <n v="151.05000000000001"/>
    <n v="0.4558348673688023"/>
  </r>
  <r>
    <n v="11107"/>
    <d v="2025-01-11T00:00:00"/>
    <x v="2"/>
    <x v="1"/>
    <s v="Phones"/>
    <x v="0"/>
    <n v="593.66999999999996"/>
    <n v="5"/>
    <x v="0"/>
    <n v="2025"/>
    <n v="28.74"/>
    <n v="4.841073323563596E-2"/>
  </r>
  <r>
    <n v="11108"/>
    <d v="2025-01-12T00:00:00"/>
    <x v="3"/>
    <x v="2"/>
    <s v="Binders"/>
    <x v="0"/>
    <n v="469.76"/>
    <n v="9"/>
    <x v="0"/>
    <n v="2025"/>
    <n v="-1.41"/>
    <n v="-3.001532697547684E-3"/>
  </r>
  <r>
    <n v="11109"/>
    <d v="2025-01-13T00:00:00"/>
    <x v="3"/>
    <x v="0"/>
    <s v="Accessories"/>
    <x v="3"/>
    <n v="379.38"/>
    <n v="8"/>
    <x v="0"/>
    <n v="2025"/>
    <n v="-96.4"/>
    <n v="-0.25409879276714642"/>
  </r>
  <r>
    <n v="11110"/>
    <d v="2025-01-14T00:00:00"/>
    <x v="0"/>
    <x v="0"/>
    <s v="Binders"/>
    <x v="2"/>
    <n v="759.13"/>
    <n v="4"/>
    <x v="0"/>
    <n v="2025"/>
    <n v="-5.81"/>
    <n v="-7.6534980833322351E-3"/>
  </r>
  <r>
    <n v="11111"/>
    <d v="2025-01-15T00:00:00"/>
    <x v="2"/>
    <x v="0"/>
    <s v="Phones"/>
    <x v="1"/>
    <n v="898.83"/>
    <n v="7"/>
    <x v="0"/>
    <n v="2025"/>
    <n v="-44.91"/>
    <n v="-4.9964954440773E-2"/>
  </r>
  <r>
    <n v="11112"/>
    <d v="2025-01-16T00:00:00"/>
    <x v="2"/>
    <x v="1"/>
    <s v="Accessories"/>
    <x v="1"/>
    <n v="768.95"/>
    <n v="5"/>
    <x v="0"/>
    <n v="2025"/>
    <n v="144.87"/>
    <n v="0.18839976591455881"/>
  </r>
  <r>
    <n v="11113"/>
    <d v="2025-01-17T00:00:00"/>
    <x v="1"/>
    <x v="1"/>
    <s v="Chairs"/>
    <x v="1"/>
    <n v="365.4"/>
    <n v="4"/>
    <x v="0"/>
    <n v="2025"/>
    <n v="-33.380000000000003"/>
    <n v="-9.1351943076081021E-2"/>
  </r>
  <r>
    <n v="11114"/>
    <d v="2025-01-18T00:00:00"/>
    <x v="0"/>
    <x v="0"/>
    <s v="Phones"/>
    <x v="0"/>
    <n v="757.22"/>
    <n v="5"/>
    <x v="0"/>
    <n v="2025"/>
    <n v="111.45"/>
    <n v="0.14718311719183327"/>
  </r>
  <r>
    <n v="11115"/>
    <d v="2025-01-19T00:00:00"/>
    <x v="0"/>
    <x v="2"/>
    <s v="Tables"/>
    <x v="2"/>
    <n v="194.38"/>
    <n v="5"/>
    <x v="0"/>
    <n v="2025"/>
    <n v="136.05000000000001"/>
    <n v="0.69991768700483592"/>
  </r>
  <r>
    <n v="11116"/>
    <d v="2025-01-20T00:00:00"/>
    <x v="0"/>
    <x v="2"/>
    <s v="Binders"/>
    <x v="2"/>
    <n v="173.8"/>
    <n v="9"/>
    <x v="0"/>
    <n v="2025"/>
    <n v="19.22"/>
    <n v="0.11058688147295741"/>
  </r>
  <r>
    <n v="11117"/>
    <d v="2025-01-21T00:00:00"/>
    <x v="0"/>
    <x v="1"/>
    <s v="Phones"/>
    <x v="0"/>
    <n v="378.35"/>
    <n v="9"/>
    <x v="0"/>
    <n v="2025"/>
    <n v="-85.97"/>
    <n v="-0.22722347033170343"/>
  </r>
  <r>
    <n v="11118"/>
    <d v="2025-01-22T00:00:00"/>
    <x v="2"/>
    <x v="2"/>
    <s v="Phones"/>
    <x v="1"/>
    <n v="817.32"/>
    <n v="6"/>
    <x v="0"/>
    <n v="2025"/>
    <n v="-85.1"/>
    <n v="-0.10412078500464933"/>
  </r>
  <r>
    <n v="11119"/>
    <d v="2025-01-23T00:00:00"/>
    <x v="2"/>
    <x v="1"/>
    <s v="Accessories"/>
    <x v="1"/>
    <n v="284.02999999999997"/>
    <n v="4"/>
    <x v="0"/>
    <n v="2025"/>
    <n v="-89.46"/>
    <n v="-0.31496672886666904"/>
  </r>
  <r>
    <n v="11120"/>
    <d v="2025-01-24T00:00:00"/>
    <x v="3"/>
    <x v="0"/>
    <s v="Accessories"/>
    <x v="3"/>
    <n v="110.09"/>
    <n v="2"/>
    <x v="0"/>
    <n v="2025"/>
    <n v="195.65"/>
    <n v="1.7771823053865019"/>
  </r>
  <r>
    <n v="11121"/>
    <d v="2025-01-25T00:00:00"/>
    <x v="3"/>
    <x v="1"/>
    <s v="Accessories"/>
    <x v="4"/>
    <n v="175.12"/>
    <n v="3"/>
    <x v="0"/>
    <n v="2025"/>
    <n v="27.2"/>
    <n v="0.15532206486980354"/>
  </r>
  <r>
    <n v="11122"/>
    <d v="2025-01-26T00:00:00"/>
    <x v="0"/>
    <x v="1"/>
    <s v="Tables"/>
    <x v="2"/>
    <n v="865.81"/>
    <n v="2"/>
    <x v="0"/>
    <n v="2025"/>
    <n v="218.52"/>
    <n v="0.25238793730726145"/>
  </r>
  <r>
    <n v="11123"/>
    <d v="2025-01-27T00:00:00"/>
    <x v="0"/>
    <x v="0"/>
    <s v="Accessories"/>
    <x v="2"/>
    <n v="652.09"/>
    <n v="5"/>
    <x v="0"/>
    <n v="2025"/>
    <n v="72.69"/>
    <n v="0.11147234277477035"/>
  </r>
  <r>
    <n v="11124"/>
    <d v="2025-01-28T00:00:00"/>
    <x v="0"/>
    <x v="2"/>
    <s v="Phones"/>
    <x v="2"/>
    <n v="290.54000000000002"/>
    <n v="6"/>
    <x v="0"/>
    <n v="2025"/>
    <n v="81.2"/>
    <n v="0.27947958972946924"/>
  </r>
  <r>
    <n v="11125"/>
    <d v="2025-01-29T00:00:00"/>
    <x v="3"/>
    <x v="1"/>
    <s v="Accessories"/>
    <x v="4"/>
    <n v="577.53"/>
    <n v="5"/>
    <x v="0"/>
    <n v="2025"/>
    <n v="105.15"/>
    <n v="0.18206846397589738"/>
  </r>
  <r>
    <n v="11126"/>
    <d v="2025-01-30T00:00:00"/>
    <x v="1"/>
    <x v="1"/>
    <s v="Chairs"/>
    <x v="3"/>
    <n v="551.20000000000005"/>
    <n v="2"/>
    <x v="0"/>
    <n v="2025"/>
    <n v="185.21"/>
    <n v="0.3360123367198839"/>
  </r>
  <r>
    <n v="11127"/>
    <d v="2025-01-31T00:00:00"/>
    <x v="1"/>
    <x v="0"/>
    <s v="Accessories"/>
    <x v="4"/>
    <n v="672.66"/>
    <n v="5"/>
    <x v="0"/>
    <n v="2025"/>
    <n v="9.4"/>
    <n v="1.3974370410013976E-2"/>
  </r>
  <r>
    <n v="11128"/>
    <d v="2025-02-01T00:00:00"/>
    <x v="3"/>
    <x v="2"/>
    <s v="Tables"/>
    <x v="1"/>
    <n v="271.52999999999997"/>
    <n v="9"/>
    <x v="1"/>
    <n v="2025"/>
    <n v="-51.37"/>
    <n v="-0.18918719846794094"/>
  </r>
  <r>
    <n v="11129"/>
    <d v="2025-02-02T00:00:00"/>
    <x v="3"/>
    <x v="1"/>
    <s v="Chairs"/>
    <x v="1"/>
    <n v="871.18"/>
    <n v="4"/>
    <x v="1"/>
    <n v="2025"/>
    <n v="122.42"/>
    <n v="0.14052205055212472"/>
  </r>
  <r>
    <n v="11130"/>
    <d v="2025-02-03T00:00:00"/>
    <x v="3"/>
    <x v="0"/>
    <s v="Phones"/>
    <x v="2"/>
    <n v="343.9"/>
    <n v="2"/>
    <x v="1"/>
    <n v="2025"/>
    <n v="30.79"/>
    <n v="8.953184065135214E-2"/>
  </r>
  <r>
    <n v="11131"/>
    <d v="2025-02-04T00:00:00"/>
    <x v="3"/>
    <x v="1"/>
    <s v="Phones"/>
    <x v="0"/>
    <n v="709.43"/>
    <n v="3"/>
    <x v="1"/>
    <n v="2025"/>
    <n v="77"/>
    <n v="0.10853784023793751"/>
  </r>
  <r>
    <n v="11132"/>
    <d v="2025-02-05T00:00:00"/>
    <x v="3"/>
    <x v="0"/>
    <s v="Binders"/>
    <x v="2"/>
    <n v="65.319999999999993"/>
    <n v="3"/>
    <x v="1"/>
    <n v="2025"/>
    <n v="158.78"/>
    <n v="2.4308022045315374"/>
  </r>
  <r>
    <n v="11133"/>
    <d v="2025-02-06T00:00:00"/>
    <x v="3"/>
    <x v="2"/>
    <s v="Chairs"/>
    <x v="0"/>
    <n v="404.02"/>
    <n v="9"/>
    <x v="1"/>
    <n v="2025"/>
    <n v="97.65"/>
    <n v="0.24169595564576013"/>
  </r>
  <r>
    <n v="11134"/>
    <d v="2025-02-07T00:00:00"/>
    <x v="0"/>
    <x v="2"/>
    <s v="Binders"/>
    <x v="4"/>
    <n v="384.12"/>
    <n v="4"/>
    <x v="1"/>
    <n v="2025"/>
    <n v="148.11000000000001"/>
    <n v="0.38558263042799129"/>
  </r>
  <r>
    <n v="11135"/>
    <d v="2025-02-08T00:00:00"/>
    <x v="0"/>
    <x v="2"/>
    <s v="Chairs"/>
    <x v="1"/>
    <n v="566.30999999999995"/>
    <n v="1"/>
    <x v="1"/>
    <n v="2025"/>
    <n v="117.68"/>
    <n v="0.2078013808691353"/>
  </r>
  <r>
    <n v="11136"/>
    <d v="2025-02-09T00:00:00"/>
    <x v="0"/>
    <x v="2"/>
    <s v="Chairs"/>
    <x v="0"/>
    <n v="119.1"/>
    <n v="1"/>
    <x v="1"/>
    <n v="2025"/>
    <n v="195.92"/>
    <n v="1.6450041981528127"/>
  </r>
  <r>
    <n v="11137"/>
    <d v="2025-02-10T00:00:00"/>
    <x v="0"/>
    <x v="1"/>
    <s v="Tables"/>
    <x v="4"/>
    <n v="800.62"/>
    <n v="7"/>
    <x v="1"/>
    <n v="2025"/>
    <n v="182.37"/>
    <n v="0.22778596587644576"/>
  </r>
  <r>
    <n v="11138"/>
    <d v="2025-02-11T00:00:00"/>
    <x v="3"/>
    <x v="1"/>
    <s v="Binders"/>
    <x v="1"/>
    <n v="256.89"/>
    <n v="7"/>
    <x v="1"/>
    <n v="2025"/>
    <n v="113.68"/>
    <n v="0.44252403752578928"/>
  </r>
  <r>
    <n v="11139"/>
    <d v="2025-02-12T00:00:00"/>
    <x v="1"/>
    <x v="2"/>
    <s v="Tables"/>
    <x v="0"/>
    <n v="693.19"/>
    <n v="2"/>
    <x v="1"/>
    <n v="2025"/>
    <n v="171.56"/>
    <n v="0.24749347220819687"/>
  </r>
  <r>
    <n v="11140"/>
    <d v="2025-02-13T00:00:00"/>
    <x v="2"/>
    <x v="2"/>
    <s v="Chairs"/>
    <x v="2"/>
    <n v="813.05"/>
    <n v="9"/>
    <x v="1"/>
    <n v="2025"/>
    <n v="249.42"/>
    <n v="0.30677080130373285"/>
  </r>
  <r>
    <n v="11141"/>
    <d v="2025-02-14T00:00:00"/>
    <x v="3"/>
    <x v="2"/>
    <s v="Phones"/>
    <x v="2"/>
    <n v="583.78"/>
    <n v="9"/>
    <x v="1"/>
    <n v="2025"/>
    <n v="72.91"/>
    <n v="0.12489293912090171"/>
  </r>
  <r>
    <n v="11142"/>
    <d v="2025-02-15T00:00:00"/>
    <x v="2"/>
    <x v="1"/>
    <s v="Chairs"/>
    <x v="2"/>
    <n v="753.84"/>
    <n v="5"/>
    <x v="1"/>
    <n v="2025"/>
    <n v="65.11"/>
    <n v="8.6371113233577407E-2"/>
  </r>
  <r>
    <n v="11143"/>
    <d v="2025-02-16T00:00:00"/>
    <x v="1"/>
    <x v="2"/>
    <s v="Tables"/>
    <x v="4"/>
    <n v="678.77"/>
    <n v="3"/>
    <x v="1"/>
    <n v="2025"/>
    <n v="205.7"/>
    <n v="0.30304816064351692"/>
  </r>
  <r>
    <n v="11144"/>
    <d v="2025-02-17T00:00:00"/>
    <x v="0"/>
    <x v="2"/>
    <s v="Binders"/>
    <x v="2"/>
    <n v="387.75"/>
    <n v="3"/>
    <x v="1"/>
    <n v="2025"/>
    <n v="133.02000000000001"/>
    <n v="0.34305609284332689"/>
  </r>
  <r>
    <n v="11145"/>
    <d v="2025-02-18T00:00:00"/>
    <x v="1"/>
    <x v="2"/>
    <s v="Binders"/>
    <x v="3"/>
    <n v="818.42"/>
    <n v="3"/>
    <x v="1"/>
    <n v="2025"/>
    <n v="-71.599999999999994"/>
    <n v="-8.7485643068351215E-2"/>
  </r>
  <r>
    <n v="11146"/>
    <d v="2025-02-19T00:00:00"/>
    <x v="3"/>
    <x v="0"/>
    <s v="Tables"/>
    <x v="1"/>
    <n v="329.97"/>
    <n v="6"/>
    <x v="1"/>
    <n v="2025"/>
    <n v="256.83999999999997"/>
    <n v="0.77837379155680808"/>
  </r>
  <r>
    <n v="11147"/>
    <d v="2025-02-20T00:00:00"/>
    <x v="0"/>
    <x v="2"/>
    <s v="Binders"/>
    <x v="4"/>
    <n v="592.65"/>
    <n v="4"/>
    <x v="1"/>
    <n v="2025"/>
    <n v="-87.69"/>
    <n v="-0.14796254112882815"/>
  </r>
  <r>
    <n v="11148"/>
    <d v="2025-02-21T00:00:00"/>
    <x v="3"/>
    <x v="0"/>
    <s v="Accessories"/>
    <x v="2"/>
    <n v="758.13"/>
    <n v="8"/>
    <x v="1"/>
    <n v="2025"/>
    <n v="199.36"/>
    <n v="0.26296281640351921"/>
  </r>
  <r>
    <n v="11149"/>
    <d v="2025-02-22T00:00:00"/>
    <x v="0"/>
    <x v="0"/>
    <s v="Phones"/>
    <x v="1"/>
    <n v="410.01"/>
    <n v="5"/>
    <x v="1"/>
    <n v="2025"/>
    <n v="203.52"/>
    <n v="0.4963781371186069"/>
  </r>
  <r>
    <n v="11150"/>
    <d v="2025-02-23T00:00:00"/>
    <x v="2"/>
    <x v="2"/>
    <s v="Phones"/>
    <x v="0"/>
    <n v="337.63"/>
    <n v="1"/>
    <x v="1"/>
    <n v="2025"/>
    <n v="281.24"/>
    <n v="0.83298285104996594"/>
  </r>
  <r>
    <n v="11151"/>
    <d v="2025-02-24T00:00:00"/>
    <x v="2"/>
    <x v="0"/>
    <s v="Phones"/>
    <x v="2"/>
    <n v="486.38"/>
    <n v="9"/>
    <x v="1"/>
    <n v="2025"/>
    <n v="-78.349999999999994"/>
    <n v="-0.16108803815946379"/>
  </r>
  <r>
    <n v="11152"/>
    <d v="2025-02-25T00:00:00"/>
    <x v="2"/>
    <x v="2"/>
    <s v="Binders"/>
    <x v="1"/>
    <n v="827.07"/>
    <n v="1"/>
    <x v="1"/>
    <n v="2025"/>
    <n v="138.74"/>
    <n v="0.16774879998065459"/>
  </r>
  <r>
    <n v="11153"/>
    <d v="2025-02-26T00:00:00"/>
    <x v="1"/>
    <x v="1"/>
    <s v="Binders"/>
    <x v="3"/>
    <n v="933.43"/>
    <n v="6"/>
    <x v="1"/>
    <n v="2025"/>
    <n v="71.14"/>
    <n v="7.6213535026729382E-2"/>
  </r>
  <r>
    <n v="11154"/>
    <d v="2025-02-27T00:00:00"/>
    <x v="3"/>
    <x v="1"/>
    <s v="Chairs"/>
    <x v="0"/>
    <n v="567.83000000000004"/>
    <n v="1"/>
    <x v="1"/>
    <n v="2025"/>
    <n v="32.25"/>
    <n v="5.6795167567757952E-2"/>
  </r>
  <r>
    <n v="11155"/>
    <d v="2025-02-28T00:00:00"/>
    <x v="1"/>
    <x v="1"/>
    <s v="Chairs"/>
    <x v="3"/>
    <n v="678.39"/>
    <n v="3"/>
    <x v="1"/>
    <n v="2025"/>
    <n v="-63.87"/>
    <n v="-9.414938309821784E-2"/>
  </r>
  <r>
    <n v="11156"/>
    <d v="2025-03-01T00:00:00"/>
    <x v="2"/>
    <x v="1"/>
    <s v="Phones"/>
    <x v="1"/>
    <n v="908.11"/>
    <n v="5"/>
    <x v="2"/>
    <n v="2025"/>
    <n v="125.06"/>
    <n v="0.1377145940469767"/>
  </r>
  <r>
    <n v="11157"/>
    <d v="2025-03-02T00:00:00"/>
    <x v="3"/>
    <x v="0"/>
    <s v="Accessories"/>
    <x v="3"/>
    <n v="143.62"/>
    <n v="7"/>
    <x v="2"/>
    <n v="2025"/>
    <n v="91.62"/>
    <n v="0.63793343545467207"/>
  </r>
  <r>
    <n v="11158"/>
    <d v="2025-03-03T00:00:00"/>
    <x v="2"/>
    <x v="2"/>
    <s v="Chairs"/>
    <x v="1"/>
    <n v="270.47000000000003"/>
    <n v="8"/>
    <x v="2"/>
    <n v="2025"/>
    <n v="-58.18"/>
    <n v="-0.21510703590046953"/>
  </r>
  <r>
    <n v="11159"/>
    <d v="2025-03-04T00:00:00"/>
    <x v="1"/>
    <x v="2"/>
    <s v="Chairs"/>
    <x v="1"/>
    <n v="723.46"/>
    <n v="9"/>
    <x v="2"/>
    <n v="2025"/>
    <n v="145"/>
    <n v="0.20042573189948304"/>
  </r>
  <r>
    <n v="11160"/>
    <d v="2025-03-05T00:00:00"/>
    <x v="1"/>
    <x v="2"/>
    <s v="Binders"/>
    <x v="3"/>
    <n v="832.56"/>
    <n v="6"/>
    <x v="2"/>
    <n v="2025"/>
    <n v="195.18"/>
    <n v="0.23443355433842608"/>
  </r>
  <r>
    <n v="11161"/>
    <d v="2025-03-06T00:00:00"/>
    <x v="1"/>
    <x v="1"/>
    <s v="Accessories"/>
    <x v="1"/>
    <n v="864.18"/>
    <n v="9"/>
    <x v="2"/>
    <n v="2025"/>
    <n v="206.91"/>
    <n v="0.23942928556550719"/>
  </r>
  <r>
    <n v="11162"/>
    <d v="2025-03-07T00:00:00"/>
    <x v="2"/>
    <x v="1"/>
    <s v="Phones"/>
    <x v="2"/>
    <n v="444.35"/>
    <n v="8"/>
    <x v="2"/>
    <n v="2025"/>
    <n v="262.14999999999998"/>
    <n v="0.5899628671092606"/>
  </r>
  <r>
    <n v="11163"/>
    <d v="2025-03-08T00:00:00"/>
    <x v="3"/>
    <x v="2"/>
    <s v="Chairs"/>
    <x v="1"/>
    <n v="134.87"/>
    <n v="9"/>
    <x v="2"/>
    <n v="2025"/>
    <n v="63.79"/>
    <n v="0.47297397493882998"/>
  </r>
  <r>
    <n v="11164"/>
    <d v="2025-03-09T00:00:00"/>
    <x v="3"/>
    <x v="1"/>
    <s v="Accessories"/>
    <x v="4"/>
    <n v="465.89"/>
    <n v="4"/>
    <x v="2"/>
    <n v="2025"/>
    <n v="281.23"/>
    <n v="0.6036403442872782"/>
  </r>
  <r>
    <n v="11165"/>
    <d v="2025-03-10T00:00:00"/>
    <x v="2"/>
    <x v="2"/>
    <s v="Accessories"/>
    <x v="1"/>
    <n v="269.2"/>
    <n v="9"/>
    <x v="2"/>
    <n v="2025"/>
    <n v="246.17"/>
    <n v="0.91445022288261513"/>
  </r>
  <r>
    <n v="11166"/>
    <d v="2025-03-11T00:00:00"/>
    <x v="3"/>
    <x v="2"/>
    <s v="Phones"/>
    <x v="4"/>
    <n v="326.64"/>
    <n v="7"/>
    <x v="2"/>
    <n v="2025"/>
    <n v="18.600000000000001"/>
    <n v="5.6943423952975761E-2"/>
  </r>
  <r>
    <n v="11167"/>
    <d v="2025-03-12T00:00:00"/>
    <x v="2"/>
    <x v="2"/>
    <s v="Accessories"/>
    <x v="1"/>
    <n v="783.65"/>
    <n v="5"/>
    <x v="2"/>
    <n v="2025"/>
    <n v="-36.29"/>
    <n v="-4.6308938939577618E-2"/>
  </r>
  <r>
    <n v="11168"/>
    <d v="2025-03-13T00:00:00"/>
    <x v="3"/>
    <x v="2"/>
    <s v="Accessories"/>
    <x v="1"/>
    <n v="121.75"/>
    <n v="5"/>
    <x v="2"/>
    <n v="2025"/>
    <n v="74.16"/>
    <n v="0.60911704312114989"/>
  </r>
  <r>
    <n v="11169"/>
    <d v="2025-03-14T00:00:00"/>
    <x v="0"/>
    <x v="2"/>
    <s v="Accessories"/>
    <x v="3"/>
    <n v="836.2"/>
    <n v="1"/>
    <x v="2"/>
    <n v="2025"/>
    <n v="60.76"/>
    <n v="7.2662042573546998E-2"/>
  </r>
  <r>
    <n v="11170"/>
    <d v="2025-03-15T00:00:00"/>
    <x v="0"/>
    <x v="2"/>
    <s v="Chairs"/>
    <x v="2"/>
    <n v="456.29"/>
    <n v="2"/>
    <x v="2"/>
    <n v="2025"/>
    <n v="130.29"/>
    <n v="0.28554208946065002"/>
  </r>
  <r>
    <n v="11171"/>
    <d v="2025-03-16T00:00:00"/>
    <x v="1"/>
    <x v="2"/>
    <s v="Phones"/>
    <x v="2"/>
    <n v="616.26"/>
    <n v="3"/>
    <x v="2"/>
    <n v="2025"/>
    <n v="133.35"/>
    <n v="0.21638594099892902"/>
  </r>
  <r>
    <n v="11172"/>
    <d v="2025-03-17T00:00:00"/>
    <x v="0"/>
    <x v="1"/>
    <s v="Accessories"/>
    <x v="0"/>
    <n v="135.16999999999999"/>
    <n v="8"/>
    <x v="2"/>
    <n v="2025"/>
    <n v="199.99"/>
    <n v="1.4795442775763854"/>
  </r>
  <r>
    <n v="11173"/>
    <d v="2025-03-18T00:00:00"/>
    <x v="0"/>
    <x v="2"/>
    <s v="Accessories"/>
    <x v="3"/>
    <n v="370.49"/>
    <n v="6"/>
    <x v="2"/>
    <n v="2025"/>
    <n v="103.96"/>
    <n v="0.28060136575885986"/>
  </r>
  <r>
    <n v="11174"/>
    <d v="2025-03-19T00:00:00"/>
    <x v="0"/>
    <x v="2"/>
    <s v="Chairs"/>
    <x v="3"/>
    <n v="135.22"/>
    <n v="5"/>
    <x v="2"/>
    <n v="2025"/>
    <n v="-58.07"/>
    <n v="-0.42944830646354093"/>
  </r>
  <r>
    <n v="11175"/>
    <d v="2025-03-20T00:00:00"/>
    <x v="2"/>
    <x v="1"/>
    <s v="Phones"/>
    <x v="2"/>
    <n v="963.47"/>
    <n v="1"/>
    <x v="2"/>
    <n v="2025"/>
    <n v="243.32"/>
    <n v="0.25254548662646475"/>
  </r>
  <r>
    <n v="11176"/>
    <d v="2025-03-21T00:00:00"/>
    <x v="0"/>
    <x v="1"/>
    <s v="Binders"/>
    <x v="3"/>
    <n v="816.9"/>
    <n v="9"/>
    <x v="2"/>
    <n v="2025"/>
    <n v="23.91"/>
    <n v="2.9269188395152405E-2"/>
  </r>
  <r>
    <n v="11177"/>
    <d v="2025-03-22T00:00:00"/>
    <x v="0"/>
    <x v="1"/>
    <s v="Chairs"/>
    <x v="2"/>
    <n v="486.65"/>
    <n v="3"/>
    <x v="2"/>
    <n v="2025"/>
    <n v="288.52"/>
    <n v="0.59286961882256239"/>
  </r>
  <r>
    <n v="11178"/>
    <d v="2025-03-23T00:00:00"/>
    <x v="1"/>
    <x v="2"/>
    <s v="Phones"/>
    <x v="3"/>
    <n v="262.42"/>
    <n v="3"/>
    <x v="2"/>
    <n v="2025"/>
    <n v="-52.86"/>
    <n v="-0.20143281762060816"/>
  </r>
  <r>
    <n v="11179"/>
    <d v="2025-03-24T00:00:00"/>
    <x v="0"/>
    <x v="0"/>
    <s v="Accessories"/>
    <x v="1"/>
    <n v="936.78"/>
    <n v="2"/>
    <x v="2"/>
    <n v="2025"/>
    <n v="283.3"/>
    <n v="0.30241892440060636"/>
  </r>
  <r>
    <n v="11180"/>
    <d v="2025-03-25T00:00:00"/>
    <x v="0"/>
    <x v="0"/>
    <s v="Phones"/>
    <x v="2"/>
    <n v="377.37"/>
    <n v="4"/>
    <x v="2"/>
    <n v="2025"/>
    <n v="-63.6"/>
    <n v="-0.16853485968677956"/>
  </r>
  <r>
    <n v="11181"/>
    <d v="2025-03-26T00:00:00"/>
    <x v="3"/>
    <x v="1"/>
    <s v="Phones"/>
    <x v="2"/>
    <n v="202.94"/>
    <n v="2"/>
    <x v="2"/>
    <n v="2025"/>
    <n v="-7.59"/>
    <n v="-3.7400216812851092E-2"/>
  </r>
  <r>
    <n v="11182"/>
    <d v="2025-03-27T00:00:00"/>
    <x v="1"/>
    <x v="0"/>
    <s v="Phones"/>
    <x v="4"/>
    <n v="585.01"/>
    <n v="9"/>
    <x v="2"/>
    <n v="2025"/>
    <n v="-81.37"/>
    <n v="-0.13909163945915456"/>
  </r>
  <r>
    <n v="11183"/>
    <d v="2025-03-28T00:00:00"/>
    <x v="1"/>
    <x v="1"/>
    <s v="Binders"/>
    <x v="3"/>
    <n v="946.59"/>
    <n v="7"/>
    <x v="2"/>
    <n v="2025"/>
    <n v="182.05"/>
    <n v="0.19232191339439461"/>
  </r>
  <r>
    <n v="11184"/>
    <d v="2025-03-29T00:00:00"/>
    <x v="1"/>
    <x v="2"/>
    <s v="Phones"/>
    <x v="3"/>
    <n v="53.64"/>
    <n v="8"/>
    <x v="2"/>
    <n v="2025"/>
    <n v="240.12"/>
    <n v="4.476510067114094"/>
  </r>
  <r>
    <n v="11185"/>
    <d v="2025-03-30T00:00:00"/>
    <x v="1"/>
    <x v="0"/>
    <s v="Binders"/>
    <x v="2"/>
    <n v="276.22000000000003"/>
    <n v="3"/>
    <x v="2"/>
    <n v="2025"/>
    <n v="73.63"/>
    <n v="0.26656288465715727"/>
  </r>
  <r>
    <n v="11186"/>
    <d v="2025-03-31T00:00:00"/>
    <x v="1"/>
    <x v="2"/>
    <s v="Accessories"/>
    <x v="1"/>
    <n v="941.53"/>
    <n v="6"/>
    <x v="2"/>
    <n v="2025"/>
    <n v="271.41000000000003"/>
    <n v="0.28826484551740256"/>
  </r>
  <r>
    <n v="11187"/>
    <d v="2025-04-01T00:00:00"/>
    <x v="1"/>
    <x v="0"/>
    <s v="Binders"/>
    <x v="1"/>
    <n v="212.53"/>
    <n v="6"/>
    <x v="3"/>
    <n v="2025"/>
    <n v="136.12"/>
    <n v="0.64047428598315537"/>
  </r>
  <r>
    <n v="11188"/>
    <d v="2025-04-02T00:00:00"/>
    <x v="2"/>
    <x v="2"/>
    <s v="Accessories"/>
    <x v="1"/>
    <n v="157.58000000000001"/>
    <n v="1"/>
    <x v="3"/>
    <n v="2025"/>
    <n v="152"/>
    <n v="0.96458941490036798"/>
  </r>
  <r>
    <n v="11189"/>
    <d v="2025-04-03T00:00:00"/>
    <x v="0"/>
    <x v="0"/>
    <s v="Accessories"/>
    <x v="3"/>
    <n v="591.67999999999995"/>
    <n v="6"/>
    <x v="3"/>
    <n v="2025"/>
    <n v="238.17"/>
    <n v="0.40253177393185507"/>
  </r>
  <r>
    <n v="11190"/>
    <d v="2025-04-04T00:00:00"/>
    <x v="1"/>
    <x v="2"/>
    <s v="Binders"/>
    <x v="4"/>
    <n v="868.75"/>
    <n v="3"/>
    <x v="3"/>
    <n v="2025"/>
    <n v="18.72"/>
    <n v="2.1548201438848918E-2"/>
  </r>
  <r>
    <n v="11191"/>
    <d v="2025-04-05T00:00:00"/>
    <x v="0"/>
    <x v="2"/>
    <s v="Chairs"/>
    <x v="2"/>
    <n v="503.25"/>
    <n v="3"/>
    <x v="3"/>
    <n v="2025"/>
    <n v="41.71"/>
    <n v="8.2881271733730749E-2"/>
  </r>
  <r>
    <n v="11192"/>
    <d v="2025-04-06T00:00:00"/>
    <x v="0"/>
    <x v="0"/>
    <s v="Tables"/>
    <x v="0"/>
    <n v="994.84"/>
    <n v="3"/>
    <x v="3"/>
    <n v="2025"/>
    <n v="262.38"/>
    <n v="0.26374090305978848"/>
  </r>
  <r>
    <n v="11193"/>
    <d v="2025-04-07T00:00:00"/>
    <x v="2"/>
    <x v="2"/>
    <s v="Phones"/>
    <x v="4"/>
    <n v="695.21"/>
    <n v="8"/>
    <x v="3"/>
    <n v="2025"/>
    <n v="260.39"/>
    <n v="0.37454869751585845"/>
  </r>
  <r>
    <n v="11194"/>
    <d v="2025-04-08T00:00:00"/>
    <x v="1"/>
    <x v="2"/>
    <s v="Tables"/>
    <x v="0"/>
    <n v="120.37"/>
    <n v="5"/>
    <x v="3"/>
    <n v="2025"/>
    <n v="290.58999999999997"/>
    <n v="2.4141397358145715"/>
  </r>
  <r>
    <n v="11195"/>
    <d v="2025-04-09T00:00:00"/>
    <x v="3"/>
    <x v="2"/>
    <s v="Phones"/>
    <x v="4"/>
    <n v="993.19"/>
    <n v="4"/>
    <x v="3"/>
    <n v="2025"/>
    <n v="260.74"/>
    <n v="0.26252781441617412"/>
  </r>
  <r>
    <n v="11196"/>
    <d v="2025-04-10T00:00:00"/>
    <x v="2"/>
    <x v="0"/>
    <s v="Phones"/>
    <x v="1"/>
    <n v="437.5"/>
    <n v="9"/>
    <x v="3"/>
    <n v="2025"/>
    <n v="-49.05"/>
    <n v="-0.11211428571428571"/>
  </r>
  <r>
    <n v="11197"/>
    <d v="2025-04-11T00:00:00"/>
    <x v="3"/>
    <x v="0"/>
    <s v="Accessories"/>
    <x v="3"/>
    <n v="323.02999999999997"/>
    <n v="9"/>
    <x v="3"/>
    <n v="2025"/>
    <n v="229.49"/>
    <n v="0.71042937188496436"/>
  </r>
  <r>
    <n v="11198"/>
    <d v="2025-04-12T00:00:00"/>
    <x v="0"/>
    <x v="2"/>
    <s v="Phones"/>
    <x v="0"/>
    <n v="579.99"/>
    <n v="1"/>
    <x v="3"/>
    <n v="2025"/>
    <n v="63.94"/>
    <n v="0.11024328005655269"/>
  </r>
  <r>
    <n v="11199"/>
    <d v="2025-04-13T00:00:00"/>
    <x v="0"/>
    <x v="2"/>
    <s v="Phones"/>
    <x v="4"/>
    <n v="339.09"/>
    <n v="2"/>
    <x v="3"/>
    <n v="2025"/>
    <n v="296.32"/>
    <n v="0.87386829455306858"/>
  </r>
  <r>
    <n v="11200"/>
    <d v="2025-04-14T00:00:00"/>
    <x v="2"/>
    <x v="0"/>
    <s v="Binders"/>
    <x v="3"/>
    <n v="132.13"/>
    <n v="8"/>
    <x v="3"/>
    <n v="2025"/>
    <n v="88.91"/>
    <n v="0.67289790357980772"/>
  </r>
  <r>
    <n v="11201"/>
    <d v="2025-04-15T00:00:00"/>
    <x v="2"/>
    <x v="0"/>
    <s v="Tables"/>
    <x v="0"/>
    <n v="51.36"/>
    <n v="5"/>
    <x v="3"/>
    <n v="2025"/>
    <n v="121.53"/>
    <n v="2.3662383177570092"/>
  </r>
  <r>
    <n v="11202"/>
    <d v="2025-04-16T00:00:00"/>
    <x v="3"/>
    <x v="2"/>
    <s v="Binders"/>
    <x v="2"/>
    <n v="477.1"/>
    <n v="7"/>
    <x v="3"/>
    <n v="2025"/>
    <n v="111.91"/>
    <n v="0.23456298469922446"/>
  </r>
  <r>
    <n v="11203"/>
    <d v="2025-04-17T00:00:00"/>
    <x v="1"/>
    <x v="2"/>
    <s v="Phones"/>
    <x v="4"/>
    <n v="845.02"/>
    <n v="1"/>
    <x v="3"/>
    <n v="2025"/>
    <n v="28.69"/>
    <n v="3.3951859127594616E-2"/>
  </r>
  <r>
    <n v="11204"/>
    <d v="2025-04-18T00:00:00"/>
    <x v="3"/>
    <x v="2"/>
    <s v="Accessories"/>
    <x v="2"/>
    <n v="593.70000000000005"/>
    <n v="5"/>
    <x v="3"/>
    <n v="2025"/>
    <n v="-69.989999999999995"/>
    <n v="-0.11788782213239007"/>
  </r>
  <r>
    <n v="11205"/>
    <d v="2025-04-19T00:00:00"/>
    <x v="2"/>
    <x v="1"/>
    <s v="Binders"/>
    <x v="1"/>
    <n v="999.25"/>
    <n v="3"/>
    <x v="3"/>
    <n v="2025"/>
    <n v="258.26"/>
    <n v="0.25845384038028518"/>
  </r>
  <r>
    <n v="11206"/>
    <d v="2025-04-20T00:00:00"/>
    <x v="3"/>
    <x v="0"/>
    <s v="Binders"/>
    <x v="2"/>
    <n v="322.5"/>
    <n v="2"/>
    <x v="3"/>
    <n v="2025"/>
    <n v="221.07"/>
    <n v="0.68548837209302327"/>
  </r>
  <r>
    <n v="11207"/>
    <d v="2025-04-21T00:00:00"/>
    <x v="2"/>
    <x v="1"/>
    <s v="Chairs"/>
    <x v="2"/>
    <n v="316.43"/>
    <n v="2"/>
    <x v="3"/>
    <n v="2025"/>
    <n v="-44.19"/>
    <n v="-0.13965173972126535"/>
  </r>
  <r>
    <n v="11208"/>
    <d v="2025-04-22T00:00:00"/>
    <x v="3"/>
    <x v="0"/>
    <s v="Phones"/>
    <x v="4"/>
    <n v="201.76"/>
    <n v="9"/>
    <x v="3"/>
    <n v="2025"/>
    <n v="210.71"/>
    <n v="1.0443596352101507"/>
  </r>
  <r>
    <n v="11209"/>
    <d v="2025-04-23T00:00:00"/>
    <x v="2"/>
    <x v="0"/>
    <s v="Accessories"/>
    <x v="1"/>
    <n v="205.86"/>
    <n v="4"/>
    <x v="3"/>
    <n v="2025"/>
    <n v="150.34"/>
    <n v="0.73030214709025543"/>
  </r>
  <r>
    <n v="11210"/>
    <d v="2025-04-24T00:00:00"/>
    <x v="2"/>
    <x v="0"/>
    <s v="Binders"/>
    <x v="2"/>
    <n v="320.93"/>
    <n v="4"/>
    <x v="3"/>
    <n v="2025"/>
    <n v="63.66"/>
    <n v="0.1983610133050821"/>
  </r>
  <r>
    <n v="11211"/>
    <d v="2025-04-25T00:00:00"/>
    <x v="2"/>
    <x v="0"/>
    <s v="Binders"/>
    <x v="3"/>
    <n v="803.2"/>
    <n v="7"/>
    <x v="3"/>
    <n v="2025"/>
    <n v="1.61"/>
    <n v="2.0044820717131473E-3"/>
  </r>
  <r>
    <n v="11212"/>
    <d v="2025-04-26T00:00:00"/>
    <x v="1"/>
    <x v="0"/>
    <s v="Accessories"/>
    <x v="0"/>
    <n v="910.47"/>
    <n v="2"/>
    <x v="3"/>
    <n v="2025"/>
    <n v="243.89"/>
    <n v="0.26787263720935339"/>
  </r>
  <r>
    <n v="11213"/>
    <d v="2025-04-27T00:00:00"/>
    <x v="3"/>
    <x v="0"/>
    <s v="Phones"/>
    <x v="2"/>
    <n v="976.33"/>
    <n v="3"/>
    <x v="3"/>
    <n v="2025"/>
    <n v="180.08"/>
    <n v="0.18444583286388824"/>
  </r>
  <r>
    <n v="11214"/>
    <d v="2025-04-28T00:00:00"/>
    <x v="3"/>
    <x v="0"/>
    <s v="Chairs"/>
    <x v="1"/>
    <n v="270.68"/>
    <n v="3"/>
    <x v="3"/>
    <n v="2025"/>
    <n v="119.1"/>
    <n v="0.44000295551943253"/>
  </r>
  <r>
    <n v="11215"/>
    <d v="2025-04-29T00:00:00"/>
    <x v="3"/>
    <x v="1"/>
    <s v="Binders"/>
    <x v="2"/>
    <n v="887.23"/>
    <n v="6"/>
    <x v="3"/>
    <n v="2025"/>
    <n v="143.83000000000001"/>
    <n v="0.16211129019532705"/>
  </r>
  <r>
    <n v="11216"/>
    <d v="2025-04-30T00:00:00"/>
    <x v="2"/>
    <x v="2"/>
    <s v="Chairs"/>
    <x v="0"/>
    <n v="361.84"/>
    <n v="3"/>
    <x v="3"/>
    <n v="2025"/>
    <n v="-63.57"/>
    <n v="-0.17568538580588106"/>
  </r>
  <r>
    <n v="11217"/>
    <d v="2025-05-01T00:00:00"/>
    <x v="3"/>
    <x v="2"/>
    <s v="Tables"/>
    <x v="1"/>
    <n v="157.19999999999999"/>
    <n v="5"/>
    <x v="4"/>
    <n v="2025"/>
    <n v="89.57"/>
    <n v="0.56978371501272262"/>
  </r>
  <r>
    <n v="11218"/>
    <d v="2025-05-02T00:00:00"/>
    <x v="3"/>
    <x v="1"/>
    <s v="Phones"/>
    <x v="4"/>
    <n v="876.52"/>
    <n v="4"/>
    <x v="4"/>
    <n v="2025"/>
    <n v="-22.52"/>
    <n v="-2.5692511294665266E-2"/>
  </r>
  <r>
    <n v="11219"/>
    <d v="2025-05-03T00:00:00"/>
    <x v="2"/>
    <x v="1"/>
    <s v="Tables"/>
    <x v="1"/>
    <n v="654.29999999999995"/>
    <n v="3"/>
    <x v="4"/>
    <n v="2025"/>
    <n v="-16.649999999999999"/>
    <n v="-2.5447042640990371E-2"/>
  </r>
  <r>
    <n v="11220"/>
    <d v="2025-05-04T00:00:00"/>
    <x v="0"/>
    <x v="1"/>
    <s v="Tables"/>
    <x v="4"/>
    <n v="206.49"/>
    <n v="8"/>
    <x v="4"/>
    <n v="2025"/>
    <n v="164.52"/>
    <n v="0.79674560511404913"/>
  </r>
  <r>
    <n v="11221"/>
    <d v="2025-05-05T00:00:00"/>
    <x v="2"/>
    <x v="1"/>
    <s v="Tables"/>
    <x v="1"/>
    <n v="458.34"/>
    <n v="3"/>
    <x v="4"/>
    <n v="2025"/>
    <n v="264.5"/>
    <n v="0.5770825151634158"/>
  </r>
  <r>
    <n v="11222"/>
    <d v="2025-05-06T00:00:00"/>
    <x v="3"/>
    <x v="0"/>
    <s v="Phones"/>
    <x v="0"/>
    <n v="322.89"/>
    <n v="6"/>
    <x v="4"/>
    <n v="2025"/>
    <n v="61.5"/>
    <n v="0.19046734181919539"/>
  </r>
  <r>
    <n v="11223"/>
    <d v="2025-05-07T00:00:00"/>
    <x v="2"/>
    <x v="2"/>
    <s v="Phones"/>
    <x v="0"/>
    <n v="749.95"/>
    <n v="7"/>
    <x v="4"/>
    <n v="2025"/>
    <n v="-16.899999999999999"/>
    <n v="-2.2534835655710378E-2"/>
  </r>
  <r>
    <n v="11224"/>
    <d v="2025-05-08T00:00:00"/>
    <x v="0"/>
    <x v="0"/>
    <s v="Accessories"/>
    <x v="1"/>
    <n v="480.75"/>
    <n v="7"/>
    <x v="4"/>
    <n v="2025"/>
    <n v="159.5"/>
    <n v="0.33177327093083725"/>
  </r>
  <r>
    <n v="11225"/>
    <d v="2025-05-09T00:00:00"/>
    <x v="2"/>
    <x v="2"/>
    <s v="Chairs"/>
    <x v="2"/>
    <n v="989.82"/>
    <n v="2"/>
    <x v="4"/>
    <n v="2025"/>
    <n v="248.47"/>
    <n v="0.25102543896870139"/>
  </r>
  <r>
    <n v="11226"/>
    <d v="2025-05-10T00:00:00"/>
    <x v="3"/>
    <x v="2"/>
    <s v="Chairs"/>
    <x v="0"/>
    <n v="102.01"/>
    <n v="3"/>
    <x v="4"/>
    <n v="2025"/>
    <n v="199.33"/>
    <n v="1.9540241152828155"/>
  </r>
  <r>
    <n v="11227"/>
    <d v="2025-05-11T00:00:00"/>
    <x v="0"/>
    <x v="1"/>
    <s v="Accessories"/>
    <x v="4"/>
    <n v="387.26"/>
    <n v="4"/>
    <x v="4"/>
    <n v="2025"/>
    <n v="247.5"/>
    <n v="0.63910551050973508"/>
  </r>
  <r>
    <n v="11228"/>
    <d v="2025-05-12T00:00:00"/>
    <x v="1"/>
    <x v="0"/>
    <s v="Accessories"/>
    <x v="4"/>
    <n v="507.81"/>
    <n v="7"/>
    <x v="4"/>
    <n v="2025"/>
    <n v="114.62"/>
    <n v="0.22571434197829898"/>
  </r>
  <r>
    <n v="11229"/>
    <d v="2025-05-13T00:00:00"/>
    <x v="3"/>
    <x v="1"/>
    <s v="Tables"/>
    <x v="3"/>
    <n v="527.98"/>
    <n v="2"/>
    <x v="4"/>
    <n v="2025"/>
    <n v="200.75"/>
    <n v="0.38022273570968596"/>
  </r>
  <r>
    <n v="11230"/>
    <d v="2025-05-14T00:00:00"/>
    <x v="0"/>
    <x v="0"/>
    <s v="Accessories"/>
    <x v="4"/>
    <n v="350.14"/>
    <n v="3"/>
    <x v="4"/>
    <n v="2025"/>
    <n v="-43.97"/>
    <n v="-0.12557834009253441"/>
  </r>
  <r>
    <n v="11231"/>
    <d v="2025-05-15T00:00:00"/>
    <x v="0"/>
    <x v="2"/>
    <s v="Binders"/>
    <x v="3"/>
    <n v="742.78"/>
    <n v="7"/>
    <x v="4"/>
    <n v="2025"/>
    <n v="39.31"/>
    <n v="5.2922803521904205E-2"/>
  </r>
  <r>
    <n v="11232"/>
    <d v="2025-05-16T00:00:00"/>
    <x v="1"/>
    <x v="1"/>
    <s v="Chairs"/>
    <x v="1"/>
    <n v="881.01"/>
    <n v="7"/>
    <x v="4"/>
    <n v="2025"/>
    <n v="55.82"/>
    <n v="6.3359099215672926E-2"/>
  </r>
  <r>
    <n v="11233"/>
    <d v="2025-05-17T00:00:00"/>
    <x v="2"/>
    <x v="1"/>
    <s v="Accessories"/>
    <x v="1"/>
    <n v="941.78"/>
    <n v="3"/>
    <x v="4"/>
    <n v="2025"/>
    <n v="104.52"/>
    <n v="0.11098133322007263"/>
  </r>
  <r>
    <n v="11234"/>
    <d v="2025-05-18T00:00:00"/>
    <x v="2"/>
    <x v="2"/>
    <s v="Binders"/>
    <x v="1"/>
    <n v="814.84"/>
    <n v="1"/>
    <x v="4"/>
    <n v="2025"/>
    <n v="271.63"/>
    <n v="0.33335378724657599"/>
  </r>
  <r>
    <n v="11235"/>
    <d v="2025-05-19T00:00:00"/>
    <x v="3"/>
    <x v="2"/>
    <s v="Binders"/>
    <x v="2"/>
    <n v="858.05"/>
    <n v="3"/>
    <x v="4"/>
    <n v="2025"/>
    <n v="249.72"/>
    <n v="0.29103199114270734"/>
  </r>
  <r>
    <n v="11236"/>
    <d v="2025-05-20T00:00:00"/>
    <x v="1"/>
    <x v="2"/>
    <s v="Binders"/>
    <x v="2"/>
    <n v="573.02"/>
    <n v="5"/>
    <x v="4"/>
    <n v="2025"/>
    <n v="-46.19"/>
    <n v="-8.0608006701336776E-2"/>
  </r>
  <r>
    <n v="11237"/>
    <d v="2025-05-21T00:00:00"/>
    <x v="2"/>
    <x v="1"/>
    <s v="Binders"/>
    <x v="3"/>
    <n v="834.59"/>
    <n v="7"/>
    <x v="4"/>
    <n v="2025"/>
    <n v="-30.88"/>
    <n v="-3.7000203692831204E-2"/>
  </r>
  <r>
    <n v="11238"/>
    <d v="2025-05-22T00:00:00"/>
    <x v="1"/>
    <x v="0"/>
    <s v="Tables"/>
    <x v="4"/>
    <n v="338.33"/>
    <n v="4"/>
    <x v="4"/>
    <n v="2025"/>
    <n v="43.06"/>
    <n v="0.12727218987379188"/>
  </r>
  <r>
    <n v="11239"/>
    <d v="2025-05-23T00:00:00"/>
    <x v="2"/>
    <x v="1"/>
    <s v="Binders"/>
    <x v="4"/>
    <n v="428.55"/>
    <n v="1"/>
    <x v="4"/>
    <n v="2025"/>
    <n v="16.3"/>
    <n v="3.8035235095088091E-2"/>
  </r>
  <r>
    <n v="11240"/>
    <d v="2025-05-24T00:00:00"/>
    <x v="0"/>
    <x v="0"/>
    <s v="Tables"/>
    <x v="1"/>
    <n v="351.07"/>
    <n v="6"/>
    <x v="4"/>
    <n v="2025"/>
    <n v="145.91"/>
    <n v="0.41561511949183921"/>
  </r>
  <r>
    <n v="11241"/>
    <d v="2025-05-25T00:00:00"/>
    <x v="2"/>
    <x v="1"/>
    <s v="Tables"/>
    <x v="0"/>
    <n v="494.02"/>
    <n v="2"/>
    <x v="4"/>
    <n v="2025"/>
    <n v="261.11"/>
    <n v="0.52854135460102836"/>
  </r>
  <r>
    <n v="11242"/>
    <d v="2025-05-26T00:00:00"/>
    <x v="1"/>
    <x v="1"/>
    <s v="Binders"/>
    <x v="2"/>
    <n v="321.3"/>
    <n v="3"/>
    <x v="4"/>
    <n v="2025"/>
    <n v="284.92"/>
    <n v="0.88677248677248677"/>
  </r>
  <r>
    <n v="11243"/>
    <d v="2025-05-27T00:00:00"/>
    <x v="0"/>
    <x v="2"/>
    <s v="Chairs"/>
    <x v="2"/>
    <n v="963.53"/>
    <n v="4"/>
    <x v="4"/>
    <n v="2025"/>
    <n v="161.44"/>
    <n v="0.16755056926094672"/>
  </r>
  <r>
    <n v="11244"/>
    <d v="2025-05-28T00:00:00"/>
    <x v="0"/>
    <x v="0"/>
    <s v="Binders"/>
    <x v="1"/>
    <n v="347.2"/>
    <n v="6"/>
    <x v="4"/>
    <n v="2025"/>
    <n v="235.26"/>
    <n v="0.67759216589861748"/>
  </r>
  <r>
    <n v="11245"/>
    <d v="2025-05-29T00:00:00"/>
    <x v="0"/>
    <x v="1"/>
    <s v="Binders"/>
    <x v="2"/>
    <n v="143.13999999999999"/>
    <n v="6"/>
    <x v="4"/>
    <n v="2025"/>
    <n v="110.08"/>
    <n v="0.76903730613385501"/>
  </r>
  <r>
    <n v="11246"/>
    <d v="2025-05-30T00:00:00"/>
    <x v="1"/>
    <x v="1"/>
    <s v="Binders"/>
    <x v="1"/>
    <n v="550.48"/>
    <n v="7"/>
    <x v="4"/>
    <n v="2025"/>
    <n v="-16.670000000000002"/>
    <n v="-3.0282662403720392E-2"/>
  </r>
  <r>
    <n v="11247"/>
    <d v="2025-05-31T00:00:00"/>
    <x v="3"/>
    <x v="2"/>
    <s v="Chairs"/>
    <x v="3"/>
    <n v="104.24"/>
    <n v="5"/>
    <x v="4"/>
    <n v="2025"/>
    <n v="109.88"/>
    <n v="1.0541059094397545"/>
  </r>
  <r>
    <n v="11248"/>
    <d v="2025-06-01T00:00:00"/>
    <x v="3"/>
    <x v="2"/>
    <s v="Phones"/>
    <x v="4"/>
    <n v="155.02000000000001"/>
    <n v="7"/>
    <x v="5"/>
    <n v="2025"/>
    <n v="122.03"/>
    <n v="0.78718874983873044"/>
  </r>
  <r>
    <n v="11249"/>
    <d v="2025-06-02T00:00:00"/>
    <x v="3"/>
    <x v="0"/>
    <s v="Phones"/>
    <x v="0"/>
    <n v="258.42"/>
    <n v="2"/>
    <x v="5"/>
    <n v="2025"/>
    <n v="196.98"/>
    <n v="0.76224750406315289"/>
  </r>
  <r>
    <n v="11250"/>
    <d v="2025-06-03T00:00:00"/>
    <x v="1"/>
    <x v="1"/>
    <s v="Tables"/>
    <x v="4"/>
    <n v="491.13"/>
    <n v="1"/>
    <x v="5"/>
    <n v="2025"/>
    <n v="-12.05"/>
    <n v="-2.4535255431352189E-2"/>
  </r>
  <r>
    <n v="11251"/>
    <d v="2025-06-04T00:00:00"/>
    <x v="0"/>
    <x v="0"/>
    <s v="Tables"/>
    <x v="4"/>
    <n v="461.59"/>
    <n v="8"/>
    <x v="5"/>
    <n v="2025"/>
    <n v="47.32"/>
    <n v="0.1025152191338634"/>
  </r>
  <r>
    <n v="11252"/>
    <d v="2025-06-05T00:00:00"/>
    <x v="3"/>
    <x v="1"/>
    <s v="Chairs"/>
    <x v="3"/>
    <n v="809.71"/>
    <n v="1"/>
    <x v="5"/>
    <n v="2025"/>
    <n v="45.61"/>
    <n v="5.6328809079793998E-2"/>
  </r>
  <r>
    <n v="11253"/>
    <d v="2025-06-06T00:00:00"/>
    <x v="1"/>
    <x v="0"/>
    <s v="Accessories"/>
    <x v="2"/>
    <n v="752.5"/>
    <n v="2"/>
    <x v="5"/>
    <n v="2025"/>
    <n v="283.77999999999997"/>
    <n v="0.37711627906976741"/>
  </r>
  <r>
    <n v="11254"/>
    <d v="2025-06-07T00:00:00"/>
    <x v="3"/>
    <x v="2"/>
    <s v="Phones"/>
    <x v="0"/>
    <n v="455"/>
    <n v="6"/>
    <x v="5"/>
    <n v="2025"/>
    <n v="77.58"/>
    <n v="0.17050549450549451"/>
  </r>
  <r>
    <n v="11255"/>
    <d v="2025-06-08T00:00:00"/>
    <x v="2"/>
    <x v="1"/>
    <s v="Tables"/>
    <x v="2"/>
    <n v="367.02"/>
    <n v="1"/>
    <x v="5"/>
    <n v="2025"/>
    <n v="202.04"/>
    <n v="0.55048771184131651"/>
  </r>
  <r>
    <n v="11256"/>
    <d v="2025-06-09T00:00:00"/>
    <x v="3"/>
    <x v="0"/>
    <s v="Phones"/>
    <x v="4"/>
    <n v="350.65"/>
    <n v="3"/>
    <x v="5"/>
    <n v="2025"/>
    <n v="200.32"/>
    <n v="0.57128190503350917"/>
  </r>
  <r>
    <n v="11257"/>
    <d v="2025-06-10T00:00:00"/>
    <x v="3"/>
    <x v="2"/>
    <s v="Chairs"/>
    <x v="1"/>
    <n v="785.3"/>
    <n v="7"/>
    <x v="5"/>
    <n v="2025"/>
    <n v="6.22"/>
    <n v="7.920539921049281E-3"/>
  </r>
  <r>
    <n v="11258"/>
    <d v="2025-06-11T00:00:00"/>
    <x v="0"/>
    <x v="2"/>
    <s v="Chairs"/>
    <x v="4"/>
    <n v="99.47"/>
    <n v="8"/>
    <x v="5"/>
    <n v="2025"/>
    <n v="128.75"/>
    <n v="1.2943601085754499"/>
  </r>
  <r>
    <n v="11259"/>
    <d v="2025-06-12T00:00:00"/>
    <x v="1"/>
    <x v="0"/>
    <s v="Accessories"/>
    <x v="2"/>
    <n v="62.18"/>
    <n v="4"/>
    <x v="5"/>
    <n v="2025"/>
    <n v="257.72000000000003"/>
    <n v="4.1447410743004189"/>
  </r>
  <r>
    <n v="11260"/>
    <d v="2025-06-13T00:00:00"/>
    <x v="0"/>
    <x v="1"/>
    <s v="Accessories"/>
    <x v="4"/>
    <n v="805.77"/>
    <n v="3"/>
    <x v="5"/>
    <n v="2025"/>
    <n v="90.08"/>
    <n v="0.11179368802511883"/>
  </r>
  <r>
    <n v="11261"/>
    <d v="2025-06-14T00:00:00"/>
    <x v="0"/>
    <x v="1"/>
    <s v="Chairs"/>
    <x v="1"/>
    <n v="503.29"/>
    <n v="1"/>
    <x v="5"/>
    <n v="2025"/>
    <n v="278.05"/>
    <n v="0.55246478173617597"/>
  </r>
  <r>
    <n v="11262"/>
    <d v="2025-06-15T00:00:00"/>
    <x v="0"/>
    <x v="2"/>
    <s v="Tables"/>
    <x v="3"/>
    <n v="174.34"/>
    <n v="9"/>
    <x v="5"/>
    <n v="2025"/>
    <n v="-14.22"/>
    <n v="-8.1564758517838704E-2"/>
  </r>
  <r>
    <n v="11263"/>
    <d v="2025-06-16T00:00:00"/>
    <x v="0"/>
    <x v="1"/>
    <s v="Phones"/>
    <x v="2"/>
    <n v="273.79000000000002"/>
    <n v="6"/>
    <x v="5"/>
    <n v="2025"/>
    <n v="-70.34"/>
    <n v="-0.25691223200262975"/>
  </r>
  <r>
    <n v="11264"/>
    <d v="2025-06-17T00:00:00"/>
    <x v="0"/>
    <x v="1"/>
    <s v="Binders"/>
    <x v="4"/>
    <n v="935.88"/>
    <n v="6"/>
    <x v="5"/>
    <n v="2025"/>
    <n v="256.58"/>
    <n v="0.27415908022396029"/>
  </r>
  <r>
    <n v="11265"/>
    <d v="2025-06-18T00:00:00"/>
    <x v="3"/>
    <x v="1"/>
    <s v="Accessories"/>
    <x v="2"/>
    <n v="866.53"/>
    <n v="9"/>
    <x v="5"/>
    <n v="2025"/>
    <n v="239.07"/>
    <n v="0.2758935062836832"/>
  </r>
  <r>
    <n v="11266"/>
    <d v="2025-06-19T00:00:00"/>
    <x v="0"/>
    <x v="2"/>
    <s v="Binders"/>
    <x v="3"/>
    <n v="724.3"/>
    <n v="1"/>
    <x v="5"/>
    <n v="2025"/>
    <n v="297.04000000000002"/>
    <n v="0.41010630954024579"/>
  </r>
  <r>
    <n v="11267"/>
    <d v="2025-06-20T00:00:00"/>
    <x v="0"/>
    <x v="0"/>
    <s v="Tables"/>
    <x v="4"/>
    <n v="508.11"/>
    <n v="6"/>
    <x v="5"/>
    <n v="2025"/>
    <n v="171.76"/>
    <n v="0.33803703922379008"/>
  </r>
  <r>
    <n v="11268"/>
    <d v="2025-06-21T00:00:00"/>
    <x v="1"/>
    <x v="1"/>
    <s v="Accessories"/>
    <x v="4"/>
    <n v="544.30999999999995"/>
    <n v="5"/>
    <x v="5"/>
    <n v="2025"/>
    <n v="274.68"/>
    <n v="0.50463890062648131"/>
  </r>
  <r>
    <n v="11269"/>
    <d v="2025-06-22T00:00:00"/>
    <x v="2"/>
    <x v="2"/>
    <s v="Binders"/>
    <x v="2"/>
    <n v="976.48"/>
    <n v="6"/>
    <x v="5"/>
    <n v="2025"/>
    <n v="230.78"/>
    <n v="0.23633868589218418"/>
  </r>
  <r>
    <n v="11270"/>
    <d v="2025-06-23T00:00:00"/>
    <x v="3"/>
    <x v="2"/>
    <s v="Tables"/>
    <x v="2"/>
    <n v="967.48"/>
    <n v="8"/>
    <x v="5"/>
    <n v="2025"/>
    <n v="237.77"/>
    <n v="0.24576218629842478"/>
  </r>
  <r>
    <n v="11271"/>
    <d v="2025-06-24T00:00:00"/>
    <x v="3"/>
    <x v="0"/>
    <s v="Phones"/>
    <x v="1"/>
    <n v="254.51"/>
    <n v="5"/>
    <x v="5"/>
    <n v="2025"/>
    <n v="127.66"/>
    <n v="0.50159129307296368"/>
  </r>
  <r>
    <n v="11272"/>
    <d v="2025-06-25T00:00:00"/>
    <x v="3"/>
    <x v="1"/>
    <s v="Tables"/>
    <x v="3"/>
    <n v="820.55"/>
    <n v="2"/>
    <x v="5"/>
    <n v="2025"/>
    <n v="52.95"/>
    <n v="6.4529888489427825E-2"/>
  </r>
  <r>
    <n v="11273"/>
    <d v="2025-06-26T00:00:00"/>
    <x v="0"/>
    <x v="1"/>
    <s v="Accessories"/>
    <x v="1"/>
    <n v="237.38"/>
    <n v="2"/>
    <x v="5"/>
    <n v="2025"/>
    <n v="273.82"/>
    <n v="1.1535091414609486"/>
  </r>
  <r>
    <n v="11274"/>
    <d v="2025-06-27T00:00:00"/>
    <x v="0"/>
    <x v="0"/>
    <s v="Chairs"/>
    <x v="4"/>
    <n v="252.86"/>
    <n v="5"/>
    <x v="5"/>
    <n v="2025"/>
    <n v="72.849999999999994"/>
    <n v="0.28810408921933084"/>
  </r>
  <r>
    <n v="11275"/>
    <d v="2025-06-28T00:00:00"/>
    <x v="0"/>
    <x v="0"/>
    <s v="Phones"/>
    <x v="2"/>
    <n v="692.29"/>
    <n v="3"/>
    <x v="5"/>
    <n v="2025"/>
    <n v="115.53"/>
    <n v="0.16688093140158028"/>
  </r>
  <r>
    <n v="11276"/>
    <d v="2025-06-29T00:00:00"/>
    <x v="1"/>
    <x v="2"/>
    <s v="Binders"/>
    <x v="4"/>
    <n v="434.75"/>
    <n v="3"/>
    <x v="5"/>
    <n v="2025"/>
    <n v="78.45"/>
    <n v="0.180448533640023"/>
  </r>
  <r>
    <n v="11277"/>
    <d v="2025-06-30T00:00:00"/>
    <x v="2"/>
    <x v="2"/>
    <s v="Accessories"/>
    <x v="4"/>
    <n v="934.97"/>
    <n v="8"/>
    <x v="5"/>
    <n v="2025"/>
    <n v="125.93"/>
    <n v="0.13468881354481962"/>
  </r>
  <r>
    <n v="11278"/>
    <d v="2025-07-01T00:00:00"/>
    <x v="0"/>
    <x v="0"/>
    <s v="Chairs"/>
    <x v="0"/>
    <n v="134.56"/>
    <n v="7"/>
    <x v="6"/>
    <n v="2025"/>
    <n v="88.2"/>
    <n v="0.65546967895362662"/>
  </r>
  <r>
    <n v="11279"/>
    <d v="2025-07-02T00:00:00"/>
    <x v="2"/>
    <x v="1"/>
    <s v="Tables"/>
    <x v="0"/>
    <n v="535.95000000000005"/>
    <n v="1"/>
    <x v="6"/>
    <n v="2025"/>
    <n v="-80.81"/>
    <n v="-0.15077899057747923"/>
  </r>
  <r>
    <n v="11280"/>
    <d v="2025-07-03T00:00:00"/>
    <x v="1"/>
    <x v="2"/>
    <s v="Chairs"/>
    <x v="4"/>
    <n v="922.6"/>
    <n v="5"/>
    <x v="6"/>
    <n v="2025"/>
    <n v="252.82"/>
    <n v="0.27402991545631911"/>
  </r>
  <r>
    <n v="11281"/>
    <d v="2025-07-04T00:00:00"/>
    <x v="3"/>
    <x v="2"/>
    <s v="Accessories"/>
    <x v="2"/>
    <n v="908.91"/>
    <n v="9"/>
    <x v="6"/>
    <n v="2025"/>
    <n v="77.760000000000005"/>
    <n v="8.5553025051985351E-2"/>
  </r>
  <r>
    <n v="11282"/>
    <d v="2025-07-05T00:00:00"/>
    <x v="0"/>
    <x v="1"/>
    <s v="Accessories"/>
    <x v="4"/>
    <n v="198.7"/>
    <n v="4"/>
    <x v="6"/>
    <n v="2025"/>
    <n v="135.58000000000001"/>
    <n v="0.68233517866129856"/>
  </r>
  <r>
    <n v="11283"/>
    <d v="2025-07-06T00:00:00"/>
    <x v="2"/>
    <x v="2"/>
    <s v="Chairs"/>
    <x v="0"/>
    <n v="398.31"/>
    <n v="1"/>
    <x v="6"/>
    <n v="2025"/>
    <n v="-44.32"/>
    <n v="-0.11127011624111872"/>
  </r>
  <r>
    <n v="11284"/>
    <d v="2025-07-07T00:00:00"/>
    <x v="2"/>
    <x v="1"/>
    <s v="Tables"/>
    <x v="2"/>
    <n v="638.16999999999996"/>
    <n v="8"/>
    <x v="6"/>
    <n v="2025"/>
    <n v="-98.64"/>
    <n v="-0.15456696491530472"/>
  </r>
  <r>
    <n v="11285"/>
    <d v="2025-07-08T00:00:00"/>
    <x v="0"/>
    <x v="1"/>
    <s v="Chairs"/>
    <x v="4"/>
    <n v="201.43"/>
    <n v="5"/>
    <x v="6"/>
    <n v="2025"/>
    <n v="-1.88"/>
    <n v="-9.3332671399493604E-3"/>
  </r>
  <r>
    <n v="11286"/>
    <d v="2025-07-09T00:00:00"/>
    <x v="3"/>
    <x v="1"/>
    <s v="Accessories"/>
    <x v="3"/>
    <n v="969.62"/>
    <n v="2"/>
    <x v="6"/>
    <n v="2025"/>
    <n v="181.83"/>
    <n v="0.18752707246137662"/>
  </r>
  <r>
    <n v="11287"/>
    <d v="2025-07-10T00:00:00"/>
    <x v="3"/>
    <x v="0"/>
    <s v="Accessories"/>
    <x v="3"/>
    <n v="919.01"/>
    <n v="1"/>
    <x v="6"/>
    <n v="2025"/>
    <n v="-60.32"/>
    <n v="-6.5635847270432313E-2"/>
  </r>
  <r>
    <n v="11288"/>
    <d v="2025-07-11T00:00:00"/>
    <x v="3"/>
    <x v="0"/>
    <s v="Binders"/>
    <x v="4"/>
    <n v="208.6"/>
    <n v="3"/>
    <x v="6"/>
    <n v="2025"/>
    <n v="263.55"/>
    <n v="1.2634228187919463"/>
  </r>
  <r>
    <n v="11289"/>
    <d v="2025-07-12T00:00:00"/>
    <x v="1"/>
    <x v="0"/>
    <s v="Binders"/>
    <x v="2"/>
    <n v="165.1"/>
    <n v="9"/>
    <x v="6"/>
    <n v="2025"/>
    <n v="-13.99"/>
    <n v="-8.4736523319200494E-2"/>
  </r>
  <r>
    <n v="11290"/>
    <d v="2025-07-13T00:00:00"/>
    <x v="2"/>
    <x v="1"/>
    <s v="Phones"/>
    <x v="4"/>
    <n v="131.13999999999999"/>
    <n v="1"/>
    <x v="6"/>
    <n v="2025"/>
    <n v="-18.16"/>
    <n v="-0.13847796248284278"/>
  </r>
  <r>
    <n v="11291"/>
    <d v="2025-07-14T00:00:00"/>
    <x v="2"/>
    <x v="1"/>
    <s v="Accessories"/>
    <x v="4"/>
    <n v="913.97"/>
    <n v="4"/>
    <x v="6"/>
    <n v="2025"/>
    <n v="-27.4"/>
    <n v="-2.9979102158714178E-2"/>
  </r>
  <r>
    <n v="11292"/>
    <d v="2025-07-15T00:00:00"/>
    <x v="2"/>
    <x v="0"/>
    <s v="Binders"/>
    <x v="0"/>
    <n v="233.94"/>
    <n v="8"/>
    <x v="6"/>
    <n v="2025"/>
    <n v="-94.41"/>
    <n v="-0.40356501667094125"/>
  </r>
  <r>
    <n v="11293"/>
    <d v="2025-07-16T00:00:00"/>
    <x v="1"/>
    <x v="2"/>
    <s v="Chairs"/>
    <x v="3"/>
    <n v="445.47"/>
    <n v="8"/>
    <x v="6"/>
    <n v="2025"/>
    <n v="208.72"/>
    <n v="0.46853884661144407"/>
  </r>
  <r>
    <n v="11294"/>
    <d v="2025-07-17T00:00:00"/>
    <x v="2"/>
    <x v="1"/>
    <s v="Tables"/>
    <x v="0"/>
    <n v="476.41"/>
    <n v="8"/>
    <x v="6"/>
    <n v="2025"/>
    <n v="250.01"/>
    <n v="0.52477907684557412"/>
  </r>
  <r>
    <n v="11295"/>
    <d v="2025-07-18T00:00:00"/>
    <x v="1"/>
    <x v="2"/>
    <s v="Chairs"/>
    <x v="0"/>
    <n v="619.05999999999995"/>
    <n v="8"/>
    <x v="6"/>
    <n v="2025"/>
    <n v="145.66999999999999"/>
    <n v="0.2353083707556618"/>
  </r>
  <r>
    <n v="11296"/>
    <d v="2025-07-19T00:00:00"/>
    <x v="3"/>
    <x v="2"/>
    <s v="Tables"/>
    <x v="4"/>
    <n v="118.15"/>
    <n v="4"/>
    <x v="6"/>
    <n v="2025"/>
    <n v="-24.72"/>
    <n v="-0.20922556072788825"/>
  </r>
  <r>
    <n v="11297"/>
    <d v="2025-07-20T00:00:00"/>
    <x v="0"/>
    <x v="1"/>
    <s v="Binders"/>
    <x v="0"/>
    <n v="265.42"/>
    <n v="8"/>
    <x v="6"/>
    <n v="2025"/>
    <n v="14.11"/>
    <n v="5.3161027804988312E-2"/>
  </r>
  <r>
    <n v="11298"/>
    <d v="2025-07-21T00:00:00"/>
    <x v="2"/>
    <x v="1"/>
    <s v="Phones"/>
    <x v="3"/>
    <n v="934.92"/>
    <n v="9"/>
    <x v="6"/>
    <n v="2025"/>
    <n v="90.37"/>
    <n v="9.66606768493561E-2"/>
  </r>
  <r>
    <n v="11299"/>
    <d v="2025-07-22T00:00:00"/>
    <x v="2"/>
    <x v="2"/>
    <s v="Chairs"/>
    <x v="0"/>
    <n v="912.99"/>
    <n v="7"/>
    <x v="6"/>
    <n v="2025"/>
    <n v="281.74"/>
    <n v="0.30859045553620523"/>
  </r>
  <r>
    <n v="11300"/>
    <d v="2025-07-23T00:00:00"/>
    <x v="3"/>
    <x v="2"/>
    <s v="Chairs"/>
    <x v="3"/>
    <n v="792.23"/>
    <n v="2"/>
    <x v="6"/>
    <n v="2025"/>
    <n v="-1.06"/>
    <n v="-1.3379952791487322E-3"/>
  </r>
  <r>
    <n v="11301"/>
    <d v="2025-07-24T00:00:00"/>
    <x v="0"/>
    <x v="0"/>
    <s v="Chairs"/>
    <x v="0"/>
    <n v="68.430000000000007"/>
    <n v="9"/>
    <x v="6"/>
    <n v="2025"/>
    <n v="192.66"/>
    <n v="2.8154318281455497"/>
  </r>
  <r>
    <n v="11302"/>
    <d v="2025-07-25T00:00:00"/>
    <x v="1"/>
    <x v="0"/>
    <s v="Tables"/>
    <x v="3"/>
    <n v="360.66"/>
    <n v="8"/>
    <x v="6"/>
    <n v="2025"/>
    <n v="75.78"/>
    <n v="0.21011478955248711"/>
  </r>
  <r>
    <n v="11303"/>
    <d v="2025-07-26T00:00:00"/>
    <x v="0"/>
    <x v="1"/>
    <s v="Binders"/>
    <x v="0"/>
    <n v="646.55999999999995"/>
    <n v="5"/>
    <x v="6"/>
    <n v="2025"/>
    <n v="19.14"/>
    <n v="2.9602821083890129E-2"/>
  </r>
  <r>
    <n v="11304"/>
    <d v="2025-07-27T00:00:00"/>
    <x v="3"/>
    <x v="0"/>
    <s v="Chairs"/>
    <x v="0"/>
    <n v="311.43"/>
    <n v="3"/>
    <x v="6"/>
    <n v="2025"/>
    <n v="82.37"/>
    <n v="0.26448961243297048"/>
  </r>
  <r>
    <n v="11305"/>
    <d v="2025-07-28T00:00:00"/>
    <x v="3"/>
    <x v="0"/>
    <s v="Chairs"/>
    <x v="2"/>
    <n v="914.11"/>
    <n v="7"/>
    <x v="6"/>
    <n v="2025"/>
    <n v="-71.52"/>
    <n v="-7.8240036757064244E-2"/>
  </r>
  <r>
    <n v="11306"/>
    <d v="2025-07-29T00:00:00"/>
    <x v="0"/>
    <x v="0"/>
    <s v="Phones"/>
    <x v="3"/>
    <n v="652.19000000000005"/>
    <n v="2"/>
    <x v="6"/>
    <n v="2025"/>
    <n v="219.47"/>
    <n v="0.33651236602830459"/>
  </r>
  <r>
    <n v="11307"/>
    <d v="2025-07-30T00:00:00"/>
    <x v="1"/>
    <x v="0"/>
    <s v="Phones"/>
    <x v="3"/>
    <n v="118.31"/>
    <n v="3"/>
    <x v="6"/>
    <n v="2025"/>
    <n v="-2.68"/>
    <n v="-2.2652353985292875E-2"/>
  </r>
  <r>
    <n v="11308"/>
    <d v="2025-07-31T00:00:00"/>
    <x v="1"/>
    <x v="2"/>
    <s v="Binders"/>
    <x v="3"/>
    <n v="913.56"/>
    <n v="9"/>
    <x v="6"/>
    <n v="2025"/>
    <n v="190.16"/>
    <n v="0.20815272122247033"/>
  </r>
  <r>
    <n v="11309"/>
    <d v="2025-08-01T00:00:00"/>
    <x v="2"/>
    <x v="1"/>
    <s v="Binders"/>
    <x v="1"/>
    <n v="959.88"/>
    <n v="4"/>
    <x v="7"/>
    <n v="2025"/>
    <n v="-72.66"/>
    <n v="-7.5696962120265027E-2"/>
  </r>
  <r>
    <n v="11310"/>
    <d v="2025-08-02T00:00:00"/>
    <x v="1"/>
    <x v="0"/>
    <s v="Accessories"/>
    <x v="0"/>
    <n v="123.83"/>
    <n v="4"/>
    <x v="7"/>
    <n v="2025"/>
    <n v="282.04000000000002"/>
    <n v="2.2776386982152954"/>
  </r>
  <r>
    <n v="11311"/>
    <d v="2025-08-03T00:00:00"/>
    <x v="0"/>
    <x v="2"/>
    <s v="Phones"/>
    <x v="3"/>
    <n v="555.74"/>
    <n v="3"/>
    <x v="7"/>
    <n v="2025"/>
    <n v="-22.79"/>
    <n v="-4.1008385216108251E-2"/>
  </r>
  <r>
    <n v="11312"/>
    <d v="2025-08-04T00:00:00"/>
    <x v="3"/>
    <x v="2"/>
    <s v="Accessories"/>
    <x v="1"/>
    <n v="338.2"/>
    <n v="5"/>
    <x v="7"/>
    <n v="2025"/>
    <n v="253.1"/>
    <n v="0.74837374334713191"/>
  </r>
  <r>
    <n v="11313"/>
    <d v="2025-08-05T00:00:00"/>
    <x v="2"/>
    <x v="2"/>
    <s v="Tables"/>
    <x v="2"/>
    <n v="423.2"/>
    <n v="3"/>
    <x v="7"/>
    <n v="2025"/>
    <n v="223.79"/>
    <n v="0.52880434782608698"/>
  </r>
  <r>
    <n v="11314"/>
    <d v="2025-08-06T00:00:00"/>
    <x v="2"/>
    <x v="0"/>
    <s v="Accessories"/>
    <x v="3"/>
    <n v="220.67"/>
    <n v="9"/>
    <x v="7"/>
    <n v="2025"/>
    <n v="287.14"/>
    <n v="1.3012190148185072"/>
  </r>
  <r>
    <n v="11315"/>
    <d v="2025-08-07T00:00:00"/>
    <x v="3"/>
    <x v="0"/>
    <s v="Chairs"/>
    <x v="3"/>
    <n v="599.16999999999996"/>
    <n v="3"/>
    <x v="7"/>
    <n v="2025"/>
    <n v="91.16"/>
    <n v="0.15214379892184188"/>
  </r>
  <r>
    <n v="11316"/>
    <d v="2025-08-08T00:00:00"/>
    <x v="1"/>
    <x v="1"/>
    <s v="Accessories"/>
    <x v="1"/>
    <n v="960.08"/>
    <n v="2"/>
    <x v="7"/>
    <n v="2025"/>
    <n v="190.96"/>
    <n v="0.19890009165902842"/>
  </r>
  <r>
    <n v="11317"/>
    <d v="2025-08-09T00:00:00"/>
    <x v="3"/>
    <x v="0"/>
    <s v="Binders"/>
    <x v="0"/>
    <n v="527.91999999999996"/>
    <n v="5"/>
    <x v="7"/>
    <n v="2025"/>
    <n v="48.28"/>
    <n v="9.1453250492498875E-2"/>
  </r>
  <r>
    <n v="11318"/>
    <d v="2025-08-10T00:00:00"/>
    <x v="1"/>
    <x v="0"/>
    <s v="Tables"/>
    <x v="2"/>
    <n v="128.77000000000001"/>
    <n v="6"/>
    <x v="7"/>
    <n v="2025"/>
    <n v="-26.25"/>
    <n v="-0.20385182884212161"/>
  </r>
  <r>
    <n v="11319"/>
    <d v="2025-08-11T00:00:00"/>
    <x v="3"/>
    <x v="2"/>
    <s v="Chairs"/>
    <x v="3"/>
    <n v="639"/>
    <n v="1"/>
    <x v="7"/>
    <n v="2025"/>
    <n v="77.23"/>
    <n v="0.12086071987480439"/>
  </r>
  <r>
    <n v="11320"/>
    <d v="2025-08-12T00:00:00"/>
    <x v="0"/>
    <x v="1"/>
    <s v="Accessories"/>
    <x v="0"/>
    <n v="373.21"/>
    <n v="6"/>
    <x v="7"/>
    <n v="2025"/>
    <n v="-33.700000000000003"/>
    <n v="-9.0297687628948867E-2"/>
  </r>
  <r>
    <n v="11321"/>
    <d v="2025-08-13T00:00:00"/>
    <x v="1"/>
    <x v="0"/>
    <s v="Tables"/>
    <x v="2"/>
    <n v="863.13"/>
    <n v="3"/>
    <x v="7"/>
    <n v="2025"/>
    <n v="292.82"/>
    <n v="0.33925364661175023"/>
  </r>
  <r>
    <n v="11322"/>
    <d v="2025-08-14T00:00:00"/>
    <x v="0"/>
    <x v="0"/>
    <s v="Tables"/>
    <x v="4"/>
    <n v="462.94"/>
    <n v="4"/>
    <x v="7"/>
    <n v="2025"/>
    <n v="-61.5"/>
    <n v="-0.13284658919082387"/>
  </r>
  <r>
    <n v="11323"/>
    <d v="2025-08-15T00:00:00"/>
    <x v="2"/>
    <x v="2"/>
    <s v="Chairs"/>
    <x v="4"/>
    <n v="233.2"/>
    <n v="6"/>
    <x v="7"/>
    <n v="2025"/>
    <n v="135.68"/>
    <n v="0.5818181818181819"/>
  </r>
  <r>
    <n v="11324"/>
    <d v="2025-08-16T00:00:00"/>
    <x v="3"/>
    <x v="2"/>
    <s v="Accessories"/>
    <x v="2"/>
    <n v="231.55"/>
    <n v="8"/>
    <x v="7"/>
    <n v="2025"/>
    <n v="150.59"/>
    <n v="0.65035629453681709"/>
  </r>
  <r>
    <n v="11325"/>
    <d v="2025-08-17T00:00:00"/>
    <x v="2"/>
    <x v="0"/>
    <s v="Tables"/>
    <x v="1"/>
    <n v="780.33"/>
    <n v="9"/>
    <x v="7"/>
    <n v="2025"/>
    <n v="115.23"/>
    <n v="0.14766829418323016"/>
  </r>
  <r>
    <n v="11326"/>
    <d v="2025-08-18T00:00:00"/>
    <x v="2"/>
    <x v="1"/>
    <s v="Tables"/>
    <x v="2"/>
    <n v="302.31"/>
    <n v="6"/>
    <x v="7"/>
    <n v="2025"/>
    <n v="164.87"/>
    <n v="0.54536733816281302"/>
  </r>
  <r>
    <n v="11327"/>
    <d v="2025-08-19T00:00:00"/>
    <x v="2"/>
    <x v="1"/>
    <s v="Phones"/>
    <x v="2"/>
    <n v="778.87"/>
    <n v="7"/>
    <x v="7"/>
    <n v="2025"/>
    <n v="-53.53"/>
    <n v="-6.8727772285490513E-2"/>
  </r>
  <r>
    <n v="11328"/>
    <d v="2025-08-20T00:00:00"/>
    <x v="2"/>
    <x v="2"/>
    <s v="Tables"/>
    <x v="1"/>
    <n v="245.59"/>
    <n v="5"/>
    <x v="7"/>
    <n v="2025"/>
    <n v="122.01"/>
    <n v="0.49680361578240156"/>
  </r>
  <r>
    <n v="11329"/>
    <d v="2025-08-21T00:00:00"/>
    <x v="3"/>
    <x v="2"/>
    <s v="Phones"/>
    <x v="1"/>
    <n v="355.6"/>
    <n v="9"/>
    <x v="7"/>
    <n v="2025"/>
    <n v="14.89"/>
    <n v="4.1872890888638922E-2"/>
  </r>
  <r>
    <n v="11330"/>
    <d v="2025-08-22T00:00:00"/>
    <x v="2"/>
    <x v="0"/>
    <s v="Accessories"/>
    <x v="0"/>
    <n v="492.21"/>
    <n v="4"/>
    <x v="7"/>
    <n v="2025"/>
    <n v="276.07"/>
    <n v="0.56087848682472929"/>
  </r>
  <r>
    <n v="11331"/>
    <d v="2025-08-23T00:00:00"/>
    <x v="3"/>
    <x v="2"/>
    <s v="Accessories"/>
    <x v="0"/>
    <n v="946.04"/>
    <n v="6"/>
    <x v="7"/>
    <n v="2025"/>
    <n v="204.83"/>
    <n v="0.21651304384592621"/>
  </r>
  <r>
    <n v="11332"/>
    <d v="2025-08-24T00:00:00"/>
    <x v="3"/>
    <x v="0"/>
    <s v="Accessories"/>
    <x v="1"/>
    <n v="935.14"/>
    <n v="5"/>
    <x v="7"/>
    <n v="2025"/>
    <n v="289.01"/>
    <n v="0.3090553286138974"/>
  </r>
  <r>
    <n v="11333"/>
    <d v="2025-08-25T00:00:00"/>
    <x v="0"/>
    <x v="1"/>
    <s v="Binders"/>
    <x v="4"/>
    <n v="246.53"/>
    <n v="1"/>
    <x v="7"/>
    <n v="2025"/>
    <n v="-84.98"/>
    <n v="-0.34470449843832396"/>
  </r>
  <r>
    <n v="11334"/>
    <d v="2025-08-26T00:00:00"/>
    <x v="1"/>
    <x v="1"/>
    <s v="Accessories"/>
    <x v="4"/>
    <n v="390.31"/>
    <n v="5"/>
    <x v="7"/>
    <n v="2025"/>
    <n v="14.05"/>
    <n v="3.5997028003381927E-2"/>
  </r>
  <r>
    <n v="11335"/>
    <d v="2025-08-27T00:00:00"/>
    <x v="1"/>
    <x v="0"/>
    <s v="Tables"/>
    <x v="2"/>
    <n v="191.93"/>
    <n v="5"/>
    <x v="7"/>
    <n v="2025"/>
    <n v="-21.83"/>
    <n v="-0.11373938415047151"/>
  </r>
  <r>
    <n v="11336"/>
    <d v="2025-08-28T00:00:00"/>
    <x v="3"/>
    <x v="2"/>
    <s v="Chairs"/>
    <x v="3"/>
    <n v="534.49"/>
    <n v="9"/>
    <x v="7"/>
    <n v="2025"/>
    <n v="-95.54"/>
    <n v="-0.17874983629254057"/>
  </r>
  <r>
    <n v="11337"/>
    <d v="2025-08-29T00:00:00"/>
    <x v="0"/>
    <x v="1"/>
    <s v="Phones"/>
    <x v="2"/>
    <n v="487.55"/>
    <n v="1"/>
    <x v="7"/>
    <n v="2025"/>
    <n v="-3.07"/>
    <n v="-6.2967900728130447E-3"/>
  </r>
  <r>
    <n v="11338"/>
    <d v="2025-08-30T00:00:00"/>
    <x v="3"/>
    <x v="2"/>
    <s v="Binders"/>
    <x v="2"/>
    <n v="905.72"/>
    <n v="5"/>
    <x v="7"/>
    <n v="2025"/>
    <n v="171.51"/>
    <n v="0.18936315859205935"/>
  </r>
  <r>
    <n v="11339"/>
    <d v="2025-08-31T00:00:00"/>
    <x v="3"/>
    <x v="1"/>
    <s v="Accessories"/>
    <x v="3"/>
    <n v="933.51"/>
    <n v="7"/>
    <x v="7"/>
    <n v="2025"/>
    <n v="-7.56"/>
    <n v="-8.0984670758749225E-3"/>
  </r>
  <r>
    <n v="11340"/>
    <d v="2025-09-01T00:00:00"/>
    <x v="3"/>
    <x v="0"/>
    <s v="Accessories"/>
    <x v="1"/>
    <n v="414.39"/>
    <n v="6"/>
    <x v="8"/>
    <n v="2025"/>
    <n v="103.6"/>
    <n v="0.25000603296411594"/>
  </r>
  <r>
    <n v="11341"/>
    <d v="2025-09-02T00:00:00"/>
    <x v="0"/>
    <x v="0"/>
    <s v="Chairs"/>
    <x v="4"/>
    <n v="517.15"/>
    <n v="6"/>
    <x v="8"/>
    <n v="2025"/>
    <n v="255.13"/>
    <n v="0.49333848979986467"/>
  </r>
  <r>
    <n v="11342"/>
    <d v="2025-09-03T00:00:00"/>
    <x v="1"/>
    <x v="0"/>
    <s v="Chairs"/>
    <x v="2"/>
    <n v="901.42"/>
    <n v="7"/>
    <x v="8"/>
    <n v="2025"/>
    <n v="177.5"/>
    <n v="0.19691153957089927"/>
  </r>
  <r>
    <n v="11343"/>
    <d v="2025-09-04T00:00:00"/>
    <x v="0"/>
    <x v="1"/>
    <s v="Binders"/>
    <x v="3"/>
    <n v="816.37"/>
    <n v="6"/>
    <x v="8"/>
    <n v="2025"/>
    <n v="57.85"/>
    <n v="7.0862476573122488E-2"/>
  </r>
  <r>
    <n v="11344"/>
    <d v="2025-09-05T00:00:00"/>
    <x v="2"/>
    <x v="2"/>
    <s v="Phones"/>
    <x v="0"/>
    <n v="53.47"/>
    <n v="5"/>
    <x v="8"/>
    <n v="2025"/>
    <n v="48.99"/>
    <n v="0.91621469983168136"/>
  </r>
  <r>
    <n v="11345"/>
    <d v="2025-09-06T00:00:00"/>
    <x v="0"/>
    <x v="2"/>
    <s v="Accessories"/>
    <x v="2"/>
    <n v="354.06"/>
    <n v="5"/>
    <x v="8"/>
    <n v="2025"/>
    <n v="82.29"/>
    <n v="0.23241823419759364"/>
  </r>
  <r>
    <n v="11346"/>
    <d v="2025-09-07T00:00:00"/>
    <x v="0"/>
    <x v="2"/>
    <s v="Binders"/>
    <x v="4"/>
    <n v="450.69"/>
    <n v="9"/>
    <x v="8"/>
    <n v="2025"/>
    <n v="-29.18"/>
    <n v="-6.4745168519381391E-2"/>
  </r>
  <r>
    <n v="11347"/>
    <d v="2025-09-08T00:00:00"/>
    <x v="0"/>
    <x v="1"/>
    <s v="Tables"/>
    <x v="1"/>
    <n v="268.23"/>
    <n v="8"/>
    <x v="8"/>
    <n v="2025"/>
    <n v="153.6"/>
    <n v="0.57264288110949557"/>
  </r>
  <r>
    <n v="11348"/>
    <d v="2025-09-09T00:00:00"/>
    <x v="0"/>
    <x v="1"/>
    <s v="Tables"/>
    <x v="2"/>
    <n v="239.59"/>
    <n v="4"/>
    <x v="8"/>
    <n v="2025"/>
    <n v="45.66"/>
    <n v="0.19057556659292957"/>
  </r>
  <r>
    <n v="11349"/>
    <d v="2025-09-10T00:00:00"/>
    <x v="1"/>
    <x v="1"/>
    <s v="Binders"/>
    <x v="2"/>
    <n v="85.9"/>
    <n v="4"/>
    <x v="8"/>
    <n v="2025"/>
    <n v="240.95"/>
    <n v="2.8050058207217692"/>
  </r>
  <r>
    <n v="11350"/>
    <d v="2025-09-11T00:00:00"/>
    <x v="2"/>
    <x v="1"/>
    <s v="Accessories"/>
    <x v="3"/>
    <n v="661.2"/>
    <n v="5"/>
    <x v="8"/>
    <n v="2025"/>
    <n v="202.62"/>
    <n v="0.30644283121597093"/>
  </r>
  <r>
    <n v="11351"/>
    <d v="2025-09-12T00:00:00"/>
    <x v="1"/>
    <x v="1"/>
    <s v="Binders"/>
    <x v="0"/>
    <n v="299.38"/>
    <n v="3"/>
    <x v="8"/>
    <n v="2025"/>
    <n v="144.21"/>
    <n v="0.48169550404168621"/>
  </r>
  <r>
    <n v="11352"/>
    <d v="2025-09-13T00:00:00"/>
    <x v="1"/>
    <x v="2"/>
    <s v="Accessories"/>
    <x v="0"/>
    <n v="99.73"/>
    <n v="8"/>
    <x v="8"/>
    <n v="2025"/>
    <n v="45.68"/>
    <n v="0.4580366990875363"/>
  </r>
  <r>
    <n v="11353"/>
    <d v="2025-09-14T00:00:00"/>
    <x v="0"/>
    <x v="1"/>
    <s v="Chairs"/>
    <x v="1"/>
    <n v="269.43"/>
    <n v="7"/>
    <x v="8"/>
    <n v="2025"/>
    <n v="-16.03"/>
    <n v="-5.9495972979994809E-2"/>
  </r>
  <r>
    <n v="11354"/>
    <d v="2025-09-15T00:00:00"/>
    <x v="3"/>
    <x v="1"/>
    <s v="Binders"/>
    <x v="4"/>
    <n v="811.82"/>
    <n v="5"/>
    <x v="8"/>
    <n v="2025"/>
    <n v="210.46"/>
    <n v="0.25924466014633785"/>
  </r>
  <r>
    <n v="11355"/>
    <d v="2025-09-16T00:00:00"/>
    <x v="3"/>
    <x v="2"/>
    <s v="Accessories"/>
    <x v="1"/>
    <n v="858.91"/>
    <n v="3"/>
    <x v="8"/>
    <n v="2025"/>
    <n v="94.56"/>
    <n v="0.11009302488037163"/>
  </r>
  <r>
    <n v="11356"/>
    <d v="2025-09-17T00:00:00"/>
    <x v="1"/>
    <x v="1"/>
    <s v="Binders"/>
    <x v="2"/>
    <n v="508.91"/>
    <n v="5"/>
    <x v="8"/>
    <n v="2025"/>
    <n v="-10.1"/>
    <n v="-1.9846338252343242E-2"/>
  </r>
  <r>
    <n v="11357"/>
    <d v="2025-09-18T00:00:00"/>
    <x v="1"/>
    <x v="2"/>
    <s v="Binders"/>
    <x v="2"/>
    <n v="445.27"/>
    <n v="3"/>
    <x v="8"/>
    <n v="2025"/>
    <n v="-21.93"/>
    <n v="-4.9251016237339143E-2"/>
  </r>
  <r>
    <n v="11358"/>
    <d v="2025-09-19T00:00:00"/>
    <x v="0"/>
    <x v="2"/>
    <s v="Accessories"/>
    <x v="0"/>
    <n v="978.96"/>
    <n v="5"/>
    <x v="8"/>
    <n v="2025"/>
    <n v="-33.840000000000003"/>
    <n v="-3.4567295905859281E-2"/>
  </r>
  <r>
    <n v="11359"/>
    <d v="2025-09-20T00:00:00"/>
    <x v="1"/>
    <x v="0"/>
    <s v="Accessories"/>
    <x v="4"/>
    <n v="240.54"/>
    <n v="1"/>
    <x v="8"/>
    <n v="2025"/>
    <n v="210.86"/>
    <n v="0.87661095867631167"/>
  </r>
  <r>
    <n v="11360"/>
    <d v="2025-09-21T00:00:00"/>
    <x v="0"/>
    <x v="0"/>
    <s v="Phones"/>
    <x v="3"/>
    <n v="254.59"/>
    <n v="6"/>
    <x v="8"/>
    <n v="2025"/>
    <n v="-8.41"/>
    <n v="-3.3033504850936798E-2"/>
  </r>
  <r>
    <n v="11361"/>
    <d v="2025-09-22T00:00:00"/>
    <x v="3"/>
    <x v="0"/>
    <s v="Binders"/>
    <x v="4"/>
    <n v="327.27"/>
    <n v="4"/>
    <x v="8"/>
    <n v="2025"/>
    <n v="110.66"/>
    <n v="0.33813059553274055"/>
  </r>
  <r>
    <n v="11362"/>
    <d v="2025-09-23T00:00:00"/>
    <x v="3"/>
    <x v="0"/>
    <s v="Tables"/>
    <x v="2"/>
    <n v="214.12"/>
    <n v="4"/>
    <x v="8"/>
    <n v="2025"/>
    <n v="80.62"/>
    <n v="0.37651784046329162"/>
  </r>
  <r>
    <n v="11363"/>
    <d v="2025-09-24T00:00:00"/>
    <x v="2"/>
    <x v="1"/>
    <s v="Binders"/>
    <x v="3"/>
    <n v="410.4"/>
    <n v="8"/>
    <x v="8"/>
    <n v="2025"/>
    <n v="131.84"/>
    <n v="0.32124756335282656"/>
  </r>
  <r>
    <n v="11364"/>
    <d v="2025-09-25T00:00:00"/>
    <x v="3"/>
    <x v="0"/>
    <s v="Binders"/>
    <x v="4"/>
    <n v="915.29"/>
    <n v="2"/>
    <x v="8"/>
    <n v="2025"/>
    <n v="250.86"/>
    <n v="0.27407706847010238"/>
  </r>
  <r>
    <n v="11365"/>
    <d v="2025-09-26T00:00:00"/>
    <x v="1"/>
    <x v="2"/>
    <s v="Accessories"/>
    <x v="4"/>
    <n v="634.58000000000004"/>
    <n v="4"/>
    <x v="8"/>
    <n v="2025"/>
    <n v="247.1"/>
    <n v="0.38939140849065518"/>
  </r>
  <r>
    <n v="11366"/>
    <d v="2025-09-27T00:00:00"/>
    <x v="3"/>
    <x v="1"/>
    <s v="Binders"/>
    <x v="3"/>
    <n v="441.35"/>
    <n v="2"/>
    <x v="8"/>
    <n v="2025"/>
    <n v="80.430000000000007"/>
    <n v="0.1822363203806503"/>
  </r>
  <r>
    <n v="11367"/>
    <d v="2025-09-28T00:00:00"/>
    <x v="0"/>
    <x v="0"/>
    <s v="Binders"/>
    <x v="2"/>
    <n v="937.69"/>
    <n v="1"/>
    <x v="8"/>
    <n v="2025"/>
    <n v="-93.85"/>
    <n v="-0.10008638249314804"/>
  </r>
  <r>
    <n v="11368"/>
    <d v="2025-09-29T00:00:00"/>
    <x v="3"/>
    <x v="2"/>
    <s v="Tables"/>
    <x v="4"/>
    <n v="96.04"/>
    <n v="3"/>
    <x v="8"/>
    <n v="2025"/>
    <n v="70.58"/>
    <n v="0.73490212411495204"/>
  </r>
  <r>
    <n v="11369"/>
    <d v="2025-09-30T00:00:00"/>
    <x v="2"/>
    <x v="1"/>
    <s v="Accessories"/>
    <x v="3"/>
    <n v="249.76"/>
    <n v="8"/>
    <x v="8"/>
    <n v="2025"/>
    <n v="142.47999999999999"/>
    <n v="0.57046764894298529"/>
  </r>
  <r>
    <n v="11370"/>
    <d v="2025-10-01T00:00:00"/>
    <x v="3"/>
    <x v="1"/>
    <s v="Binders"/>
    <x v="2"/>
    <n v="587.59"/>
    <n v="6"/>
    <x v="9"/>
    <n v="2025"/>
    <n v="123.11"/>
    <n v="0.20951683997345086"/>
  </r>
  <r>
    <n v="11371"/>
    <d v="2025-10-02T00:00:00"/>
    <x v="0"/>
    <x v="0"/>
    <s v="Chairs"/>
    <x v="3"/>
    <n v="634.77"/>
    <n v="7"/>
    <x v="9"/>
    <n v="2025"/>
    <n v="160.53"/>
    <n v="0.25289474927926653"/>
  </r>
  <r>
    <n v="11372"/>
    <d v="2025-10-03T00:00:00"/>
    <x v="0"/>
    <x v="1"/>
    <s v="Phones"/>
    <x v="3"/>
    <n v="87.58"/>
    <n v="2"/>
    <x v="9"/>
    <n v="2025"/>
    <n v="-38.369999999999997"/>
    <n v="-0.43811372459465631"/>
  </r>
  <r>
    <n v="11373"/>
    <d v="2025-10-04T00:00:00"/>
    <x v="1"/>
    <x v="2"/>
    <s v="Tables"/>
    <x v="4"/>
    <n v="432.89"/>
    <n v="6"/>
    <x v="9"/>
    <n v="2025"/>
    <n v="158.61000000000001"/>
    <n v="0.36639793019011763"/>
  </r>
  <r>
    <n v="11374"/>
    <d v="2025-10-05T00:00:00"/>
    <x v="3"/>
    <x v="1"/>
    <s v="Binders"/>
    <x v="2"/>
    <n v="666.7"/>
    <n v="8"/>
    <x v="9"/>
    <n v="2025"/>
    <n v="-26.94"/>
    <n v="-4.0407979601019946E-2"/>
  </r>
  <r>
    <n v="11375"/>
    <d v="2025-10-06T00:00:00"/>
    <x v="0"/>
    <x v="2"/>
    <s v="Chairs"/>
    <x v="4"/>
    <n v="713.17"/>
    <n v="8"/>
    <x v="9"/>
    <n v="2025"/>
    <n v="200.21"/>
    <n v="0.28073250417151596"/>
  </r>
  <r>
    <n v="11376"/>
    <d v="2025-10-07T00:00:00"/>
    <x v="2"/>
    <x v="1"/>
    <s v="Binders"/>
    <x v="1"/>
    <n v="656.23"/>
    <n v="4"/>
    <x v="9"/>
    <n v="2025"/>
    <n v="35.64"/>
    <n v="5.4310226597382015E-2"/>
  </r>
  <r>
    <n v="11377"/>
    <d v="2025-10-08T00:00:00"/>
    <x v="1"/>
    <x v="0"/>
    <s v="Binders"/>
    <x v="1"/>
    <n v="354.54"/>
    <n v="6"/>
    <x v="9"/>
    <n v="2025"/>
    <n v="183.96"/>
    <n v="0.51886952106955486"/>
  </r>
  <r>
    <n v="11378"/>
    <d v="2025-10-09T00:00:00"/>
    <x v="2"/>
    <x v="2"/>
    <s v="Accessories"/>
    <x v="2"/>
    <n v="138.84"/>
    <n v="5"/>
    <x v="9"/>
    <n v="2025"/>
    <n v="-80.849999999999994"/>
    <n v="-0.58232497839239405"/>
  </r>
  <r>
    <n v="11379"/>
    <d v="2025-10-10T00:00:00"/>
    <x v="3"/>
    <x v="1"/>
    <s v="Accessories"/>
    <x v="3"/>
    <n v="455.76"/>
    <n v="9"/>
    <x v="9"/>
    <n v="2025"/>
    <n v="63.14"/>
    <n v="0.13853782692645253"/>
  </r>
  <r>
    <n v="11380"/>
    <d v="2025-10-11T00:00:00"/>
    <x v="3"/>
    <x v="1"/>
    <s v="Accessories"/>
    <x v="4"/>
    <n v="172.32"/>
    <n v="8"/>
    <x v="9"/>
    <n v="2025"/>
    <n v="182.01"/>
    <n v="1.056232590529248"/>
  </r>
  <r>
    <n v="11381"/>
    <d v="2025-10-12T00:00:00"/>
    <x v="3"/>
    <x v="1"/>
    <s v="Chairs"/>
    <x v="4"/>
    <n v="950.24"/>
    <n v="2"/>
    <x v="9"/>
    <n v="2025"/>
    <n v="-9.25"/>
    <n v="-9.7343828927428863E-3"/>
  </r>
  <r>
    <n v="11382"/>
    <d v="2025-10-13T00:00:00"/>
    <x v="1"/>
    <x v="2"/>
    <s v="Binders"/>
    <x v="2"/>
    <n v="501.41"/>
    <n v="7"/>
    <x v="9"/>
    <n v="2025"/>
    <n v="218.11"/>
    <n v="0.43499331884086878"/>
  </r>
  <r>
    <n v="11383"/>
    <d v="2025-10-14T00:00:00"/>
    <x v="0"/>
    <x v="2"/>
    <s v="Phones"/>
    <x v="2"/>
    <n v="351.4"/>
    <n v="7"/>
    <x v="9"/>
    <n v="2025"/>
    <n v="152.31"/>
    <n v="0.43343767785998866"/>
  </r>
  <r>
    <n v="11384"/>
    <d v="2025-10-15T00:00:00"/>
    <x v="1"/>
    <x v="2"/>
    <s v="Tables"/>
    <x v="1"/>
    <n v="777.99"/>
    <n v="1"/>
    <x v="9"/>
    <n v="2025"/>
    <n v="135.02000000000001"/>
    <n v="0.17354978855769357"/>
  </r>
  <r>
    <n v="11385"/>
    <d v="2025-10-16T00:00:00"/>
    <x v="2"/>
    <x v="0"/>
    <s v="Accessories"/>
    <x v="0"/>
    <n v="523.04999999999995"/>
    <n v="1"/>
    <x v="9"/>
    <n v="2025"/>
    <n v="41.42"/>
    <n v="7.9189370041105073E-2"/>
  </r>
  <r>
    <n v="11386"/>
    <d v="2025-10-17T00:00:00"/>
    <x v="1"/>
    <x v="0"/>
    <s v="Accessories"/>
    <x v="2"/>
    <n v="344.53"/>
    <n v="4"/>
    <x v="9"/>
    <n v="2025"/>
    <n v="92.98"/>
    <n v="0.26987490204046094"/>
  </r>
  <r>
    <n v="11387"/>
    <d v="2025-10-18T00:00:00"/>
    <x v="2"/>
    <x v="2"/>
    <s v="Binders"/>
    <x v="0"/>
    <n v="821.37"/>
    <n v="5"/>
    <x v="9"/>
    <n v="2025"/>
    <n v="138.94"/>
    <n v="0.16915640941354079"/>
  </r>
  <r>
    <n v="11388"/>
    <d v="2025-10-19T00:00:00"/>
    <x v="1"/>
    <x v="1"/>
    <s v="Binders"/>
    <x v="2"/>
    <n v="873.79"/>
    <n v="4"/>
    <x v="9"/>
    <n v="2025"/>
    <n v="88.98"/>
    <n v="0.10183224802298035"/>
  </r>
  <r>
    <n v="11389"/>
    <d v="2025-10-20T00:00:00"/>
    <x v="0"/>
    <x v="0"/>
    <s v="Chairs"/>
    <x v="3"/>
    <n v="689.36"/>
    <n v="7"/>
    <x v="9"/>
    <n v="2025"/>
    <n v="179.33"/>
    <n v="0.26013983985145644"/>
  </r>
  <r>
    <n v="11390"/>
    <d v="2025-10-21T00:00:00"/>
    <x v="2"/>
    <x v="2"/>
    <s v="Chairs"/>
    <x v="3"/>
    <n v="94.62"/>
    <n v="3"/>
    <x v="9"/>
    <n v="2025"/>
    <n v="73.48"/>
    <n v="0.77658000422743612"/>
  </r>
  <r>
    <n v="11391"/>
    <d v="2025-10-22T00:00:00"/>
    <x v="3"/>
    <x v="1"/>
    <s v="Accessories"/>
    <x v="1"/>
    <n v="588.01"/>
    <n v="7"/>
    <x v="9"/>
    <n v="2025"/>
    <n v="-19.09"/>
    <n v="-3.2465434261322083E-2"/>
  </r>
  <r>
    <n v="11392"/>
    <d v="2025-10-23T00:00:00"/>
    <x v="3"/>
    <x v="0"/>
    <s v="Binders"/>
    <x v="1"/>
    <n v="775.13"/>
    <n v="8"/>
    <x v="9"/>
    <n v="2025"/>
    <n v="-14.43"/>
    <n v="-1.8616232115903138E-2"/>
  </r>
  <r>
    <n v="11393"/>
    <d v="2025-10-24T00:00:00"/>
    <x v="1"/>
    <x v="1"/>
    <s v="Phones"/>
    <x v="0"/>
    <n v="179.68"/>
    <n v="6"/>
    <x v="9"/>
    <n v="2025"/>
    <n v="-97.68"/>
    <n v="-0.54363312555654497"/>
  </r>
  <r>
    <n v="11394"/>
    <d v="2025-10-25T00:00:00"/>
    <x v="3"/>
    <x v="1"/>
    <s v="Tables"/>
    <x v="2"/>
    <n v="267.24"/>
    <n v="6"/>
    <x v="9"/>
    <n v="2025"/>
    <n v="20.38"/>
    <n v="7.626103876665169E-2"/>
  </r>
  <r>
    <n v="11395"/>
    <d v="2025-10-26T00:00:00"/>
    <x v="2"/>
    <x v="1"/>
    <s v="Binders"/>
    <x v="4"/>
    <n v="888.37"/>
    <n v="8"/>
    <x v="9"/>
    <n v="2025"/>
    <n v="199.57"/>
    <n v="0.22464738791269404"/>
  </r>
  <r>
    <n v="11396"/>
    <d v="2025-10-27T00:00:00"/>
    <x v="3"/>
    <x v="1"/>
    <s v="Binders"/>
    <x v="1"/>
    <n v="69.12"/>
    <n v="8"/>
    <x v="9"/>
    <n v="2025"/>
    <n v="217.67"/>
    <n v="3.1491608796296293"/>
  </r>
  <r>
    <n v="11397"/>
    <d v="2025-10-28T00:00:00"/>
    <x v="0"/>
    <x v="0"/>
    <s v="Chairs"/>
    <x v="4"/>
    <n v="765.09"/>
    <n v="7"/>
    <x v="9"/>
    <n v="2025"/>
    <n v="-19.010000000000002"/>
    <n v="-2.4846750055549021E-2"/>
  </r>
  <r>
    <n v="11398"/>
    <d v="2025-10-29T00:00:00"/>
    <x v="0"/>
    <x v="0"/>
    <s v="Tables"/>
    <x v="4"/>
    <n v="500.08"/>
    <n v="6"/>
    <x v="9"/>
    <n v="2025"/>
    <n v="283.62"/>
    <n v="0.56714925611902101"/>
  </r>
  <r>
    <n v="11399"/>
    <d v="2025-10-30T00:00:00"/>
    <x v="1"/>
    <x v="0"/>
    <s v="Accessories"/>
    <x v="2"/>
    <n v="474.43"/>
    <n v="6"/>
    <x v="9"/>
    <n v="2025"/>
    <n v="100.96"/>
    <n v="0.21280273169909153"/>
  </r>
  <r>
    <n v="11400"/>
    <d v="2025-10-31T00:00:00"/>
    <x v="2"/>
    <x v="2"/>
    <s v="Binders"/>
    <x v="0"/>
    <n v="56.74"/>
    <n v="6"/>
    <x v="9"/>
    <n v="2025"/>
    <n v="266.79000000000002"/>
    <n v="4.7019739161085656"/>
  </r>
  <r>
    <n v="11401"/>
    <d v="2025-11-01T00:00:00"/>
    <x v="0"/>
    <x v="0"/>
    <s v="Accessories"/>
    <x v="2"/>
    <n v="828.43"/>
    <n v="8"/>
    <x v="10"/>
    <n v="2025"/>
    <n v="182.71"/>
    <n v="0.22054971452023711"/>
  </r>
  <r>
    <n v="11402"/>
    <d v="2025-11-02T00:00:00"/>
    <x v="0"/>
    <x v="1"/>
    <s v="Binders"/>
    <x v="1"/>
    <n v="391.83"/>
    <n v="1"/>
    <x v="10"/>
    <n v="2025"/>
    <n v="188.97"/>
    <n v="0.48227547660975423"/>
  </r>
  <r>
    <n v="11403"/>
    <d v="2025-11-03T00:00:00"/>
    <x v="2"/>
    <x v="0"/>
    <s v="Accessories"/>
    <x v="4"/>
    <n v="563.73"/>
    <n v="5"/>
    <x v="10"/>
    <n v="2025"/>
    <n v="-65.98"/>
    <n v="-0.11704184627392547"/>
  </r>
  <r>
    <n v="11404"/>
    <d v="2025-11-04T00:00:00"/>
    <x v="3"/>
    <x v="1"/>
    <s v="Tables"/>
    <x v="2"/>
    <n v="693.44"/>
    <n v="3"/>
    <x v="10"/>
    <n v="2025"/>
    <n v="-12"/>
    <n v="-1.7305029995385322E-2"/>
  </r>
  <r>
    <n v="11405"/>
    <d v="2025-11-05T00:00:00"/>
    <x v="3"/>
    <x v="2"/>
    <s v="Chairs"/>
    <x v="2"/>
    <n v="717.5"/>
    <n v="8"/>
    <x v="10"/>
    <n v="2025"/>
    <n v="-96.47"/>
    <n v="-0.13445296167247386"/>
  </r>
  <r>
    <n v="11406"/>
    <d v="2025-11-06T00:00:00"/>
    <x v="1"/>
    <x v="1"/>
    <s v="Tables"/>
    <x v="2"/>
    <n v="958.18"/>
    <n v="6"/>
    <x v="10"/>
    <n v="2025"/>
    <n v="186.45"/>
    <n v="0.19458765576405268"/>
  </r>
  <r>
    <n v="11407"/>
    <d v="2025-11-07T00:00:00"/>
    <x v="3"/>
    <x v="1"/>
    <s v="Phones"/>
    <x v="1"/>
    <n v="554.77"/>
    <n v="2"/>
    <x v="10"/>
    <n v="2025"/>
    <n v="37.78"/>
    <n v="6.8100293815455057E-2"/>
  </r>
  <r>
    <n v="11408"/>
    <d v="2025-11-08T00:00:00"/>
    <x v="2"/>
    <x v="1"/>
    <s v="Chairs"/>
    <x v="0"/>
    <n v="429.73"/>
    <n v="7"/>
    <x v="10"/>
    <n v="2025"/>
    <n v="214.66"/>
    <n v="0.49952295627487026"/>
  </r>
  <r>
    <n v="11409"/>
    <d v="2025-11-09T00:00:00"/>
    <x v="0"/>
    <x v="2"/>
    <s v="Tables"/>
    <x v="2"/>
    <n v="956.02"/>
    <n v="7"/>
    <x v="10"/>
    <n v="2025"/>
    <n v="35.57"/>
    <n v="3.7206334595510558E-2"/>
  </r>
  <r>
    <n v="11410"/>
    <d v="2025-11-10T00:00:00"/>
    <x v="3"/>
    <x v="0"/>
    <s v="Phones"/>
    <x v="1"/>
    <n v="660"/>
    <n v="5"/>
    <x v="10"/>
    <n v="2025"/>
    <n v="227.73"/>
    <n v="0.34504545454545454"/>
  </r>
  <r>
    <n v="11411"/>
    <d v="2025-11-11T00:00:00"/>
    <x v="1"/>
    <x v="0"/>
    <s v="Binders"/>
    <x v="4"/>
    <n v="333.24"/>
    <n v="8"/>
    <x v="10"/>
    <n v="2025"/>
    <n v="-47.72"/>
    <n v="-0.14320009602688752"/>
  </r>
  <r>
    <n v="11412"/>
    <d v="2025-11-12T00:00:00"/>
    <x v="3"/>
    <x v="2"/>
    <s v="Binders"/>
    <x v="3"/>
    <n v="170.14"/>
    <n v="5"/>
    <x v="10"/>
    <n v="2025"/>
    <n v="-30.65"/>
    <n v="-0.18014576231338897"/>
  </r>
  <r>
    <n v="11413"/>
    <d v="2025-11-13T00:00:00"/>
    <x v="2"/>
    <x v="1"/>
    <s v="Accessories"/>
    <x v="1"/>
    <n v="850.43"/>
    <n v="1"/>
    <x v="10"/>
    <n v="2025"/>
    <n v="36.35"/>
    <n v="4.2743082910997973E-2"/>
  </r>
  <r>
    <n v="11414"/>
    <d v="2025-11-14T00:00:00"/>
    <x v="1"/>
    <x v="0"/>
    <s v="Chairs"/>
    <x v="3"/>
    <n v="394.07"/>
    <n v="9"/>
    <x v="10"/>
    <n v="2025"/>
    <n v="63.39"/>
    <n v="0.16085974573045397"/>
  </r>
  <r>
    <n v="11415"/>
    <d v="2025-11-15T00:00:00"/>
    <x v="3"/>
    <x v="2"/>
    <s v="Binders"/>
    <x v="2"/>
    <n v="677.45"/>
    <n v="4"/>
    <x v="10"/>
    <n v="2025"/>
    <n v="39.479999999999997"/>
    <n v="5.8277363643073281E-2"/>
  </r>
  <r>
    <n v="11416"/>
    <d v="2025-11-16T00:00:00"/>
    <x v="1"/>
    <x v="0"/>
    <s v="Chairs"/>
    <x v="2"/>
    <n v="497.28"/>
    <n v="2"/>
    <x v="10"/>
    <n v="2025"/>
    <n v="205.46"/>
    <n v="0.41316763191763195"/>
  </r>
  <r>
    <n v="11417"/>
    <d v="2025-11-17T00:00:00"/>
    <x v="2"/>
    <x v="2"/>
    <s v="Binders"/>
    <x v="1"/>
    <n v="238.98"/>
    <n v="4"/>
    <x v="10"/>
    <n v="2025"/>
    <n v="-61.22"/>
    <n v="-0.25617206460791697"/>
  </r>
  <r>
    <n v="11418"/>
    <d v="2025-11-18T00:00:00"/>
    <x v="0"/>
    <x v="1"/>
    <s v="Accessories"/>
    <x v="3"/>
    <n v="621.6"/>
    <n v="9"/>
    <x v="10"/>
    <n v="2025"/>
    <n v="40.49"/>
    <n v="6.5138352638352645E-2"/>
  </r>
  <r>
    <n v="11419"/>
    <d v="2025-11-19T00:00:00"/>
    <x v="2"/>
    <x v="0"/>
    <s v="Tables"/>
    <x v="2"/>
    <n v="107.65"/>
    <n v="2"/>
    <x v="10"/>
    <n v="2025"/>
    <n v="234.9"/>
    <n v="2.1820715281003249"/>
  </r>
  <r>
    <n v="11420"/>
    <d v="2025-11-20T00:00:00"/>
    <x v="2"/>
    <x v="2"/>
    <s v="Accessories"/>
    <x v="4"/>
    <n v="442.68"/>
    <n v="4"/>
    <x v="10"/>
    <n v="2025"/>
    <n v="-73.28"/>
    <n v="-0.16553718261498149"/>
  </r>
  <r>
    <n v="11421"/>
    <d v="2025-11-21T00:00:00"/>
    <x v="2"/>
    <x v="0"/>
    <s v="Phones"/>
    <x v="0"/>
    <n v="569.28"/>
    <n v="2"/>
    <x v="10"/>
    <n v="2025"/>
    <n v="276.94"/>
    <n v="0.48647414277684092"/>
  </r>
  <r>
    <n v="11422"/>
    <d v="2025-11-22T00:00:00"/>
    <x v="2"/>
    <x v="0"/>
    <s v="Binders"/>
    <x v="0"/>
    <n v="464.24"/>
    <n v="5"/>
    <x v="10"/>
    <n v="2025"/>
    <n v="294.52999999999997"/>
    <n v="0.63443477511631907"/>
  </r>
  <r>
    <n v="11423"/>
    <d v="2025-11-23T00:00:00"/>
    <x v="0"/>
    <x v="0"/>
    <s v="Phones"/>
    <x v="2"/>
    <n v="761.24"/>
    <n v="3"/>
    <x v="10"/>
    <n v="2025"/>
    <n v="-64.569999999999993"/>
    <n v="-8.4822132310440848E-2"/>
  </r>
  <r>
    <n v="11424"/>
    <d v="2025-11-24T00:00:00"/>
    <x v="0"/>
    <x v="0"/>
    <s v="Phones"/>
    <x v="3"/>
    <n v="836.53"/>
    <n v="2"/>
    <x v="10"/>
    <n v="2025"/>
    <n v="16.510000000000002"/>
    <n v="1.973629158547811E-2"/>
  </r>
  <r>
    <n v="11425"/>
    <d v="2025-11-25T00:00:00"/>
    <x v="1"/>
    <x v="2"/>
    <s v="Chairs"/>
    <x v="2"/>
    <n v="782.68"/>
    <n v="9"/>
    <x v="10"/>
    <n v="2025"/>
    <n v="48.96"/>
    <n v="6.2554300608166816E-2"/>
  </r>
  <r>
    <n v="11426"/>
    <d v="2025-11-26T00:00:00"/>
    <x v="3"/>
    <x v="1"/>
    <s v="Binders"/>
    <x v="3"/>
    <n v="86.87"/>
    <n v="5"/>
    <x v="10"/>
    <n v="2025"/>
    <n v="210.56"/>
    <n v="2.4238517324738114"/>
  </r>
  <r>
    <n v="11427"/>
    <d v="2025-11-27T00:00:00"/>
    <x v="0"/>
    <x v="2"/>
    <s v="Phones"/>
    <x v="4"/>
    <n v="234.42"/>
    <n v="5"/>
    <x v="10"/>
    <n v="2025"/>
    <n v="138.37"/>
    <n v="0.59026533572220807"/>
  </r>
  <r>
    <n v="11428"/>
    <d v="2025-11-28T00:00:00"/>
    <x v="0"/>
    <x v="2"/>
    <s v="Tables"/>
    <x v="3"/>
    <n v="559.78"/>
    <n v="1"/>
    <x v="10"/>
    <n v="2025"/>
    <n v="157.75"/>
    <n v="0.28180713851870381"/>
  </r>
  <r>
    <n v="11429"/>
    <d v="2025-11-29T00:00:00"/>
    <x v="3"/>
    <x v="2"/>
    <s v="Phones"/>
    <x v="2"/>
    <n v="938.08"/>
    <n v="6"/>
    <x v="10"/>
    <n v="2025"/>
    <n v="203"/>
    <n v="0.21639945420433224"/>
  </r>
  <r>
    <n v="11430"/>
    <d v="2025-11-30T00:00:00"/>
    <x v="0"/>
    <x v="1"/>
    <s v="Tables"/>
    <x v="4"/>
    <n v="843.21"/>
    <n v="7"/>
    <x v="10"/>
    <n v="2025"/>
    <n v="-52.81"/>
    <n v="-6.2629712645722896E-2"/>
  </r>
  <r>
    <n v="11431"/>
    <d v="2025-12-01T00:00:00"/>
    <x v="2"/>
    <x v="0"/>
    <s v="Chairs"/>
    <x v="1"/>
    <n v="850.41"/>
    <n v="1"/>
    <x v="11"/>
    <n v="2025"/>
    <n v="233.28"/>
    <n v="0.27431474230077257"/>
  </r>
  <r>
    <n v="11432"/>
    <d v="2025-12-02T00:00:00"/>
    <x v="2"/>
    <x v="0"/>
    <s v="Phones"/>
    <x v="0"/>
    <n v="338.05"/>
    <n v="9"/>
    <x v="11"/>
    <n v="2025"/>
    <n v="182.25"/>
    <n v="0.53912143174086669"/>
  </r>
  <r>
    <n v="11433"/>
    <d v="2025-12-03T00:00:00"/>
    <x v="3"/>
    <x v="0"/>
    <s v="Accessories"/>
    <x v="2"/>
    <n v="457.98"/>
    <n v="8"/>
    <x v="11"/>
    <n v="2025"/>
    <n v="130.94"/>
    <n v="0.28590768155814661"/>
  </r>
  <r>
    <n v="11434"/>
    <d v="2025-12-04T00:00:00"/>
    <x v="1"/>
    <x v="1"/>
    <s v="Chairs"/>
    <x v="2"/>
    <n v="497.17"/>
    <n v="8"/>
    <x v="11"/>
    <n v="2025"/>
    <n v="255.89"/>
    <n v="0.51469316330430226"/>
  </r>
  <r>
    <n v="11435"/>
    <d v="2025-12-05T00:00:00"/>
    <x v="1"/>
    <x v="0"/>
    <s v="Tables"/>
    <x v="2"/>
    <n v="199.5"/>
    <n v="7"/>
    <x v="11"/>
    <n v="2025"/>
    <n v="180.12"/>
    <n v="0.90285714285714291"/>
  </r>
  <r>
    <n v="11436"/>
    <d v="2025-12-06T00:00:00"/>
    <x v="3"/>
    <x v="1"/>
    <s v="Chairs"/>
    <x v="4"/>
    <n v="79.510000000000005"/>
    <n v="5"/>
    <x v="11"/>
    <n v="2025"/>
    <n v="-19.32"/>
    <n v="-0.24298830335806815"/>
  </r>
  <r>
    <n v="11437"/>
    <d v="2025-12-07T00:00:00"/>
    <x v="3"/>
    <x v="0"/>
    <s v="Phones"/>
    <x v="1"/>
    <n v="949.56"/>
    <n v="3"/>
    <x v="11"/>
    <n v="2025"/>
    <n v="71.900000000000006"/>
    <n v="7.5719280508867282E-2"/>
  </r>
  <r>
    <n v="11438"/>
    <d v="2025-12-08T00:00:00"/>
    <x v="2"/>
    <x v="0"/>
    <s v="Binders"/>
    <x v="3"/>
    <n v="278.68"/>
    <n v="9"/>
    <x v="11"/>
    <n v="2025"/>
    <n v="97.62"/>
    <n v="0.35029424429453138"/>
  </r>
  <r>
    <n v="11439"/>
    <d v="2025-12-09T00:00:00"/>
    <x v="1"/>
    <x v="2"/>
    <s v="Binders"/>
    <x v="1"/>
    <n v="277.95"/>
    <n v="7"/>
    <x v="11"/>
    <n v="2025"/>
    <n v="-77.91"/>
    <n v="-0.28030221262817051"/>
  </r>
  <r>
    <n v="11440"/>
    <d v="2025-12-10T00:00:00"/>
    <x v="0"/>
    <x v="1"/>
    <s v="Tables"/>
    <x v="4"/>
    <n v="129.21"/>
    <n v="8"/>
    <x v="11"/>
    <n v="2025"/>
    <n v="281.86"/>
    <n v="2.1814101075768129"/>
  </r>
  <r>
    <n v="11441"/>
    <d v="2025-12-11T00:00:00"/>
    <x v="2"/>
    <x v="2"/>
    <s v="Tables"/>
    <x v="2"/>
    <n v="932.08"/>
    <n v="6"/>
    <x v="11"/>
    <n v="2025"/>
    <n v="-48.57"/>
    <n v="-5.2109261007638824E-2"/>
  </r>
  <r>
    <n v="11442"/>
    <d v="2025-12-12T00:00:00"/>
    <x v="3"/>
    <x v="2"/>
    <s v="Binders"/>
    <x v="0"/>
    <n v="600.75"/>
    <n v="5"/>
    <x v="11"/>
    <n v="2025"/>
    <n v="178.98"/>
    <n v="0.29792759051186019"/>
  </r>
  <r>
    <n v="11443"/>
    <d v="2025-12-13T00:00:00"/>
    <x v="1"/>
    <x v="2"/>
    <s v="Tables"/>
    <x v="2"/>
    <n v="683.69"/>
    <n v="8"/>
    <x v="11"/>
    <n v="2025"/>
    <n v="102.49"/>
    <n v="0.1499071216487004"/>
  </r>
  <r>
    <n v="11444"/>
    <d v="2025-12-14T00:00:00"/>
    <x v="0"/>
    <x v="1"/>
    <s v="Chairs"/>
    <x v="3"/>
    <n v="916"/>
    <n v="3"/>
    <x v="11"/>
    <n v="2025"/>
    <n v="-89.75"/>
    <n v="-9.7980349344978165E-2"/>
  </r>
  <r>
    <n v="11445"/>
    <d v="2025-12-15T00:00:00"/>
    <x v="0"/>
    <x v="1"/>
    <s v="Accessories"/>
    <x v="0"/>
    <n v="378.34"/>
    <n v="7"/>
    <x v="11"/>
    <n v="2025"/>
    <n v="269.89999999999998"/>
    <n v="0.71337949992070626"/>
  </r>
  <r>
    <n v="11446"/>
    <d v="2025-12-16T00:00:00"/>
    <x v="2"/>
    <x v="0"/>
    <s v="Accessories"/>
    <x v="2"/>
    <n v="640.42999999999995"/>
    <n v="2"/>
    <x v="11"/>
    <n v="2025"/>
    <n v="240.73"/>
    <n v="0.37588807519947537"/>
  </r>
  <r>
    <n v="11447"/>
    <d v="2025-12-17T00:00:00"/>
    <x v="1"/>
    <x v="2"/>
    <s v="Chairs"/>
    <x v="0"/>
    <n v="86.86"/>
    <n v="3"/>
    <x v="11"/>
    <n v="2025"/>
    <n v="109.7"/>
    <n v="1.2629518765830072"/>
  </r>
  <r>
    <n v="11448"/>
    <d v="2025-12-18T00:00:00"/>
    <x v="1"/>
    <x v="0"/>
    <s v="Accessories"/>
    <x v="1"/>
    <n v="227.43"/>
    <n v="2"/>
    <x v="11"/>
    <n v="2025"/>
    <n v="-8.42"/>
    <n v="-3.7022380512685221E-2"/>
  </r>
  <r>
    <n v="11449"/>
    <d v="2025-12-19T00:00:00"/>
    <x v="3"/>
    <x v="2"/>
    <s v="Phones"/>
    <x v="4"/>
    <n v="839.68"/>
    <n v="5"/>
    <x v="11"/>
    <n v="2025"/>
    <n v="-51.35"/>
    <n v="-6.1154249237804881E-2"/>
  </r>
  <r>
    <n v="11450"/>
    <d v="2025-12-20T00:00:00"/>
    <x v="1"/>
    <x v="1"/>
    <s v="Chairs"/>
    <x v="2"/>
    <n v="778.43"/>
    <n v="7"/>
    <x v="11"/>
    <n v="2025"/>
    <n v="45.36"/>
    <n v="5.8271135490667113E-2"/>
  </r>
  <r>
    <n v="11451"/>
    <d v="2025-12-21T00:00:00"/>
    <x v="1"/>
    <x v="1"/>
    <s v="Tables"/>
    <x v="3"/>
    <n v="383.11"/>
    <n v="1"/>
    <x v="11"/>
    <n v="2025"/>
    <n v="2.17"/>
    <n v="5.6641695596564949E-3"/>
  </r>
  <r>
    <n v="11452"/>
    <d v="2025-12-22T00:00:00"/>
    <x v="2"/>
    <x v="1"/>
    <s v="Chairs"/>
    <x v="1"/>
    <n v="407.97"/>
    <n v="9"/>
    <x v="11"/>
    <n v="2025"/>
    <n v="102.68"/>
    <n v="0.25168517292938208"/>
  </r>
  <r>
    <n v="11453"/>
    <d v="2025-12-23T00:00:00"/>
    <x v="1"/>
    <x v="2"/>
    <s v="Binders"/>
    <x v="2"/>
    <n v="556.88"/>
    <n v="1"/>
    <x v="11"/>
    <n v="2025"/>
    <n v="286.56"/>
    <n v="0.51458123832782643"/>
  </r>
  <r>
    <n v="11454"/>
    <d v="2025-12-24T00:00:00"/>
    <x v="0"/>
    <x v="1"/>
    <s v="Tables"/>
    <x v="1"/>
    <n v="50.23"/>
    <n v="1"/>
    <x v="11"/>
    <n v="2025"/>
    <n v="129.97999999999999"/>
    <n v="2.5876965956599642"/>
  </r>
  <r>
    <n v="11455"/>
    <d v="2025-12-25T00:00:00"/>
    <x v="2"/>
    <x v="2"/>
    <s v="Binders"/>
    <x v="3"/>
    <n v="279.18"/>
    <n v="8"/>
    <x v="11"/>
    <n v="2025"/>
    <n v="255.97"/>
    <n v="0.91686367218282105"/>
  </r>
  <r>
    <n v="11456"/>
    <d v="2025-12-26T00:00:00"/>
    <x v="2"/>
    <x v="0"/>
    <s v="Tables"/>
    <x v="2"/>
    <n v="247.82"/>
    <n v="6"/>
    <x v="11"/>
    <n v="2025"/>
    <n v="160.35"/>
    <n v="0.64704220805423296"/>
  </r>
  <r>
    <n v="11457"/>
    <d v="2025-12-27T00:00:00"/>
    <x v="3"/>
    <x v="2"/>
    <s v="Accessories"/>
    <x v="3"/>
    <n v="287.95999999999998"/>
    <n v="6"/>
    <x v="11"/>
    <n v="2025"/>
    <n v="90.1"/>
    <n v="0.3128906792610085"/>
  </r>
  <r>
    <n v="11458"/>
    <d v="2025-12-28T00:00:00"/>
    <x v="1"/>
    <x v="0"/>
    <s v="Chairs"/>
    <x v="0"/>
    <n v="815.61"/>
    <n v="9"/>
    <x v="11"/>
    <n v="2025"/>
    <n v="241.84"/>
    <n v="0.29651426539645176"/>
  </r>
  <r>
    <n v="11459"/>
    <d v="2025-12-29T00:00:00"/>
    <x v="3"/>
    <x v="2"/>
    <s v="Phones"/>
    <x v="3"/>
    <n v="315.69"/>
    <n v="4"/>
    <x v="11"/>
    <n v="2025"/>
    <n v="88.55"/>
    <n v="0.28049668979061737"/>
  </r>
  <r>
    <n v="11460"/>
    <d v="2025-12-30T00:00:00"/>
    <x v="0"/>
    <x v="0"/>
    <s v="Tables"/>
    <x v="0"/>
    <n v="231.95"/>
    <n v="8"/>
    <x v="11"/>
    <n v="2025"/>
    <n v="247.45"/>
    <n v="1.0668247467126535"/>
  </r>
  <r>
    <n v="11461"/>
    <d v="2025-12-31T00:00:00"/>
    <x v="2"/>
    <x v="1"/>
    <s v="Tables"/>
    <x v="2"/>
    <n v="529.04999999999995"/>
    <n v="4"/>
    <x v="11"/>
    <n v="2025"/>
    <n v="16.63"/>
    <n v="3.1433701918533223E-2"/>
  </r>
  <r>
    <n v="11462"/>
    <d v="2026-01-01T00:00:00"/>
    <x v="2"/>
    <x v="0"/>
    <s v="Binders"/>
    <x v="0"/>
    <n v="872.36"/>
    <n v="2"/>
    <x v="0"/>
    <n v="2026"/>
    <n v="-48.47"/>
    <n v="-5.5561923976340043E-2"/>
  </r>
  <r>
    <n v="11463"/>
    <d v="2026-01-02T00:00:00"/>
    <x v="2"/>
    <x v="1"/>
    <s v="Accessories"/>
    <x v="2"/>
    <n v="279.27999999999997"/>
    <n v="8"/>
    <x v="0"/>
    <n v="2026"/>
    <n v="242.13"/>
    <n v="0.86697937553709548"/>
  </r>
  <r>
    <n v="11464"/>
    <d v="2026-01-03T00:00:00"/>
    <x v="0"/>
    <x v="1"/>
    <s v="Binders"/>
    <x v="2"/>
    <n v="124.61"/>
    <n v="7"/>
    <x v="0"/>
    <n v="2026"/>
    <n v="134.97"/>
    <n v="1.0831393949121257"/>
  </r>
  <r>
    <n v="11465"/>
    <d v="2026-01-04T00:00:00"/>
    <x v="0"/>
    <x v="0"/>
    <s v="Binders"/>
    <x v="4"/>
    <n v="388.58"/>
    <n v="4"/>
    <x v="0"/>
    <n v="2026"/>
    <n v="255.64"/>
    <n v="0.65788254670852853"/>
  </r>
  <r>
    <n v="11466"/>
    <d v="2026-01-05T00:00:00"/>
    <x v="3"/>
    <x v="2"/>
    <s v="Accessories"/>
    <x v="2"/>
    <n v="760.27"/>
    <n v="9"/>
    <x v="0"/>
    <n v="2026"/>
    <n v="275.13"/>
    <n v="0.36188459363120995"/>
  </r>
  <r>
    <n v="11467"/>
    <d v="2026-01-06T00:00:00"/>
    <x v="3"/>
    <x v="2"/>
    <s v="Phones"/>
    <x v="0"/>
    <n v="573.16"/>
    <n v="9"/>
    <x v="0"/>
    <n v="2026"/>
    <n v="-78.55"/>
    <n v="-0.13704724684206854"/>
  </r>
  <r>
    <n v="11468"/>
    <d v="2026-01-07T00:00:00"/>
    <x v="3"/>
    <x v="2"/>
    <s v="Binders"/>
    <x v="4"/>
    <n v="825.95"/>
    <n v="8"/>
    <x v="0"/>
    <n v="2026"/>
    <n v="100.39"/>
    <n v="0.12154488770506688"/>
  </r>
  <r>
    <n v="11469"/>
    <d v="2026-01-08T00:00:00"/>
    <x v="1"/>
    <x v="2"/>
    <s v="Binders"/>
    <x v="4"/>
    <n v="961.61"/>
    <n v="1"/>
    <x v="0"/>
    <n v="2026"/>
    <n v="49.99"/>
    <n v="5.1985732261519743E-2"/>
  </r>
  <r>
    <n v="11470"/>
    <d v="2026-01-09T00:00:00"/>
    <x v="2"/>
    <x v="2"/>
    <s v="Tables"/>
    <x v="2"/>
    <n v="803.03"/>
    <n v="7"/>
    <x v="0"/>
    <n v="2026"/>
    <n v="150.34"/>
    <n v="0.18721591970412066"/>
  </r>
  <r>
    <n v="11471"/>
    <d v="2026-01-10T00:00:00"/>
    <x v="2"/>
    <x v="1"/>
    <s v="Accessories"/>
    <x v="3"/>
    <n v="623.61"/>
    <n v="5"/>
    <x v="0"/>
    <n v="2026"/>
    <n v="217.44"/>
    <n v="0.34867946312599218"/>
  </r>
  <r>
    <n v="11472"/>
    <d v="2026-01-11T00:00:00"/>
    <x v="3"/>
    <x v="2"/>
    <s v="Chairs"/>
    <x v="3"/>
    <n v="518.66999999999996"/>
    <n v="7"/>
    <x v="0"/>
    <n v="2026"/>
    <n v="12.24"/>
    <n v="2.3598820058997053E-2"/>
  </r>
  <r>
    <n v="11473"/>
    <d v="2026-01-12T00:00:00"/>
    <x v="2"/>
    <x v="1"/>
    <s v="Phones"/>
    <x v="4"/>
    <n v="88.07"/>
    <n v="9"/>
    <x v="0"/>
    <n v="2026"/>
    <n v="122.72"/>
    <n v="1.3934370387192008"/>
  </r>
  <r>
    <n v="11474"/>
    <d v="2026-01-13T00:00:00"/>
    <x v="3"/>
    <x v="1"/>
    <s v="Phones"/>
    <x v="2"/>
    <n v="985.11"/>
    <n v="2"/>
    <x v="0"/>
    <n v="2026"/>
    <n v="183.49"/>
    <n v="0.18626346296352692"/>
  </r>
  <r>
    <n v="11475"/>
    <d v="2026-01-14T00:00:00"/>
    <x v="1"/>
    <x v="1"/>
    <s v="Accessories"/>
    <x v="3"/>
    <n v="414.31"/>
    <n v="4"/>
    <x v="0"/>
    <n v="2026"/>
    <n v="-46.23"/>
    <n v="-0.11158311409331176"/>
  </r>
  <r>
    <n v="11476"/>
    <d v="2026-01-15T00:00:00"/>
    <x v="1"/>
    <x v="0"/>
    <s v="Tables"/>
    <x v="2"/>
    <n v="194.62"/>
    <n v="4"/>
    <x v="0"/>
    <n v="2026"/>
    <n v="225.63"/>
    <n v="1.1593361422258761"/>
  </r>
  <r>
    <n v="11477"/>
    <d v="2026-01-16T00:00:00"/>
    <x v="0"/>
    <x v="0"/>
    <s v="Tables"/>
    <x v="2"/>
    <n v="683.37"/>
    <n v="2"/>
    <x v="0"/>
    <n v="2026"/>
    <n v="142.44"/>
    <n v="0.20843759603143244"/>
  </r>
  <r>
    <n v="11478"/>
    <d v="2026-01-17T00:00:00"/>
    <x v="1"/>
    <x v="1"/>
    <s v="Accessories"/>
    <x v="4"/>
    <n v="320.07"/>
    <n v="3"/>
    <x v="0"/>
    <n v="2026"/>
    <n v="279.81"/>
    <n v="0.87421501546536695"/>
  </r>
  <r>
    <n v="11479"/>
    <d v="2026-01-18T00:00:00"/>
    <x v="3"/>
    <x v="0"/>
    <s v="Tables"/>
    <x v="4"/>
    <n v="606.49"/>
    <n v="8"/>
    <x v="0"/>
    <n v="2026"/>
    <n v="35.81"/>
    <n v="5.9044666853534274E-2"/>
  </r>
  <r>
    <n v="11480"/>
    <d v="2026-01-19T00:00:00"/>
    <x v="1"/>
    <x v="2"/>
    <s v="Phones"/>
    <x v="1"/>
    <n v="607.42999999999995"/>
    <n v="9"/>
    <x v="0"/>
    <n v="2026"/>
    <n v="-56.74"/>
    <n v="-9.3409940240027675E-2"/>
  </r>
  <r>
    <n v="11481"/>
    <d v="2026-01-20T00:00:00"/>
    <x v="0"/>
    <x v="2"/>
    <s v="Phones"/>
    <x v="3"/>
    <n v="473.44"/>
    <n v="6"/>
    <x v="0"/>
    <n v="2026"/>
    <n v="102.6"/>
    <n v="0.21671172693477525"/>
  </r>
  <r>
    <n v="11482"/>
    <d v="2026-01-21T00:00:00"/>
    <x v="2"/>
    <x v="1"/>
    <s v="Chairs"/>
    <x v="3"/>
    <n v="844.31"/>
    <n v="2"/>
    <x v="0"/>
    <n v="2026"/>
    <n v="-65.680000000000007"/>
    <n v="-7.7791332567421934E-2"/>
  </r>
  <r>
    <n v="11483"/>
    <d v="2026-01-22T00:00:00"/>
    <x v="3"/>
    <x v="2"/>
    <s v="Accessories"/>
    <x v="3"/>
    <n v="301.72000000000003"/>
    <n v="2"/>
    <x v="0"/>
    <n v="2026"/>
    <n v="287.81"/>
    <n v="0.95389765345353295"/>
  </r>
  <r>
    <n v="11484"/>
    <d v="2026-01-23T00:00:00"/>
    <x v="2"/>
    <x v="1"/>
    <s v="Binders"/>
    <x v="0"/>
    <n v="476.2"/>
    <n v="7"/>
    <x v="0"/>
    <n v="2026"/>
    <n v="-84.53"/>
    <n v="-0.17750944981100378"/>
  </r>
  <r>
    <n v="11485"/>
    <d v="2026-01-24T00:00:00"/>
    <x v="0"/>
    <x v="1"/>
    <s v="Binders"/>
    <x v="2"/>
    <n v="560.80999999999995"/>
    <n v="8"/>
    <x v="0"/>
    <n v="2026"/>
    <n v="201.4"/>
    <n v="0.35912341078083493"/>
  </r>
  <r>
    <n v="11486"/>
    <d v="2026-01-25T00:00:00"/>
    <x v="0"/>
    <x v="2"/>
    <s v="Chairs"/>
    <x v="4"/>
    <n v="680.44"/>
    <n v="8"/>
    <x v="0"/>
    <n v="2026"/>
    <n v="110.04"/>
    <n v="0.16171888777849627"/>
  </r>
  <r>
    <n v="11487"/>
    <d v="2026-01-26T00:00:00"/>
    <x v="0"/>
    <x v="0"/>
    <s v="Chairs"/>
    <x v="3"/>
    <n v="794.77"/>
    <n v="6"/>
    <x v="0"/>
    <n v="2026"/>
    <n v="47.45"/>
    <n v="5.9702807101425573E-2"/>
  </r>
  <r>
    <n v="11488"/>
    <d v="2026-01-27T00:00:00"/>
    <x v="2"/>
    <x v="2"/>
    <s v="Tables"/>
    <x v="1"/>
    <n v="425.07"/>
    <n v="8"/>
    <x v="0"/>
    <n v="2026"/>
    <n v="-73.66"/>
    <n v="-0.17328910532382902"/>
  </r>
  <r>
    <n v="11489"/>
    <d v="2026-01-28T00:00:00"/>
    <x v="2"/>
    <x v="2"/>
    <s v="Chairs"/>
    <x v="3"/>
    <n v="663.74"/>
    <n v="1"/>
    <x v="0"/>
    <n v="2026"/>
    <n v="148.87"/>
    <n v="0.2242896314822069"/>
  </r>
  <r>
    <n v="11490"/>
    <d v="2026-01-29T00:00:00"/>
    <x v="2"/>
    <x v="1"/>
    <s v="Chairs"/>
    <x v="2"/>
    <n v="193.08"/>
    <n v="9"/>
    <x v="0"/>
    <n v="2026"/>
    <n v="134.09"/>
    <n v="0.69447897244665424"/>
  </r>
  <r>
    <n v="11491"/>
    <d v="2026-01-30T00:00:00"/>
    <x v="2"/>
    <x v="1"/>
    <s v="Binders"/>
    <x v="2"/>
    <n v="936.02"/>
    <n v="1"/>
    <x v="0"/>
    <n v="2026"/>
    <n v="12.35"/>
    <n v="1.3194162517894917E-2"/>
  </r>
  <r>
    <n v="11492"/>
    <d v="2026-01-31T00:00:00"/>
    <x v="0"/>
    <x v="1"/>
    <s v="Tables"/>
    <x v="4"/>
    <n v="413.91"/>
    <n v="3"/>
    <x v="0"/>
    <n v="2026"/>
    <n v="264.08999999999997"/>
    <n v="0.63803725447561055"/>
  </r>
  <r>
    <n v="11493"/>
    <d v="2026-02-01T00:00:00"/>
    <x v="0"/>
    <x v="1"/>
    <s v="Chairs"/>
    <x v="0"/>
    <n v="743.05"/>
    <n v="9"/>
    <x v="1"/>
    <n v="2026"/>
    <n v="21.64"/>
    <n v="2.9123208397819799E-2"/>
  </r>
  <r>
    <n v="11494"/>
    <d v="2026-02-02T00:00:00"/>
    <x v="3"/>
    <x v="0"/>
    <s v="Chairs"/>
    <x v="4"/>
    <n v="69.319999999999993"/>
    <n v="5"/>
    <x v="1"/>
    <n v="2026"/>
    <n v="79.89"/>
    <n v="1.1524812463935374"/>
  </r>
  <r>
    <n v="11495"/>
    <d v="2026-02-03T00:00:00"/>
    <x v="3"/>
    <x v="0"/>
    <s v="Tables"/>
    <x v="3"/>
    <n v="244.93"/>
    <n v="9"/>
    <x v="1"/>
    <n v="2026"/>
    <n v="117.5"/>
    <n v="0.47972890213530395"/>
  </r>
  <r>
    <n v="11496"/>
    <d v="2026-02-04T00:00:00"/>
    <x v="2"/>
    <x v="0"/>
    <s v="Accessories"/>
    <x v="1"/>
    <n v="512.73"/>
    <n v="9"/>
    <x v="1"/>
    <n v="2026"/>
    <n v="-59.91"/>
    <n v="-0.11684512316423848"/>
  </r>
  <r>
    <n v="11497"/>
    <d v="2026-02-05T00:00:00"/>
    <x v="1"/>
    <x v="1"/>
    <s v="Tables"/>
    <x v="4"/>
    <n v="884.34"/>
    <n v="6"/>
    <x v="1"/>
    <n v="2026"/>
    <n v="272.86"/>
    <n v="0.3085464866454079"/>
  </r>
  <r>
    <n v="11498"/>
    <d v="2026-02-06T00:00:00"/>
    <x v="1"/>
    <x v="1"/>
    <s v="Binders"/>
    <x v="0"/>
    <n v="550.89"/>
    <n v="1"/>
    <x v="1"/>
    <n v="2026"/>
    <n v="49.81"/>
    <n v="9.041732469276989E-2"/>
  </r>
  <r>
    <n v="11499"/>
    <d v="2026-02-07T00:00:00"/>
    <x v="0"/>
    <x v="1"/>
    <s v="Accessories"/>
    <x v="4"/>
    <n v="933.38"/>
    <n v="7"/>
    <x v="1"/>
    <n v="2026"/>
    <n v="-67.69"/>
    <n v="-7.2521373931303437E-2"/>
  </r>
  <r>
    <n v="11500"/>
    <d v="2026-02-08T00:00:00"/>
    <x v="0"/>
    <x v="0"/>
    <s v="Phones"/>
    <x v="2"/>
    <n v="509.61"/>
    <n v="6"/>
    <x v="1"/>
    <n v="2026"/>
    <n v="54.92"/>
    <n v="0.10776868585781284"/>
  </r>
  <r>
    <n v="11501"/>
    <d v="2026-02-09T00:00:00"/>
    <x v="0"/>
    <x v="1"/>
    <s v="Tables"/>
    <x v="3"/>
    <n v="515.92999999999995"/>
    <n v="9"/>
    <x v="1"/>
    <n v="2026"/>
    <n v="140.08000000000001"/>
    <n v="0.27150970092842058"/>
  </r>
  <r>
    <n v="11502"/>
    <d v="2026-02-10T00:00:00"/>
    <x v="3"/>
    <x v="2"/>
    <s v="Binders"/>
    <x v="3"/>
    <n v="163.76"/>
    <n v="7"/>
    <x v="1"/>
    <n v="2026"/>
    <n v="105.46"/>
    <n v="0.64399120664386911"/>
  </r>
  <r>
    <n v="11503"/>
    <d v="2026-02-11T00:00:00"/>
    <x v="3"/>
    <x v="2"/>
    <s v="Accessories"/>
    <x v="3"/>
    <n v="812.52"/>
    <n v="4"/>
    <x v="1"/>
    <n v="2026"/>
    <n v="177.82"/>
    <n v="0.21884999753852213"/>
  </r>
  <r>
    <n v="11504"/>
    <d v="2026-02-12T00:00:00"/>
    <x v="0"/>
    <x v="1"/>
    <s v="Tables"/>
    <x v="3"/>
    <n v="284.62"/>
    <n v="7"/>
    <x v="1"/>
    <n v="2026"/>
    <n v="-77.81"/>
    <n v="-0.27338205326400111"/>
  </r>
  <r>
    <n v="11505"/>
    <d v="2026-02-13T00:00:00"/>
    <x v="0"/>
    <x v="2"/>
    <s v="Chairs"/>
    <x v="3"/>
    <n v="904.63"/>
    <n v="2"/>
    <x v="1"/>
    <n v="2026"/>
    <n v="13.82"/>
    <n v="1.5276964062655451E-2"/>
  </r>
  <r>
    <n v="11506"/>
    <d v="2026-02-14T00:00:00"/>
    <x v="0"/>
    <x v="2"/>
    <s v="Tables"/>
    <x v="3"/>
    <n v="915.28"/>
    <n v="6"/>
    <x v="1"/>
    <n v="2026"/>
    <n v="227.69"/>
    <n v="0.24876540512192991"/>
  </r>
  <r>
    <n v="11507"/>
    <d v="2026-02-15T00:00:00"/>
    <x v="1"/>
    <x v="0"/>
    <s v="Phones"/>
    <x v="1"/>
    <n v="946.14"/>
    <n v="6"/>
    <x v="1"/>
    <n v="2026"/>
    <n v="-68.040000000000006"/>
    <n v="-7.1913247510939193E-2"/>
  </r>
  <r>
    <n v="11508"/>
    <d v="2026-02-16T00:00:00"/>
    <x v="3"/>
    <x v="1"/>
    <s v="Tables"/>
    <x v="0"/>
    <n v="544.22"/>
    <n v="2"/>
    <x v="1"/>
    <n v="2026"/>
    <n v="242.19"/>
    <n v="0.44502223365550692"/>
  </r>
  <r>
    <n v="11509"/>
    <d v="2026-02-17T00:00:00"/>
    <x v="1"/>
    <x v="1"/>
    <s v="Accessories"/>
    <x v="3"/>
    <n v="693.24"/>
    <n v="4"/>
    <x v="1"/>
    <n v="2026"/>
    <n v="-63.24"/>
    <n v="-9.1223818590964165E-2"/>
  </r>
  <r>
    <n v="11510"/>
    <d v="2026-02-18T00:00:00"/>
    <x v="1"/>
    <x v="0"/>
    <s v="Accessories"/>
    <x v="0"/>
    <n v="789.59"/>
    <n v="8"/>
    <x v="1"/>
    <n v="2026"/>
    <n v="233.78"/>
    <n v="0.29607771121721399"/>
  </r>
  <r>
    <n v="11511"/>
    <d v="2026-02-19T00:00:00"/>
    <x v="0"/>
    <x v="2"/>
    <s v="Tables"/>
    <x v="3"/>
    <n v="174.46"/>
    <n v="8"/>
    <x v="1"/>
    <n v="2026"/>
    <n v="44.32"/>
    <n v="0.25404104092628682"/>
  </r>
  <r>
    <n v="11512"/>
    <d v="2026-02-20T00:00:00"/>
    <x v="0"/>
    <x v="2"/>
    <s v="Accessories"/>
    <x v="4"/>
    <n v="620.91"/>
    <n v="8"/>
    <x v="1"/>
    <n v="2026"/>
    <n v="144.88"/>
    <n v="0.23333494387270298"/>
  </r>
  <r>
    <n v="11513"/>
    <d v="2026-02-21T00:00:00"/>
    <x v="2"/>
    <x v="1"/>
    <s v="Chairs"/>
    <x v="3"/>
    <n v="82.58"/>
    <n v="8"/>
    <x v="1"/>
    <n v="2026"/>
    <n v="-38.85"/>
    <n v="-0.47045289416323566"/>
  </r>
  <r>
    <n v="11514"/>
    <d v="2026-02-22T00:00:00"/>
    <x v="2"/>
    <x v="2"/>
    <s v="Tables"/>
    <x v="2"/>
    <n v="522.69000000000005"/>
    <n v="1"/>
    <x v="1"/>
    <n v="2026"/>
    <n v="-73.53"/>
    <n v="-0.14067611777535441"/>
  </r>
  <r>
    <n v="11515"/>
    <d v="2026-02-23T00:00:00"/>
    <x v="1"/>
    <x v="0"/>
    <s v="Chairs"/>
    <x v="1"/>
    <n v="197.1"/>
    <n v="2"/>
    <x v="1"/>
    <n v="2026"/>
    <n v="-13.62"/>
    <n v="-6.9101978691019791E-2"/>
  </r>
  <r>
    <n v="11516"/>
    <d v="2026-02-24T00:00:00"/>
    <x v="3"/>
    <x v="0"/>
    <s v="Chairs"/>
    <x v="4"/>
    <n v="223.78"/>
    <n v="4"/>
    <x v="1"/>
    <n v="2026"/>
    <n v="-48.86"/>
    <n v="-0.21833944052194118"/>
  </r>
  <r>
    <n v="11517"/>
    <d v="2026-02-25T00:00:00"/>
    <x v="0"/>
    <x v="1"/>
    <s v="Binders"/>
    <x v="4"/>
    <n v="396.8"/>
    <n v="9"/>
    <x v="1"/>
    <n v="2026"/>
    <n v="24.96"/>
    <n v="6.2903225806451607E-2"/>
  </r>
  <r>
    <n v="11518"/>
    <d v="2026-02-26T00:00:00"/>
    <x v="0"/>
    <x v="0"/>
    <s v="Tables"/>
    <x v="2"/>
    <n v="460.82"/>
    <n v="3"/>
    <x v="1"/>
    <n v="2026"/>
    <n v="105.75"/>
    <n v="0.22948222733388307"/>
  </r>
  <r>
    <n v="11519"/>
    <d v="2026-02-27T00:00:00"/>
    <x v="1"/>
    <x v="0"/>
    <s v="Accessories"/>
    <x v="3"/>
    <n v="642.01"/>
    <n v="6"/>
    <x v="1"/>
    <n v="2026"/>
    <n v="135.5"/>
    <n v="0.21105590255603496"/>
  </r>
  <r>
    <n v="11520"/>
    <d v="2026-02-28T00:00:00"/>
    <x v="2"/>
    <x v="1"/>
    <s v="Chairs"/>
    <x v="1"/>
    <n v="120.71"/>
    <n v="7"/>
    <x v="1"/>
    <n v="2026"/>
    <n v="215.95"/>
    <n v="1.7889984259796206"/>
  </r>
  <r>
    <n v="11521"/>
    <d v="2026-03-01T00:00:00"/>
    <x v="3"/>
    <x v="0"/>
    <s v="Binders"/>
    <x v="4"/>
    <n v="528.51"/>
    <n v="8"/>
    <x v="2"/>
    <n v="2026"/>
    <n v="162.5"/>
    <n v="0.30746816521920117"/>
  </r>
  <r>
    <n v="11522"/>
    <d v="2026-03-02T00:00:00"/>
    <x v="2"/>
    <x v="0"/>
    <s v="Tables"/>
    <x v="1"/>
    <n v="223.49"/>
    <n v="7"/>
    <x v="2"/>
    <n v="2026"/>
    <n v="143.5"/>
    <n v="0.64208689426819987"/>
  </r>
  <r>
    <n v="11523"/>
    <d v="2026-03-03T00:00:00"/>
    <x v="2"/>
    <x v="0"/>
    <s v="Tables"/>
    <x v="4"/>
    <n v="595.28"/>
    <n v="3"/>
    <x v="2"/>
    <n v="2026"/>
    <n v="64.709999999999994"/>
    <n v="0.1087051471576401"/>
  </r>
  <r>
    <n v="11524"/>
    <d v="2026-03-04T00:00:00"/>
    <x v="2"/>
    <x v="2"/>
    <s v="Phones"/>
    <x v="3"/>
    <n v="655.53"/>
    <n v="6"/>
    <x v="2"/>
    <n v="2026"/>
    <n v="89.52"/>
    <n v="0.13656125577776762"/>
  </r>
  <r>
    <n v="11525"/>
    <d v="2026-03-05T00:00:00"/>
    <x v="2"/>
    <x v="1"/>
    <s v="Phones"/>
    <x v="4"/>
    <n v="578.87"/>
    <n v="5"/>
    <x v="2"/>
    <n v="2026"/>
    <n v="65.81"/>
    <n v="0.11368701090054763"/>
  </r>
  <r>
    <n v="11526"/>
    <d v="2026-03-06T00:00:00"/>
    <x v="0"/>
    <x v="1"/>
    <s v="Chairs"/>
    <x v="4"/>
    <n v="751.38"/>
    <n v="4"/>
    <x v="2"/>
    <n v="2026"/>
    <n v="236.87"/>
    <n v="0.31524661289893263"/>
  </r>
  <r>
    <n v="11527"/>
    <d v="2026-03-07T00:00:00"/>
    <x v="0"/>
    <x v="1"/>
    <s v="Phones"/>
    <x v="0"/>
    <n v="368.83"/>
    <n v="1"/>
    <x v="2"/>
    <n v="2026"/>
    <n v="-8"/>
    <n v="-2.1690209581650084E-2"/>
  </r>
  <r>
    <n v="11528"/>
    <d v="2026-03-08T00:00:00"/>
    <x v="2"/>
    <x v="2"/>
    <s v="Chairs"/>
    <x v="3"/>
    <n v="776.85"/>
    <n v="7"/>
    <x v="2"/>
    <n v="2026"/>
    <n v="-97.71"/>
    <n v="-0.12577717706120872"/>
  </r>
  <r>
    <n v="11529"/>
    <d v="2026-03-09T00:00:00"/>
    <x v="3"/>
    <x v="2"/>
    <s v="Accessories"/>
    <x v="2"/>
    <n v="461.13"/>
    <n v="8"/>
    <x v="2"/>
    <n v="2026"/>
    <n v="160.53"/>
    <n v="0.34812308893370636"/>
  </r>
  <r>
    <n v="11530"/>
    <d v="2026-03-10T00:00:00"/>
    <x v="1"/>
    <x v="1"/>
    <s v="Chairs"/>
    <x v="2"/>
    <n v="509.98"/>
    <n v="2"/>
    <x v="2"/>
    <n v="2026"/>
    <n v="-19.02"/>
    <n v="-3.7295580218832107E-2"/>
  </r>
  <r>
    <n v="11531"/>
    <d v="2026-03-11T00:00:00"/>
    <x v="3"/>
    <x v="2"/>
    <s v="Phones"/>
    <x v="3"/>
    <n v="665.7"/>
    <n v="7"/>
    <x v="2"/>
    <n v="2026"/>
    <n v="256.05"/>
    <n v="0.38463271744028843"/>
  </r>
  <r>
    <n v="11532"/>
    <d v="2026-03-12T00:00:00"/>
    <x v="3"/>
    <x v="1"/>
    <s v="Accessories"/>
    <x v="2"/>
    <n v="67.44"/>
    <n v="6"/>
    <x v="2"/>
    <n v="2026"/>
    <n v="243.62"/>
    <n v="3.6123962040332147"/>
  </r>
  <r>
    <n v="11533"/>
    <d v="2026-03-13T00:00:00"/>
    <x v="3"/>
    <x v="2"/>
    <s v="Phones"/>
    <x v="3"/>
    <n v="671.29"/>
    <n v="5"/>
    <x v="2"/>
    <n v="2026"/>
    <n v="-69.31"/>
    <n v="-0.10324896840411746"/>
  </r>
  <r>
    <n v="11534"/>
    <d v="2026-03-14T00:00:00"/>
    <x v="2"/>
    <x v="0"/>
    <s v="Chairs"/>
    <x v="2"/>
    <n v="637.66"/>
    <n v="4"/>
    <x v="2"/>
    <n v="2026"/>
    <n v="-57.44"/>
    <n v="-9.0079352633064644E-2"/>
  </r>
  <r>
    <n v="11535"/>
    <d v="2026-03-15T00:00:00"/>
    <x v="0"/>
    <x v="0"/>
    <s v="Binders"/>
    <x v="0"/>
    <n v="344.35"/>
    <n v="2"/>
    <x v="2"/>
    <n v="2026"/>
    <n v="98.07"/>
    <n v="0.28479744446057786"/>
  </r>
  <r>
    <n v="11536"/>
    <d v="2026-03-16T00:00:00"/>
    <x v="3"/>
    <x v="1"/>
    <s v="Tables"/>
    <x v="2"/>
    <n v="131.5"/>
    <n v="6"/>
    <x v="2"/>
    <n v="2026"/>
    <n v="143.69"/>
    <n v="1.092699619771863"/>
  </r>
  <r>
    <n v="11537"/>
    <d v="2026-03-17T00:00:00"/>
    <x v="2"/>
    <x v="2"/>
    <s v="Phones"/>
    <x v="4"/>
    <n v="136.38999999999999"/>
    <n v="5"/>
    <x v="2"/>
    <n v="2026"/>
    <n v="9.9600000000000009"/>
    <n v="7.3025881662878517E-2"/>
  </r>
  <r>
    <n v="11538"/>
    <d v="2026-03-18T00:00:00"/>
    <x v="3"/>
    <x v="2"/>
    <s v="Chairs"/>
    <x v="3"/>
    <n v="927.06"/>
    <n v="2"/>
    <x v="2"/>
    <n v="2026"/>
    <n v="186.72"/>
    <n v="0.20141091191508642"/>
  </r>
  <r>
    <n v="11539"/>
    <d v="2026-03-19T00:00:00"/>
    <x v="3"/>
    <x v="0"/>
    <s v="Accessories"/>
    <x v="1"/>
    <n v="704.82"/>
    <n v="7"/>
    <x v="2"/>
    <n v="2026"/>
    <n v="137.97"/>
    <n v="0.19575210692091596"/>
  </r>
  <r>
    <n v="11540"/>
    <d v="2026-03-20T00:00:00"/>
    <x v="2"/>
    <x v="0"/>
    <s v="Phones"/>
    <x v="1"/>
    <n v="170.75"/>
    <n v="6"/>
    <x v="2"/>
    <n v="2026"/>
    <n v="29.93"/>
    <n v="0.17528550512445096"/>
  </r>
  <r>
    <n v="11541"/>
    <d v="2026-03-21T00:00:00"/>
    <x v="0"/>
    <x v="2"/>
    <s v="Phones"/>
    <x v="3"/>
    <n v="388.89"/>
    <n v="9"/>
    <x v="2"/>
    <n v="2026"/>
    <n v="-89.85"/>
    <n v="-0.23104219702229423"/>
  </r>
  <r>
    <n v="11542"/>
    <d v="2026-03-22T00:00:00"/>
    <x v="0"/>
    <x v="2"/>
    <s v="Tables"/>
    <x v="0"/>
    <n v="612.86"/>
    <n v="5"/>
    <x v="2"/>
    <n v="2026"/>
    <n v="200.06"/>
    <n v="0.32643670658878049"/>
  </r>
  <r>
    <n v="11543"/>
    <d v="2026-03-23T00:00:00"/>
    <x v="1"/>
    <x v="2"/>
    <s v="Chairs"/>
    <x v="2"/>
    <n v="843.79"/>
    <n v="9"/>
    <x v="2"/>
    <n v="2026"/>
    <n v="-14.1"/>
    <n v="-1.6710318918214249E-2"/>
  </r>
  <r>
    <n v="11544"/>
    <d v="2026-03-24T00:00:00"/>
    <x v="2"/>
    <x v="2"/>
    <s v="Binders"/>
    <x v="0"/>
    <n v="91.48"/>
    <n v="9"/>
    <x v="2"/>
    <n v="2026"/>
    <n v="233.79"/>
    <n v="2.5556405771753385"/>
  </r>
  <r>
    <n v="11545"/>
    <d v="2026-03-25T00:00:00"/>
    <x v="1"/>
    <x v="2"/>
    <s v="Accessories"/>
    <x v="1"/>
    <n v="274.8"/>
    <n v="1"/>
    <x v="2"/>
    <n v="2026"/>
    <n v="68.12"/>
    <n v="0.24788937409024747"/>
  </r>
  <r>
    <n v="11546"/>
    <d v="2026-03-26T00:00:00"/>
    <x v="1"/>
    <x v="2"/>
    <s v="Chairs"/>
    <x v="3"/>
    <n v="895.26"/>
    <n v="5"/>
    <x v="2"/>
    <n v="2026"/>
    <n v="130.83000000000001"/>
    <n v="0.14613631794115678"/>
  </r>
  <r>
    <n v="11547"/>
    <d v="2026-03-27T00:00:00"/>
    <x v="1"/>
    <x v="1"/>
    <s v="Accessories"/>
    <x v="3"/>
    <n v="58.71"/>
    <n v="9"/>
    <x v="2"/>
    <n v="2026"/>
    <n v="249.18"/>
    <n v="4.2442514052120597"/>
  </r>
  <r>
    <n v="11548"/>
    <d v="2026-03-28T00:00:00"/>
    <x v="0"/>
    <x v="2"/>
    <s v="Phones"/>
    <x v="0"/>
    <n v="241.33"/>
    <n v="7"/>
    <x v="2"/>
    <n v="2026"/>
    <n v="245.45"/>
    <n v="1.0170720590063398"/>
  </r>
  <r>
    <n v="11549"/>
    <d v="2026-03-29T00:00:00"/>
    <x v="2"/>
    <x v="0"/>
    <s v="Tables"/>
    <x v="0"/>
    <n v="961.07"/>
    <n v="6"/>
    <x v="2"/>
    <n v="2026"/>
    <n v="48.61"/>
    <n v="5.0579042109315658E-2"/>
  </r>
  <r>
    <n v="11550"/>
    <d v="2026-03-30T00:00:00"/>
    <x v="1"/>
    <x v="1"/>
    <s v="Tables"/>
    <x v="2"/>
    <n v="632.73"/>
    <n v="6"/>
    <x v="2"/>
    <n v="2026"/>
    <n v="-16.440000000000001"/>
    <n v="-2.5982646626523161E-2"/>
  </r>
  <r>
    <n v="11551"/>
    <d v="2026-03-31T00:00:00"/>
    <x v="2"/>
    <x v="2"/>
    <s v="Binders"/>
    <x v="4"/>
    <n v="298.58999999999997"/>
    <n v="7"/>
    <x v="2"/>
    <n v="2026"/>
    <n v="210.06"/>
    <n v="0.70350648045815334"/>
  </r>
  <r>
    <n v="11552"/>
    <d v="2026-04-01T00:00:00"/>
    <x v="2"/>
    <x v="0"/>
    <s v="Tables"/>
    <x v="4"/>
    <n v="113.64"/>
    <n v="1"/>
    <x v="3"/>
    <n v="2026"/>
    <n v="73.23"/>
    <n v="0.64440337909186907"/>
  </r>
  <r>
    <n v="11553"/>
    <d v="2026-04-02T00:00:00"/>
    <x v="0"/>
    <x v="1"/>
    <s v="Phones"/>
    <x v="2"/>
    <n v="76.78"/>
    <n v="4"/>
    <x v="3"/>
    <n v="2026"/>
    <n v="-23.18"/>
    <n v="-0.30190153685855692"/>
  </r>
  <r>
    <n v="11554"/>
    <d v="2026-04-03T00:00:00"/>
    <x v="1"/>
    <x v="0"/>
    <s v="Binders"/>
    <x v="4"/>
    <n v="282.51"/>
    <n v="1"/>
    <x v="3"/>
    <n v="2026"/>
    <n v="261.77"/>
    <n v="0.92658666949842483"/>
  </r>
  <r>
    <n v="11555"/>
    <d v="2026-04-04T00:00:00"/>
    <x v="1"/>
    <x v="2"/>
    <s v="Chairs"/>
    <x v="1"/>
    <n v="887.41"/>
    <n v="6"/>
    <x v="3"/>
    <n v="2026"/>
    <n v="-20.76"/>
    <n v="-2.3393921637123768E-2"/>
  </r>
  <r>
    <n v="11556"/>
    <d v="2026-04-05T00:00:00"/>
    <x v="2"/>
    <x v="2"/>
    <s v="Tables"/>
    <x v="4"/>
    <n v="445.12"/>
    <n v="4"/>
    <x v="3"/>
    <n v="2026"/>
    <n v="-89.68"/>
    <n v="-0.20147375988497485"/>
  </r>
  <r>
    <n v="11557"/>
    <d v="2026-04-06T00:00:00"/>
    <x v="3"/>
    <x v="2"/>
    <s v="Binders"/>
    <x v="2"/>
    <n v="734.32"/>
    <n v="1"/>
    <x v="3"/>
    <n v="2026"/>
    <n v="-91.89"/>
    <n v="-0.12513618041180954"/>
  </r>
  <r>
    <n v="11558"/>
    <d v="2026-04-07T00:00:00"/>
    <x v="0"/>
    <x v="2"/>
    <s v="Phones"/>
    <x v="4"/>
    <n v="922.37"/>
    <n v="9"/>
    <x v="3"/>
    <n v="2026"/>
    <n v="148.93"/>
    <n v="0.16146448822056225"/>
  </r>
  <r>
    <n v="11559"/>
    <d v="2026-04-08T00:00:00"/>
    <x v="0"/>
    <x v="1"/>
    <s v="Accessories"/>
    <x v="3"/>
    <n v="437.64"/>
    <n v="4"/>
    <x v="3"/>
    <n v="2026"/>
    <n v="164.67"/>
    <n v="0.37626816561557441"/>
  </r>
  <r>
    <n v="11560"/>
    <d v="2026-04-09T00:00:00"/>
    <x v="0"/>
    <x v="1"/>
    <s v="Accessories"/>
    <x v="0"/>
    <n v="231.71"/>
    <n v="6"/>
    <x v="3"/>
    <n v="2026"/>
    <n v="24.42"/>
    <n v="0.10539035863795261"/>
  </r>
  <r>
    <n v="11561"/>
    <d v="2026-04-10T00:00:00"/>
    <x v="0"/>
    <x v="0"/>
    <s v="Phones"/>
    <x v="1"/>
    <n v="541.26"/>
    <n v="7"/>
    <x v="3"/>
    <n v="2026"/>
    <n v="28"/>
    <n v="5.1731145844880463E-2"/>
  </r>
  <r>
    <n v="11562"/>
    <d v="2026-04-11T00:00:00"/>
    <x v="1"/>
    <x v="2"/>
    <s v="Phones"/>
    <x v="3"/>
    <n v="912.68"/>
    <n v="8"/>
    <x v="3"/>
    <n v="2026"/>
    <n v="35.799999999999997"/>
    <n v="3.9225139150633297E-2"/>
  </r>
  <r>
    <n v="11563"/>
    <d v="2026-04-12T00:00:00"/>
    <x v="1"/>
    <x v="0"/>
    <s v="Accessories"/>
    <x v="3"/>
    <n v="814.16"/>
    <n v="9"/>
    <x v="3"/>
    <n v="2026"/>
    <n v="172.06"/>
    <n v="0.21133438144836397"/>
  </r>
  <r>
    <n v="11564"/>
    <d v="2026-04-13T00:00:00"/>
    <x v="3"/>
    <x v="1"/>
    <s v="Binders"/>
    <x v="2"/>
    <n v="112.54"/>
    <n v="9"/>
    <x v="3"/>
    <n v="2026"/>
    <n v="-76.75"/>
    <n v="-0.68197974053669808"/>
  </r>
  <r>
    <n v="11565"/>
    <d v="2026-04-14T00:00:00"/>
    <x v="0"/>
    <x v="2"/>
    <s v="Accessories"/>
    <x v="0"/>
    <n v="707.94"/>
    <n v="8"/>
    <x v="3"/>
    <n v="2026"/>
    <n v="271.64999999999998"/>
    <n v="0.38371895923383331"/>
  </r>
  <r>
    <n v="11566"/>
    <d v="2026-04-15T00:00:00"/>
    <x v="0"/>
    <x v="2"/>
    <s v="Phones"/>
    <x v="0"/>
    <n v="593.29999999999995"/>
    <n v="3"/>
    <x v="3"/>
    <n v="2026"/>
    <n v="-10.99"/>
    <n v="-1.8523512556885221E-2"/>
  </r>
  <r>
    <n v="11567"/>
    <d v="2026-04-16T00:00:00"/>
    <x v="2"/>
    <x v="1"/>
    <s v="Tables"/>
    <x v="1"/>
    <n v="912.09"/>
    <n v="2"/>
    <x v="3"/>
    <n v="2026"/>
    <n v="299.87"/>
    <n v="0.32877237991864838"/>
  </r>
  <r>
    <n v="11568"/>
    <d v="2026-04-17T00:00:00"/>
    <x v="1"/>
    <x v="1"/>
    <s v="Chairs"/>
    <x v="2"/>
    <n v="166.36"/>
    <n v="5"/>
    <x v="3"/>
    <n v="2026"/>
    <n v="-31.39"/>
    <n v="-0.18868718441933155"/>
  </r>
  <r>
    <n v="11569"/>
    <d v="2026-04-18T00:00:00"/>
    <x v="0"/>
    <x v="1"/>
    <s v="Tables"/>
    <x v="1"/>
    <n v="557.33000000000004"/>
    <n v="1"/>
    <x v="3"/>
    <n v="2026"/>
    <n v="208.62"/>
    <n v="0.37432042057667808"/>
  </r>
  <r>
    <n v="11570"/>
    <d v="2026-04-19T00:00:00"/>
    <x v="3"/>
    <x v="1"/>
    <s v="Tables"/>
    <x v="4"/>
    <n v="885.49"/>
    <n v="3"/>
    <x v="3"/>
    <n v="2026"/>
    <n v="-10.63"/>
    <n v="-1.2004652791110008E-2"/>
  </r>
  <r>
    <n v="11571"/>
    <d v="2026-04-20T00:00:00"/>
    <x v="3"/>
    <x v="1"/>
    <s v="Phones"/>
    <x v="3"/>
    <n v="439.52"/>
    <n v="1"/>
    <x v="3"/>
    <n v="2026"/>
    <n v="-67.66"/>
    <n v="-0.15394066254095376"/>
  </r>
  <r>
    <n v="11572"/>
    <d v="2026-04-21T00:00:00"/>
    <x v="1"/>
    <x v="2"/>
    <s v="Accessories"/>
    <x v="1"/>
    <n v="507.9"/>
    <n v="3"/>
    <x v="3"/>
    <n v="2026"/>
    <n v="249.97"/>
    <n v="0.49216381177397128"/>
  </r>
  <r>
    <n v="11573"/>
    <d v="2026-04-22T00:00:00"/>
    <x v="3"/>
    <x v="1"/>
    <s v="Binders"/>
    <x v="3"/>
    <n v="116.94"/>
    <n v="4"/>
    <x v="3"/>
    <n v="2026"/>
    <n v="243.5"/>
    <n v="2.0822644090986833"/>
  </r>
  <r>
    <n v="11574"/>
    <d v="2026-04-23T00:00:00"/>
    <x v="3"/>
    <x v="2"/>
    <s v="Tables"/>
    <x v="2"/>
    <n v="314.24"/>
    <n v="7"/>
    <x v="3"/>
    <n v="2026"/>
    <n v="61.43"/>
    <n v="0.19548752545824846"/>
  </r>
  <r>
    <n v="11575"/>
    <d v="2026-04-24T00:00:00"/>
    <x v="1"/>
    <x v="2"/>
    <s v="Accessories"/>
    <x v="4"/>
    <n v="358.28"/>
    <n v="5"/>
    <x v="3"/>
    <n v="2026"/>
    <n v="180.96"/>
    <n v="0.50507982583454292"/>
  </r>
  <r>
    <n v="11576"/>
    <d v="2026-04-25T00:00:00"/>
    <x v="0"/>
    <x v="1"/>
    <s v="Binders"/>
    <x v="2"/>
    <n v="947.87"/>
    <n v="5"/>
    <x v="3"/>
    <n v="2026"/>
    <n v="122.83"/>
    <n v="0.12958528068195005"/>
  </r>
  <r>
    <n v="11577"/>
    <d v="2026-04-26T00:00:00"/>
    <x v="0"/>
    <x v="1"/>
    <s v="Tables"/>
    <x v="4"/>
    <n v="318.52999999999997"/>
    <n v="1"/>
    <x v="3"/>
    <n v="2026"/>
    <n v="241.18"/>
    <n v="0.75716573007252075"/>
  </r>
  <r>
    <n v="11578"/>
    <d v="2026-04-27T00:00:00"/>
    <x v="3"/>
    <x v="2"/>
    <s v="Binders"/>
    <x v="4"/>
    <n v="487.83"/>
    <n v="8"/>
    <x v="3"/>
    <n v="2026"/>
    <n v="26.02"/>
    <n v="5.3338253079966383E-2"/>
  </r>
  <r>
    <n v="11579"/>
    <d v="2026-04-28T00:00:00"/>
    <x v="3"/>
    <x v="1"/>
    <s v="Accessories"/>
    <x v="3"/>
    <n v="687.74"/>
    <n v="4"/>
    <x v="3"/>
    <n v="2026"/>
    <n v="109.47"/>
    <n v="0.15917352487858782"/>
  </r>
  <r>
    <n v="11580"/>
    <d v="2026-04-29T00:00:00"/>
    <x v="0"/>
    <x v="1"/>
    <s v="Chairs"/>
    <x v="2"/>
    <n v="204.07"/>
    <n v="5"/>
    <x v="3"/>
    <n v="2026"/>
    <n v="94.15"/>
    <n v="0.46136129759396288"/>
  </r>
  <r>
    <n v="11581"/>
    <d v="2026-04-30T00:00:00"/>
    <x v="1"/>
    <x v="1"/>
    <s v="Accessories"/>
    <x v="2"/>
    <n v="512.12"/>
    <n v="2"/>
    <x v="3"/>
    <n v="2026"/>
    <n v="41.56"/>
    <n v="8.1152854799656338E-2"/>
  </r>
  <r>
    <n v="11582"/>
    <d v="2026-05-01T00:00:00"/>
    <x v="3"/>
    <x v="0"/>
    <s v="Phones"/>
    <x v="1"/>
    <n v="751.61"/>
    <n v="1"/>
    <x v="4"/>
    <n v="2026"/>
    <n v="256.58"/>
    <n v="0.34137385080028204"/>
  </r>
  <r>
    <n v="11583"/>
    <d v="2026-05-02T00:00:00"/>
    <x v="2"/>
    <x v="2"/>
    <s v="Binders"/>
    <x v="2"/>
    <n v="873.51"/>
    <n v="9"/>
    <x v="4"/>
    <n v="2026"/>
    <n v="-33.65"/>
    <n v="-3.8522741582809585E-2"/>
  </r>
  <r>
    <n v="11584"/>
    <d v="2026-05-03T00:00:00"/>
    <x v="1"/>
    <x v="0"/>
    <s v="Chairs"/>
    <x v="1"/>
    <n v="644.95000000000005"/>
    <n v="2"/>
    <x v="4"/>
    <n v="2026"/>
    <n v="-40.200000000000003"/>
    <n v="-6.2330413210326382E-2"/>
  </r>
  <r>
    <n v="11585"/>
    <d v="2026-05-04T00:00:00"/>
    <x v="3"/>
    <x v="1"/>
    <s v="Binders"/>
    <x v="0"/>
    <n v="685.6"/>
    <n v="6"/>
    <x v="4"/>
    <n v="2026"/>
    <n v="130.76"/>
    <n v="0.19072345390898482"/>
  </r>
  <r>
    <n v="11586"/>
    <d v="2026-05-05T00:00:00"/>
    <x v="3"/>
    <x v="0"/>
    <s v="Binders"/>
    <x v="0"/>
    <n v="169.97"/>
    <n v="1"/>
    <x v="4"/>
    <n v="2026"/>
    <n v="163"/>
    <n v="0.95899276342884043"/>
  </r>
  <r>
    <n v="11587"/>
    <d v="2026-05-06T00:00:00"/>
    <x v="2"/>
    <x v="1"/>
    <s v="Tables"/>
    <x v="0"/>
    <n v="948.49"/>
    <n v="1"/>
    <x v="4"/>
    <n v="2026"/>
    <n v="-22.15"/>
    <n v="-2.3352908306887788E-2"/>
  </r>
  <r>
    <n v="11588"/>
    <d v="2026-05-07T00:00:00"/>
    <x v="2"/>
    <x v="0"/>
    <s v="Phones"/>
    <x v="2"/>
    <n v="175.95"/>
    <n v="9"/>
    <x v="4"/>
    <n v="2026"/>
    <n v="56.29"/>
    <n v="0.31992043194089231"/>
  </r>
  <r>
    <n v="11589"/>
    <d v="2026-05-08T00:00:00"/>
    <x v="0"/>
    <x v="1"/>
    <s v="Binders"/>
    <x v="2"/>
    <n v="785.94"/>
    <n v="4"/>
    <x v="4"/>
    <n v="2026"/>
    <n v="278.63"/>
    <n v="0.35451815660228514"/>
  </r>
  <r>
    <n v="11590"/>
    <d v="2026-05-09T00:00:00"/>
    <x v="1"/>
    <x v="0"/>
    <s v="Accessories"/>
    <x v="1"/>
    <n v="301.58"/>
    <n v="9"/>
    <x v="4"/>
    <n v="2026"/>
    <n v="-1.35"/>
    <n v="-4.4764241660587576E-3"/>
  </r>
  <r>
    <n v="11591"/>
    <d v="2026-05-10T00:00:00"/>
    <x v="1"/>
    <x v="0"/>
    <s v="Accessories"/>
    <x v="4"/>
    <n v="936.91"/>
    <n v="5"/>
    <x v="4"/>
    <n v="2026"/>
    <n v="167.34"/>
    <n v="0.17860840422239063"/>
  </r>
  <r>
    <n v="11592"/>
    <d v="2026-05-11T00:00:00"/>
    <x v="0"/>
    <x v="0"/>
    <s v="Tables"/>
    <x v="1"/>
    <n v="733.96"/>
    <n v="7"/>
    <x v="4"/>
    <n v="2026"/>
    <n v="196.06"/>
    <n v="0.26712627391138483"/>
  </r>
  <r>
    <n v="11593"/>
    <d v="2026-05-12T00:00:00"/>
    <x v="1"/>
    <x v="2"/>
    <s v="Phones"/>
    <x v="0"/>
    <n v="766.12"/>
    <n v="1"/>
    <x v="4"/>
    <n v="2026"/>
    <n v="79.25"/>
    <n v="0.10344332480551349"/>
  </r>
  <r>
    <n v="11594"/>
    <d v="2026-05-13T00:00:00"/>
    <x v="1"/>
    <x v="0"/>
    <s v="Phones"/>
    <x v="1"/>
    <n v="258.11"/>
    <n v="6"/>
    <x v="4"/>
    <n v="2026"/>
    <n v="275.01"/>
    <n v="1.0654759598620742"/>
  </r>
  <r>
    <n v="11595"/>
    <d v="2026-05-14T00:00:00"/>
    <x v="1"/>
    <x v="2"/>
    <s v="Accessories"/>
    <x v="4"/>
    <n v="470.89"/>
    <n v="8"/>
    <x v="4"/>
    <n v="2026"/>
    <n v="194.66"/>
    <n v="0.41338741531992612"/>
  </r>
  <r>
    <n v="11596"/>
    <d v="2026-05-15T00:00:00"/>
    <x v="1"/>
    <x v="1"/>
    <s v="Chairs"/>
    <x v="2"/>
    <n v="636.91999999999996"/>
    <n v="1"/>
    <x v="4"/>
    <n v="2026"/>
    <n v="83.17"/>
    <n v="0.13058154870313385"/>
  </r>
  <r>
    <n v="11597"/>
    <d v="2026-05-16T00:00:00"/>
    <x v="1"/>
    <x v="0"/>
    <s v="Tables"/>
    <x v="1"/>
    <n v="781.47"/>
    <n v="9"/>
    <x v="4"/>
    <n v="2026"/>
    <n v="127.73"/>
    <n v="0.1634483729381806"/>
  </r>
  <r>
    <n v="11598"/>
    <d v="2026-05-17T00:00:00"/>
    <x v="2"/>
    <x v="1"/>
    <s v="Tables"/>
    <x v="0"/>
    <n v="148.76"/>
    <n v="3"/>
    <x v="4"/>
    <n v="2026"/>
    <n v="177.05"/>
    <n v="1.1901720892713097"/>
  </r>
  <r>
    <n v="11599"/>
    <d v="2026-05-18T00:00:00"/>
    <x v="1"/>
    <x v="1"/>
    <s v="Accessories"/>
    <x v="0"/>
    <n v="964.25"/>
    <n v="1"/>
    <x v="4"/>
    <n v="2026"/>
    <n v="136.88"/>
    <n v="0.14195488721804511"/>
  </r>
  <r>
    <n v="11600"/>
    <d v="2026-05-19T00:00:00"/>
    <x v="2"/>
    <x v="0"/>
    <s v="Accessories"/>
    <x v="2"/>
    <n v="895.71"/>
    <n v="1"/>
    <x v="4"/>
    <n v="2026"/>
    <n v="251.48"/>
    <n v="0.28076051400564911"/>
  </r>
  <r>
    <n v="11601"/>
    <d v="2026-05-20T00:00:00"/>
    <x v="1"/>
    <x v="2"/>
    <s v="Chairs"/>
    <x v="1"/>
    <n v="306.83"/>
    <n v="6"/>
    <x v="4"/>
    <n v="2026"/>
    <n v="42.76"/>
    <n v="0.13936055796369326"/>
  </r>
  <r>
    <n v="11602"/>
    <d v="2026-05-21T00:00:00"/>
    <x v="0"/>
    <x v="0"/>
    <s v="Chairs"/>
    <x v="4"/>
    <n v="831.62"/>
    <n v="6"/>
    <x v="4"/>
    <n v="2026"/>
    <n v="19.95"/>
    <n v="2.3989322046126835E-2"/>
  </r>
  <r>
    <n v="11603"/>
    <d v="2026-05-22T00:00:00"/>
    <x v="3"/>
    <x v="1"/>
    <s v="Phones"/>
    <x v="2"/>
    <n v="542.41"/>
    <n v="1"/>
    <x v="4"/>
    <n v="2026"/>
    <n v="-14.46"/>
    <n v="-2.6658800538338162E-2"/>
  </r>
  <r>
    <n v="11604"/>
    <d v="2026-05-23T00:00:00"/>
    <x v="2"/>
    <x v="1"/>
    <s v="Tables"/>
    <x v="1"/>
    <n v="488.72"/>
    <n v="3"/>
    <x v="4"/>
    <n v="2026"/>
    <n v="-84.89"/>
    <n v="-0.17369864134882959"/>
  </r>
  <r>
    <n v="11605"/>
    <d v="2026-05-24T00:00:00"/>
    <x v="1"/>
    <x v="0"/>
    <s v="Tables"/>
    <x v="3"/>
    <n v="348.71"/>
    <n v="7"/>
    <x v="4"/>
    <n v="2026"/>
    <n v="-82.79"/>
    <n v="-0.23741791173181157"/>
  </r>
  <r>
    <n v="11606"/>
    <d v="2026-05-25T00:00:00"/>
    <x v="0"/>
    <x v="2"/>
    <s v="Accessories"/>
    <x v="0"/>
    <n v="601.91999999999996"/>
    <n v="3"/>
    <x v="4"/>
    <n v="2026"/>
    <n v="248.02"/>
    <n v="0.4120481127060075"/>
  </r>
  <r>
    <n v="11607"/>
    <d v="2026-05-26T00:00:00"/>
    <x v="3"/>
    <x v="2"/>
    <s v="Phones"/>
    <x v="4"/>
    <n v="743.39"/>
    <n v="3"/>
    <x v="4"/>
    <n v="2026"/>
    <n v="171.36"/>
    <n v="0.23051157535075803"/>
  </r>
  <r>
    <n v="11608"/>
    <d v="2026-05-27T00:00:00"/>
    <x v="2"/>
    <x v="1"/>
    <s v="Tables"/>
    <x v="4"/>
    <n v="440.39"/>
    <n v="3"/>
    <x v="4"/>
    <n v="2026"/>
    <n v="164.21"/>
    <n v="0.37287404346147734"/>
  </r>
  <r>
    <n v="11609"/>
    <d v="2026-05-28T00:00:00"/>
    <x v="3"/>
    <x v="1"/>
    <s v="Phones"/>
    <x v="4"/>
    <n v="647.76"/>
    <n v="7"/>
    <x v="4"/>
    <n v="2026"/>
    <n v="145.86000000000001"/>
    <n v="0.22517599110781775"/>
  </r>
  <r>
    <n v="11610"/>
    <d v="2026-05-29T00:00:00"/>
    <x v="0"/>
    <x v="2"/>
    <s v="Phones"/>
    <x v="0"/>
    <n v="714.35"/>
    <n v="4"/>
    <x v="4"/>
    <n v="2026"/>
    <n v="239.69"/>
    <n v="0.33553580177783998"/>
  </r>
  <r>
    <n v="11611"/>
    <d v="2026-05-30T00:00:00"/>
    <x v="2"/>
    <x v="0"/>
    <s v="Accessories"/>
    <x v="1"/>
    <n v="725.57"/>
    <n v="4"/>
    <x v="4"/>
    <n v="2026"/>
    <n v="92.11"/>
    <n v="0.12694846810094132"/>
  </r>
  <r>
    <n v="11612"/>
    <d v="2026-05-31T00:00:00"/>
    <x v="3"/>
    <x v="1"/>
    <s v="Phones"/>
    <x v="2"/>
    <n v="99.37"/>
    <n v="3"/>
    <x v="4"/>
    <n v="2026"/>
    <n v="248.16"/>
    <n v="2.4973331991546743"/>
  </r>
  <r>
    <n v="11613"/>
    <d v="2026-06-01T00:00:00"/>
    <x v="1"/>
    <x v="2"/>
    <s v="Chairs"/>
    <x v="1"/>
    <n v="866.76"/>
    <n v="9"/>
    <x v="5"/>
    <n v="2026"/>
    <n v="43.78"/>
    <n v="5.0509945082837238E-2"/>
  </r>
  <r>
    <n v="11614"/>
    <d v="2026-06-02T00:00:00"/>
    <x v="2"/>
    <x v="1"/>
    <s v="Chairs"/>
    <x v="2"/>
    <n v="485.34"/>
    <n v="2"/>
    <x v="5"/>
    <n v="2026"/>
    <n v="270.68"/>
    <n v="0.5577121193390201"/>
  </r>
  <r>
    <n v="11615"/>
    <d v="2026-06-03T00:00:00"/>
    <x v="3"/>
    <x v="0"/>
    <s v="Binders"/>
    <x v="4"/>
    <n v="299.3"/>
    <n v="4"/>
    <x v="5"/>
    <n v="2026"/>
    <n v="179.46"/>
    <n v="0.59959906448379552"/>
  </r>
  <r>
    <n v="11616"/>
    <d v="2026-06-04T00:00:00"/>
    <x v="0"/>
    <x v="2"/>
    <s v="Accessories"/>
    <x v="1"/>
    <n v="279.68"/>
    <n v="8"/>
    <x v="5"/>
    <n v="2026"/>
    <n v="2.87"/>
    <n v="1.0261727688787185E-2"/>
  </r>
  <r>
    <n v="11617"/>
    <d v="2026-06-05T00:00:00"/>
    <x v="0"/>
    <x v="1"/>
    <s v="Binders"/>
    <x v="4"/>
    <n v="508.86"/>
    <n v="6"/>
    <x v="5"/>
    <n v="2026"/>
    <n v="125.63"/>
    <n v="0.24688519435601147"/>
  </r>
  <r>
    <n v="11618"/>
    <d v="2026-06-06T00:00:00"/>
    <x v="2"/>
    <x v="0"/>
    <s v="Chairs"/>
    <x v="3"/>
    <n v="892.49"/>
    <n v="7"/>
    <x v="5"/>
    <n v="2026"/>
    <n v="113.21"/>
    <n v="0.12684735963428162"/>
  </r>
  <r>
    <n v="11619"/>
    <d v="2026-06-07T00:00:00"/>
    <x v="3"/>
    <x v="1"/>
    <s v="Binders"/>
    <x v="4"/>
    <n v="409.43"/>
    <n v="7"/>
    <x v="5"/>
    <n v="2026"/>
    <n v="-44.84"/>
    <n v="-0.10951811054392693"/>
  </r>
  <r>
    <n v="11620"/>
    <d v="2026-06-08T00:00:00"/>
    <x v="2"/>
    <x v="0"/>
    <s v="Accessories"/>
    <x v="4"/>
    <n v="762.24"/>
    <n v="2"/>
    <x v="5"/>
    <n v="2026"/>
    <n v="136.5"/>
    <n v="0.17907745591939547"/>
  </r>
  <r>
    <n v="11621"/>
    <d v="2026-06-09T00:00:00"/>
    <x v="2"/>
    <x v="0"/>
    <s v="Accessories"/>
    <x v="2"/>
    <n v="141.97999999999999"/>
    <n v="4"/>
    <x v="5"/>
    <n v="2026"/>
    <n v="25.91"/>
    <n v="0.18249049161853784"/>
  </r>
  <r>
    <n v="11622"/>
    <d v="2026-06-10T00:00:00"/>
    <x v="3"/>
    <x v="2"/>
    <s v="Phones"/>
    <x v="3"/>
    <n v="502.25"/>
    <n v="6"/>
    <x v="5"/>
    <n v="2026"/>
    <n v="-79.06"/>
    <n v="-0.15741164758586362"/>
  </r>
  <r>
    <n v="11623"/>
    <d v="2026-06-11T00:00:00"/>
    <x v="3"/>
    <x v="0"/>
    <s v="Tables"/>
    <x v="4"/>
    <n v="992.1"/>
    <n v="3"/>
    <x v="5"/>
    <n v="2026"/>
    <n v="279.45999999999998"/>
    <n v="0.2816853139804455"/>
  </r>
  <r>
    <n v="11624"/>
    <d v="2026-06-12T00:00:00"/>
    <x v="1"/>
    <x v="1"/>
    <s v="Phones"/>
    <x v="4"/>
    <n v="781.92"/>
    <n v="9"/>
    <x v="5"/>
    <n v="2026"/>
    <n v="156.6"/>
    <n v="0.20027624309392267"/>
  </r>
  <r>
    <n v="11625"/>
    <d v="2026-06-13T00:00:00"/>
    <x v="3"/>
    <x v="0"/>
    <s v="Accessories"/>
    <x v="3"/>
    <n v="250"/>
    <n v="4"/>
    <x v="5"/>
    <n v="2026"/>
    <n v="250.77"/>
    <n v="1.00308"/>
  </r>
  <r>
    <n v="11626"/>
    <d v="2026-06-14T00:00:00"/>
    <x v="0"/>
    <x v="0"/>
    <s v="Chairs"/>
    <x v="3"/>
    <n v="526.37"/>
    <n v="2"/>
    <x v="5"/>
    <n v="2026"/>
    <n v="170.42"/>
    <n v="0.32376465224081918"/>
  </r>
  <r>
    <n v="11627"/>
    <d v="2026-06-15T00:00:00"/>
    <x v="2"/>
    <x v="2"/>
    <s v="Chairs"/>
    <x v="1"/>
    <n v="271.94"/>
    <n v="6"/>
    <x v="5"/>
    <n v="2026"/>
    <n v="42.79"/>
    <n v="0.15735088622490254"/>
  </r>
  <r>
    <n v="11628"/>
    <d v="2026-06-16T00:00:00"/>
    <x v="2"/>
    <x v="0"/>
    <s v="Phones"/>
    <x v="2"/>
    <n v="439.08"/>
    <n v="1"/>
    <x v="5"/>
    <n v="2026"/>
    <n v="105.08"/>
    <n v="0.23931857520269656"/>
  </r>
  <r>
    <n v="11629"/>
    <d v="2026-06-17T00:00:00"/>
    <x v="0"/>
    <x v="0"/>
    <s v="Accessories"/>
    <x v="3"/>
    <n v="791.08"/>
    <n v="6"/>
    <x v="5"/>
    <n v="2026"/>
    <n v="170.3"/>
    <n v="0.21527531981594783"/>
  </r>
  <r>
    <n v="11630"/>
    <d v="2026-06-18T00:00:00"/>
    <x v="3"/>
    <x v="1"/>
    <s v="Chairs"/>
    <x v="3"/>
    <n v="782.66"/>
    <n v="1"/>
    <x v="5"/>
    <n v="2026"/>
    <n v="284.10000000000002"/>
    <n v="0.36299287046738049"/>
  </r>
  <r>
    <n v="11631"/>
    <d v="2026-06-19T00:00:00"/>
    <x v="0"/>
    <x v="2"/>
    <s v="Accessories"/>
    <x v="0"/>
    <n v="266.7"/>
    <n v="8"/>
    <x v="5"/>
    <n v="2026"/>
    <n v="1.47"/>
    <n v="5.5118110236220472E-3"/>
  </r>
  <r>
    <n v="11632"/>
    <d v="2026-06-20T00:00:00"/>
    <x v="0"/>
    <x v="2"/>
    <s v="Chairs"/>
    <x v="3"/>
    <n v="926.11"/>
    <n v="5"/>
    <x v="5"/>
    <n v="2026"/>
    <n v="249.99"/>
    <n v="0.26993553681528115"/>
  </r>
  <r>
    <n v="11633"/>
    <d v="2026-06-21T00:00:00"/>
    <x v="1"/>
    <x v="2"/>
    <s v="Accessories"/>
    <x v="2"/>
    <n v="612.94000000000005"/>
    <n v="6"/>
    <x v="5"/>
    <n v="2026"/>
    <n v="269.63"/>
    <n v="0.43989623780467901"/>
  </r>
  <r>
    <n v="11634"/>
    <d v="2026-06-22T00:00:00"/>
    <x v="0"/>
    <x v="0"/>
    <s v="Binders"/>
    <x v="4"/>
    <n v="410.93"/>
    <n v="2"/>
    <x v="5"/>
    <n v="2026"/>
    <n v="168.17"/>
    <n v="0.40924245005232029"/>
  </r>
  <r>
    <n v="11635"/>
    <d v="2026-06-23T00:00:00"/>
    <x v="2"/>
    <x v="2"/>
    <s v="Accessories"/>
    <x v="4"/>
    <n v="526.84"/>
    <n v="2"/>
    <x v="5"/>
    <n v="2026"/>
    <n v="272.51"/>
    <n v="0.51725381520006064"/>
  </r>
  <r>
    <n v="11636"/>
    <d v="2026-06-24T00:00:00"/>
    <x v="0"/>
    <x v="0"/>
    <s v="Accessories"/>
    <x v="4"/>
    <n v="624.82000000000005"/>
    <n v="9"/>
    <x v="5"/>
    <n v="2026"/>
    <n v="59.15"/>
    <n v="9.4667264172081544E-2"/>
  </r>
  <r>
    <n v="11637"/>
    <d v="2026-06-25T00:00:00"/>
    <x v="2"/>
    <x v="0"/>
    <s v="Phones"/>
    <x v="4"/>
    <n v="581.9"/>
    <n v="3"/>
    <x v="5"/>
    <n v="2026"/>
    <n v="281.20999999999998"/>
    <n v="0.48326172881938478"/>
  </r>
  <r>
    <n v="11638"/>
    <d v="2026-06-26T00:00:00"/>
    <x v="2"/>
    <x v="1"/>
    <s v="Binders"/>
    <x v="0"/>
    <n v="512.08000000000004"/>
    <n v="6"/>
    <x v="5"/>
    <n v="2026"/>
    <n v="181.11"/>
    <n v="0.35367520699890642"/>
  </r>
  <r>
    <n v="11639"/>
    <d v="2026-06-27T00:00:00"/>
    <x v="2"/>
    <x v="1"/>
    <s v="Tables"/>
    <x v="3"/>
    <n v="529.69000000000005"/>
    <n v="5"/>
    <x v="5"/>
    <n v="2026"/>
    <n v="-83.2"/>
    <n v="-0.15707300496516829"/>
  </r>
  <r>
    <n v="11640"/>
    <d v="2026-06-28T00:00:00"/>
    <x v="3"/>
    <x v="1"/>
    <s v="Phones"/>
    <x v="4"/>
    <n v="217.59"/>
    <n v="4"/>
    <x v="5"/>
    <n v="2026"/>
    <n v="262.75"/>
    <n v="1.2075463026793511"/>
  </r>
  <r>
    <n v="11641"/>
    <d v="2026-06-29T00:00:00"/>
    <x v="1"/>
    <x v="1"/>
    <s v="Tables"/>
    <x v="1"/>
    <n v="822.1"/>
    <n v="2"/>
    <x v="5"/>
    <n v="2026"/>
    <n v="93.79"/>
    <n v="0.11408587763045859"/>
  </r>
  <r>
    <n v="11642"/>
    <d v="2026-06-30T00:00:00"/>
    <x v="2"/>
    <x v="1"/>
    <s v="Chairs"/>
    <x v="4"/>
    <n v="564.66999999999996"/>
    <n v="8"/>
    <x v="5"/>
    <n v="2026"/>
    <n v="84.13"/>
    <n v="0.14898967538562347"/>
  </r>
  <r>
    <n v="11643"/>
    <d v="2026-07-01T00:00:00"/>
    <x v="2"/>
    <x v="0"/>
    <s v="Tables"/>
    <x v="3"/>
    <n v="174.53"/>
    <n v="7"/>
    <x v="6"/>
    <n v="2026"/>
    <n v="126.59"/>
    <n v="0.72531942932447147"/>
  </r>
  <r>
    <n v="11644"/>
    <d v="2026-07-02T00:00:00"/>
    <x v="3"/>
    <x v="0"/>
    <s v="Accessories"/>
    <x v="4"/>
    <n v="777.85"/>
    <n v="2"/>
    <x v="6"/>
    <n v="2026"/>
    <n v="-40.25"/>
    <n v="-5.1745195089027446E-2"/>
  </r>
  <r>
    <n v="11645"/>
    <d v="2026-07-03T00:00:00"/>
    <x v="2"/>
    <x v="2"/>
    <s v="Tables"/>
    <x v="0"/>
    <n v="935.82"/>
    <n v="6"/>
    <x v="6"/>
    <n v="2026"/>
    <n v="87.67"/>
    <n v="9.3682545788720054E-2"/>
  </r>
  <r>
    <n v="11646"/>
    <d v="2026-07-04T00:00:00"/>
    <x v="0"/>
    <x v="0"/>
    <s v="Phones"/>
    <x v="2"/>
    <n v="949.94"/>
    <n v="8"/>
    <x v="6"/>
    <n v="2026"/>
    <n v="232.45"/>
    <n v="0.24469966524201525"/>
  </r>
  <r>
    <n v="11647"/>
    <d v="2026-07-05T00:00:00"/>
    <x v="0"/>
    <x v="0"/>
    <s v="Phones"/>
    <x v="2"/>
    <n v="400.57"/>
    <n v="7"/>
    <x v="6"/>
    <n v="2026"/>
    <n v="-93.81"/>
    <n v="-0.23419127742966275"/>
  </r>
  <r>
    <n v="11648"/>
    <d v="2026-07-06T00:00:00"/>
    <x v="1"/>
    <x v="1"/>
    <s v="Tables"/>
    <x v="3"/>
    <n v="178.74"/>
    <n v="1"/>
    <x v="6"/>
    <n v="2026"/>
    <n v="9.17"/>
    <n v="5.1303569430457642E-2"/>
  </r>
  <r>
    <n v="11649"/>
    <d v="2026-07-07T00:00:00"/>
    <x v="2"/>
    <x v="0"/>
    <s v="Phones"/>
    <x v="2"/>
    <n v="542.48"/>
    <n v="5"/>
    <x v="6"/>
    <n v="2026"/>
    <n v="-99.02"/>
    <n v="-0.18253207491520423"/>
  </r>
  <r>
    <n v="11650"/>
    <d v="2026-07-08T00:00:00"/>
    <x v="3"/>
    <x v="1"/>
    <s v="Phones"/>
    <x v="2"/>
    <n v="156.97999999999999"/>
    <n v="2"/>
    <x v="6"/>
    <n v="2026"/>
    <n v="66.28"/>
    <n v="0.42221939100522365"/>
  </r>
  <r>
    <n v="11651"/>
    <d v="2026-07-09T00:00:00"/>
    <x v="0"/>
    <x v="2"/>
    <s v="Tables"/>
    <x v="1"/>
    <n v="937.29"/>
    <n v="6"/>
    <x v="6"/>
    <n v="2026"/>
    <n v="191.33"/>
    <n v="0.20413105869048001"/>
  </r>
  <r>
    <n v="11652"/>
    <d v="2026-07-10T00:00:00"/>
    <x v="3"/>
    <x v="2"/>
    <s v="Binders"/>
    <x v="3"/>
    <n v="224.4"/>
    <n v="7"/>
    <x v="6"/>
    <n v="2026"/>
    <n v="219.51"/>
    <n v="0.97820855614973257"/>
  </r>
  <r>
    <n v="11653"/>
    <d v="2026-07-11T00:00:00"/>
    <x v="3"/>
    <x v="0"/>
    <s v="Binders"/>
    <x v="3"/>
    <n v="290.13"/>
    <n v="7"/>
    <x v="6"/>
    <n v="2026"/>
    <n v="278.08"/>
    <n v="0.95846689415089781"/>
  </r>
  <r>
    <n v="11654"/>
    <d v="2026-07-12T00:00:00"/>
    <x v="0"/>
    <x v="2"/>
    <s v="Chairs"/>
    <x v="2"/>
    <n v="436.3"/>
    <n v="3"/>
    <x v="6"/>
    <n v="2026"/>
    <n v="143.4"/>
    <n v="0.32867293146917259"/>
  </r>
  <r>
    <n v="11655"/>
    <d v="2026-07-13T00:00:00"/>
    <x v="3"/>
    <x v="0"/>
    <s v="Phones"/>
    <x v="2"/>
    <n v="414.01"/>
    <n v="7"/>
    <x v="6"/>
    <n v="2026"/>
    <n v="1.85"/>
    <n v="4.4684910992488103E-3"/>
  </r>
  <r>
    <n v="11656"/>
    <d v="2026-07-14T00:00:00"/>
    <x v="0"/>
    <x v="2"/>
    <s v="Tables"/>
    <x v="2"/>
    <n v="804.93"/>
    <n v="5"/>
    <x v="6"/>
    <n v="2026"/>
    <n v="269.66000000000003"/>
    <n v="0.33501049780726277"/>
  </r>
  <r>
    <n v="11657"/>
    <d v="2026-07-15T00:00:00"/>
    <x v="3"/>
    <x v="1"/>
    <s v="Phones"/>
    <x v="0"/>
    <n v="483.5"/>
    <n v="8"/>
    <x v="6"/>
    <n v="2026"/>
    <n v="210.13"/>
    <n v="0.43460186142709412"/>
  </r>
  <r>
    <n v="11658"/>
    <d v="2026-07-16T00:00:00"/>
    <x v="0"/>
    <x v="1"/>
    <s v="Accessories"/>
    <x v="4"/>
    <n v="212.23"/>
    <n v="8"/>
    <x v="6"/>
    <n v="2026"/>
    <n v="129.77000000000001"/>
    <n v="0.61145926589077892"/>
  </r>
  <r>
    <n v="11659"/>
    <d v="2026-07-17T00:00:00"/>
    <x v="2"/>
    <x v="1"/>
    <s v="Phones"/>
    <x v="0"/>
    <n v="303.85000000000002"/>
    <n v="7"/>
    <x v="6"/>
    <n v="2026"/>
    <n v="178.26"/>
    <n v="0.58667105479677462"/>
  </r>
  <r>
    <n v="11660"/>
    <d v="2026-07-18T00:00:00"/>
    <x v="1"/>
    <x v="1"/>
    <s v="Phones"/>
    <x v="3"/>
    <n v="533.66"/>
    <n v="6"/>
    <x v="6"/>
    <n v="2026"/>
    <n v="269.73"/>
    <n v="0.50543417156991344"/>
  </r>
  <r>
    <n v="11661"/>
    <d v="2026-07-19T00:00:00"/>
    <x v="0"/>
    <x v="0"/>
    <s v="Binders"/>
    <x v="1"/>
    <n v="190.08"/>
    <n v="2"/>
    <x v="6"/>
    <n v="2026"/>
    <n v="184.96"/>
    <n v="0.97306397306397308"/>
  </r>
  <r>
    <n v="11662"/>
    <d v="2026-07-20T00:00:00"/>
    <x v="0"/>
    <x v="2"/>
    <s v="Tables"/>
    <x v="4"/>
    <n v="631.07000000000005"/>
    <n v="6"/>
    <x v="6"/>
    <n v="2026"/>
    <n v="47.35"/>
    <n v="7.5031296052735827E-2"/>
  </r>
  <r>
    <n v="11663"/>
    <d v="2026-07-21T00:00:00"/>
    <x v="1"/>
    <x v="0"/>
    <s v="Phones"/>
    <x v="1"/>
    <n v="587.46"/>
    <n v="9"/>
    <x v="6"/>
    <n v="2026"/>
    <n v="185.21"/>
    <n v="0.31527252919347698"/>
  </r>
  <r>
    <n v="11664"/>
    <d v="2026-07-22T00:00:00"/>
    <x v="0"/>
    <x v="1"/>
    <s v="Binders"/>
    <x v="3"/>
    <n v="728.97"/>
    <n v="2"/>
    <x v="6"/>
    <n v="2026"/>
    <n v="-83.89"/>
    <n v="-0.11508018162613001"/>
  </r>
  <r>
    <n v="11665"/>
    <d v="2026-07-23T00:00:00"/>
    <x v="0"/>
    <x v="0"/>
    <s v="Chairs"/>
    <x v="3"/>
    <n v="940.82"/>
    <n v="1"/>
    <x v="6"/>
    <n v="2026"/>
    <n v="54.57"/>
    <n v="5.8002593482281414E-2"/>
  </r>
  <r>
    <n v="11666"/>
    <d v="2026-07-24T00:00:00"/>
    <x v="3"/>
    <x v="2"/>
    <s v="Binders"/>
    <x v="1"/>
    <n v="916.64"/>
    <n v="5"/>
    <x v="6"/>
    <n v="2026"/>
    <n v="62.53"/>
    <n v="6.8216529935416312E-2"/>
  </r>
  <r>
    <n v="11667"/>
    <d v="2026-07-25T00:00:00"/>
    <x v="1"/>
    <x v="0"/>
    <s v="Binders"/>
    <x v="1"/>
    <n v="948.77"/>
    <n v="6"/>
    <x v="6"/>
    <n v="2026"/>
    <n v="-33.26"/>
    <n v="-3.5055914499826091E-2"/>
  </r>
  <r>
    <n v="11668"/>
    <d v="2026-07-26T00:00:00"/>
    <x v="2"/>
    <x v="2"/>
    <s v="Binders"/>
    <x v="1"/>
    <n v="282.48"/>
    <n v="3"/>
    <x v="6"/>
    <n v="2026"/>
    <n v="-90.77"/>
    <n v="-0.32133248371566125"/>
  </r>
  <r>
    <n v="11669"/>
    <d v="2026-07-27T00:00:00"/>
    <x v="0"/>
    <x v="0"/>
    <s v="Phones"/>
    <x v="3"/>
    <n v="174.99"/>
    <n v="8"/>
    <x v="6"/>
    <n v="2026"/>
    <n v="-46.65"/>
    <n v="-0.26658666209497683"/>
  </r>
  <r>
    <n v="11670"/>
    <d v="2026-07-28T00:00:00"/>
    <x v="1"/>
    <x v="2"/>
    <s v="Phones"/>
    <x v="2"/>
    <n v="337.16"/>
    <n v="7"/>
    <x v="6"/>
    <n v="2026"/>
    <n v="161.85"/>
    <n v="0.48003915055166679"/>
  </r>
  <r>
    <n v="11671"/>
    <d v="2026-07-29T00:00:00"/>
    <x v="3"/>
    <x v="2"/>
    <s v="Chairs"/>
    <x v="1"/>
    <n v="900.33"/>
    <n v="2"/>
    <x v="6"/>
    <n v="2026"/>
    <n v="220.92"/>
    <n v="0.24537669521175567"/>
  </r>
  <r>
    <n v="11672"/>
    <d v="2026-07-30T00:00:00"/>
    <x v="2"/>
    <x v="1"/>
    <s v="Accessories"/>
    <x v="4"/>
    <n v="973.45"/>
    <n v="7"/>
    <x v="6"/>
    <n v="2026"/>
    <n v="295.27999999999997"/>
    <n v="0.30333350454568797"/>
  </r>
  <r>
    <n v="11673"/>
    <d v="2026-07-31T00:00:00"/>
    <x v="1"/>
    <x v="2"/>
    <s v="Accessories"/>
    <x v="3"/>
    <n v="866.36"/>
    <n v="1"/>
    <x v="6"/>
    <n v="2026"/>
    <n v="38.549999999999997"/>
    <n v="4.4496514151161175E-2"/>
  </r>
  <r>
    <n v="11674"/>
    <d v="2026-08-01T00:00:00"/>
    <x v="2"/>
    <x v="1"/>
    <s v="Accessories"/>
    <x v="0"/>
    <n v="154.52000000000001"/>
    <n v="9"/>
    <x v="7"/>
    <n v="2026"/>
    <n v="139.75"/>
    <n v="0.90441366813357493"/>
  </r>
  <r>
    <n v="11675"/>
    <d v="2026-08-02T00:00:00"/>
    <x v="2"/>
    <x v="1"/>
    <s v="Chairs"/>
    <x v="0"/>
    <n v="950.06"/>
    <n v="7"/>
    <x v="7"/>
    <n v="2026"/>
    <n v="274.86"/>
    <n v="0.28930804370250301"/>
  </r>
  <r>
    <n v="11676"/>
    <d v="2026-08-03T00:00:00"/>
    <x v="2"/>
    <x v="1"/>
    <s v="Accessories"/>
    <x v="4"/>
    <n v="452.19"/>
    <n v="6"/>
    <x v="7"/>
    <n v="2026"/>
    <n v="-33.18"/>
    <n v="-7.3376235653154653E-2"/>
  </r>
  <r>
    <n v="11677"/>
    <d v="2026-08-04T00:00:00"/>
    <x v="0"/>
    <x v="0"/>
    <s v="Accessories"/>
    <x v="2"/>
    <n v="58.84"/>
    <n v="2"/>
    <x v="7"/>
    <n v="2026"/>
    <n v="187.06"/>
    <n v="3.1791298436437798"/>
  </r>
  <r>
    <n v="11678"/>
    <d v="2026-08-05T00:00:00"/>
    <x v="0"/>
    <x v="0"/>
    <s v="Binders"/>
    <x v="1"/>
    <n v="470.27"/>
    <n v="3"/>
    <x v="7"/>
    <n v="2026"/>
    <n v="201.99"/>
    <n v="0.42951921236736346"/>
  </r>
  <r>
    <n v="11679"/>
    <d v="2026-08-06T00:00:00"/>
    <x v="3"/>
    <x v="0"/>
    <s v="Phones"/>
    <x v="3"/>
    <n v="93.77"/>
    <n v="1"/>
    <x v="7"/>
    <n v="2026"/>
    <n v="-64.41"/>
    <n v="-0.68689346272795138"/>
  </r>
  <r>
    <n v="11680"/>
    <d v="2026-08-07T00:00:00"/>
    <x v="3"/>
    <x v="0"/>
    <s v="Phones"/>
    <x v="1"/>
    <n v="566.67999999999995"/>
    <n v="5"/>
    <x v="7"/>
    <n v="2026"/>
    <n v="244.5"/>
    <n v="0.43146043622503005"/>
  </r>
  <r>
    <n v="11681"/>
    <d v="2026-08-08T00:00:00"/>
    <x v="1"/>
    <x v="2"/>
    <s v="Binders"/>
    <x v="3"/>
    <n v="371.63"/>
    <n v="9"/>
    <x v="7"/>
    <n v="2026"/>
    <n v="225.24"/>
    <n v="0.60608669913623769"/>
  </r>
  <r>
    <n v="11682"/>
    <d v="2026-08-09T00:00:00"/>
    <x v="3"/>
    <x v="2"/>
    <s v="Binders"/>
    <x v="0"/>
    <n v="499.76"/>
    <n v="6"/>
    <x v="7"/>
    <n v="2026"/>
    <n v="-86.64"/>
    <n v="-0.1733632143428846"/>
  </r>
  <r>
    <n v="11683"/>
    <d v="2026-08-10T00:00:00"/>
    <x v="2"/>
    <x v="0"/>
    <s v="Binders"/>
    <x v="1"/>
    <n v="632.51"/>
    <n v="5"/>
    <x v="7"/>
    <n v="2026"/>
    <n v="-63.57"/>
    <n v="-0.10050433985233435"/>
  </r>
  <r>
    <n v="11684"/>
    <d v="2026-08-11T00:00:00"/>
    <x v="2"/>
    <x v="2"/>
    <s v="Phones"/>
    <x v="4"/>
    <n v="875.36"/>
    <n v="3"/>
    <x v="7"/>
    <n v="2026"/>
    <n v="-80.349999999999994"/>
    <n v="-9.1790806068360445E-2"/>
  </r>
  <r>
    <n v="11685"/>
    <d v="2026-08-12T00:00:00"/>
    <x v="0"/>
    <x v="2"/>
    <s v="Accessories"/>
    <x v="2"/>
    <n v="678.81"/>
    <n v="5"/>
    <x v="7"/>
    <n v="2026"/>
    <n v="33.9"/>
    <n v="4.9940336765810757E-2"/>
  </r>
  <r>
    <n v="11686"/>
    <d v="2026-08-13T00:00:00"/>
    <x v="2"/>
    <x v="1"/>
    <s v="Binders"/>
    <x v="4"/>
    <n v="462.35"/>
    <n v="8"/>
    <x v="7"/>
    <n v="2026"/>
    <n v="103.72"/>
    <n v="0.2243322158537904"/>
  </r>
  <r>
    <n v="11687"/>
    <d v="2026-08-14T00:00:00"/>
    <x v="1"/>
    <x v="1"/>
    <s v="Chairs"/>
    <x v="2"/>
    <n v="828.46"/>
    <n v="2"/>
    <x v="7"/>
    <n v="2026"/>
    <n v="112.94"/>
    <n v="0.13632522994471669"/>
  </r>
  <r>
    <n v="11688"/>
    <d v="2026-08-15T00:00:00"/>
    <x v="2"/>
    <x v="1"/>
    <s v="Binders"/>
    <x v="1"/>
    <n v="910.3"/>
    <n v="5"/>
    <x v="7"/>
    <n v="2026"/>
    <n v="7.07"/>
    <n v="7.7666703284631445E-3"/>
  </r>
  <r>
    <n v="11689"/>
    <d v="2026-08-16T00:00:00"/>
    <x v="2"/>
    <x v="1"/>
    <s v="Tables"/>
    <x v="1"/>
    <n v="163.77000000000001"/>
    <n v="6"/>
    <x v="7"/>
    <n v="2026"/>
    <n v="264.64"/>
    <n v="1.6159247725468644"/>
  </r>
  <r>
    <n v="11690"/>
    <d v="2026-08-17T00:00:00"/>
    <x v="1"/>
    <x v="2"/>
    <s v="Binders"/>
    <x v="2"/>
    <n v="555.34"/>
    <n v="8"/>
    <x v="7"/>
    <n v="2026"/>
    <n v="47.31"/>
    <n v="8.5191054129002047E-2"/>
  </r>
  <r>
    <n v="11691"/>
    <d v="2026-08-18T00:00:00"/>
    <x v="3"/>
    <x v="0"/>
    <s v="Phones"/>
    <x v="0"/>
    <n v="320.29000000000002"/>
    <n v="8"/>
    <x v="7"/>
    <n v="2026"/>
    <n v="-81.78"/>
    <n v="-0.25533110618501981"/>
  </r>
  <r>
    <n v="11692"/>
    <d v="2026-08-19T00:00:00"/>
    <x v="3"/>
    <x v="2"/>
    <s v="Binders"/>
    <x v="3"/>
    <n v="94.71"/>
    <n v="5"/>
    <x v="7"/>
    <n v="2026"/>
    <n v="20.09"/>
    <n v="0.21212121212121213"/>
  </r>
  <r>
    <n v="11693"/>
    <d v="2026-08-20T00:00:00"/>
    <x v="1"/>
    <x v="2"/>
    <s v="Tables"/>
    <x v="4"/>
    <n v="685.12"/>
    <n v="9"/>
    <x v="7"/>
    <n v="2026"/>
    <n v="112.44"/>
    <n v="0.16411723493694536"/>
  </r>
  <r>
    <n v="11694"/>
    <d v="2026-08-21T00:00:00"/>
    <x v="0"/>
    <x v="2"/>
    <s v="Chairs"/>
    <x v="4"/>
    <n v="869.63"/>
    <n v="4"/>
    <x v="7"/>
    <n v="2026"/>
    <n v="63.29"/>
    <n v="7.2778078033186533E-2"/>
  </r>
  <r>
    <n v="11695"/>
    <d v="2026-08-22T00:00:00"/>
    <x v="2"/>
    <x v="1"/>
    <s v="Accessories"/>
    <x v="4"/>
    <n v="204.76"/>
    <n v="9"/>
    <x v="7"/>
    <n v="2026"/>
    <n v="9.5399999999999991"/>
    <n v="4.6591131080289117E-2"/>
  </r>
  <r>
    <n v="11696"/>
    <d v="2026-08-23T00:00:00"/>
    <x v="1"/>
    <x v="1"/>
    <s v="Binders"/>
    <x v="1"/>
    <n v="821.79"/>
    <n v="7"/>
    <x v="7"/>
    <n v="2026"/>
    <n v="-47.47"/>
    <n v="-5.77641489918349E-2"/>
  </r>
  <r>
    <n v="11697"/>
    <d v="2026-08-24T00:00:00"/>
    <x v="2"/>
    <x v="1"/>
    <s v="Tables"/>
    <x v="4"/>
    <n v="860.73"/>
    <n v="6"/>
    <x v="7"/>
    <n v="2026"/>
    <n v="227.67"/>
    <n v="0.26450803387821964"/>
  </r>
  <r>
    <n v="11698"/>
    <d v="2026-08-25T00:00:00"/>
    <x v="0"/>
    <x v="0"/>
    <s v="Tables"/>
    <x v="3"/>
    <n v="918.62"/>
    <n v="4"/>
    <x v="7"/>
    <n v="2026"/>
    <n v="298.45999999999998"/>
    <n v="0.32490039406936488"/>
  </r>
  <r>
    <n v="11699"/>
    <d v="2026-08-26T00:00:00"/>
    <x v="2"/>
    <x v="2"/>
    <s v="Chairs"/>
    <x v="3"/>
    <n v="302.02"/>
    <n v="2"/>
    <x v="7"/>
    <n v="2026"/>
    <n v="31.82"/>
    <n v="0.10535726110853587"/>
  </r>
  <r>
    <n v="11700"/>
    <d v="2026-08-27T00:00:00"/>
    <x v="1"/>
    <x v="0"/>
    <s v="Phones"/>
    <x v="2"/>
    <n v="908.76"/>
    <n v="8"/>
    <x v="7"/>
    <n v="2026"/>
    <n v="52.65"/>
    <n v="5.7936088736300011E-2"/>
  </r>
  <r>
    <n v="11701"/>
    <d v="2026-08-28T00:00:00"/>
    <x v="2"/>
    <x v="1"/>
    <s v="Binders"/>
    <x v="1"/>
    <n v="354.63"/>
    <n v="6"/>
    <x v="7"/>
    <n v="2026"/>
    <n v="147.22"/>
    <n v="0.415136903251276"/>
  </r>
  <r>
    <n v="11702"/>
    <d v="2026-08-29T00:00:00"/>
    <x v="3"/>
    <x v="0"/>
    <s v="Tables"/>
    <x v="3"/>
    <n v="574.72"/>
    <n v="3"/>
    <x v="7"/>
    <n v="2026"/>
    <n v="187.38"/>
    <n v="0.32603702672605789"/>
  </r>
  <r>
    <n v="11703"/>
    <d v="2026-08-30T00:00:00"/>
    <x v="0"/>
    <x v="2"/>
    <s v="Chairs"/>
    <x v="0"/>
    <n v="97.98"/>
    <n v="7"/>
    <x v="7"/>
    <n v="2026"/>
    <n v="56.81"/>
    <n v="0.57981220657276999"/>
  </r>
  <r>
    <n v="11704"/>
    <d v="2026-08-31T00:00:00"/>
    <x v="0"/>
    <x v="2"/>
    <s v="Accessories"/>
    <x v="1"/>
    <n v="91.69"/>
    <n v="7"/>
    <x v="7"/>
    <n v="2026"/>
    <n v="261.97000000000003"/>
    <n v="2.8571272766932059"/>
  </r>
  <r>
    <n v="11705"/>
    <d v="2026-09-01T00:00:00"/>
    <x v="0"/>
    <x v="1"/>
    <s v="Tables"/>
    <x v="1"/>
    <n v="734.35"/>
    <n v="6"/>
    <x v="8"/>
    <n v="2026"/>
    <n v="124"/>
    <n v="0.16885681214679649"/>
  </r>
  <r>
    <n v="11706"/>
    <d v="2026-09-02T00:00:00"/>
    <x v="1"/>
    <x v="1"/>
    <s v="Chairs"/>
    <x v="3"/>
    <n v="472.26"/>
    <n v="2"/>
    <x v="8"/>
    <n v="2026"/>
    <n v="80.16"/>
    <n v="0.16973700927455215"/>
  </r>
  <r>
    <n v="11707"/>
    <d v="2026-09-03T00:00:00"/>
    <x v="0"/>
    <x v="0"/>
    <s v="Phones"/>
    <x v="0"/>
    <n v="293.48"/>
    <n v="8"/>
    <x v="8"/>
    <n v="2026"/>
    <n v="158.66999999999999"/>
    <n v="0.54065012948071411"/>
  </r>
  <r>
    <n v="11708"/>
    <d v="2026-09-04T00:00:00"/>
    <x v="3"/>
    <x v="1"/>
    <s v="Phones"/>
    <x v="2"/>
    <n v="230.89"/>
    <n v="1"/>
    <x v="8"/>
    <n v="2026"/>
    <n v="281.12"/>
    <n v="1.2175494824375244"/>
  </r>
  <r>
    <n v="11709"/>
    <d v="2026-09-05T00:00:00"/>
    <x v="1"/>
    <x v="1"/>
    <s v="Tables"/>
    <x v="3"/>
    <n v="686.46"/>
    <n v="1"/>
    <x v="8"/>
    <n v="2026"/>
    <n v="217.82"/>
    <n v="0.3173090930279987"/>
  </r>
  <r>
    <n v="11710"/>
    <d v="2026-09-06T00:00:00"/>
    <x v="3"/>
    <x v="2"/>
    <s v="Tables"/>
    <x v="0"/>
    <n v="50.38"/>
    <n v="6"/>
    <x v="8"/>
    <n v="2026"/>
    <n v="-83.99"/>
    <n v="-1.6671298134180228"/>
  </r>
  <r>
    <n v="11711"/>
    <d v="2026-09-07T00:00:00"/>
    <x v="2"/>
    <x v="1"/>
    <s v="Binders"/>
    <x v="1"/>
    <n v="815.6"/>
    <n v="5"/>
    <x v="8"/>
    <n v="2026"/>
    <n v="32.92"/>
    <n v="4.0362923001471311E-2"/>
  </r>
  <r>
    <n v="11712"/>
    <d v="2026-09-08T00:00:00"/>
    <x v="2"/>
    <x v="1"/>
    <s v="Chairs"/>
    <x v="0"/>
    <n v="125.29"/>
    <n v="9"/>
    <x v="8"/>
    <n v="2026"/>
    <n v="88.22"/>
    <n v="0.70412642669007897"/>
  </r>
  <r>
    <n v="11713"/>
    <d v="2026-09-09T00:00:00"/>
    <x v="2"/>
    <x v="2"/>
    <s v="Tables"/>
    <x v="1"/>
    <n v="231.92"/>
    <n v="7"/>
    <x v="8"/>
    <n v="2026"/>
    <n v="25.81"/>
    <n v="0.11128837530182822"/>
  </r>
  <r>
    <n v="11714"/>
    <d v="2026-09-10T00:00:00"/>
    <x v="2"/>
    <x v="2"/>
    <s v="Binders"/>
    <x v="3"/>
    <n v="416.92"/>
    <n v="2"/>
    <x v="8"/>
    <n v="2026"/>
    <n v="180.08"/>
    <n v="0.43192938693274491"/>
  </r>
  <r>
    <n v="11715"/>
    <d v="2026-09-11T00:00:00"/>
    <x v="3"/>
    <x v="0"/>
    <s v="Binders"/>
    <x v="3"/>
    <n v="510.62"/>
    <n v="7"/>
    <x v="8"/>
    <n v="2026"/>
    <n v="230.51"/>
    <n v="0.45143159296541457"/>
  </r>
  <r>
    <n v="11716"/>
    <d v="2026-09-12T00:00:00"/>
    <x v="1"/>
    <x v="1"/>
    <s v="Tables"/>
    <x v="4"/>
    <n v="387.25"/>
    <n v="3"/>
    <x v="8"/>
    <n v="2026"/>
    <n v="192.54"/>
    <n v="0.49719819238218205"/>
  </r>
  <r>
    <n v="11717"/>
    <d v="2026-09-13T00:00:00"/>
    <x v="1"/>
    <x v="2"/>
    <s v="Phones"/>
    <x v="4"/>
    <n v="354.68"/>
    <n v="1"/>
    <x v="8"/>
    <n v="2026"/>
    <n v="295.73"/>
    <n v="0.83379384233675424"/>
  </r>
  <r>
    <n v="11718"/>
    <d v="2026-09-14T00:00:00"/>
    <x v="0"/>
    <x v="0"/>
    <s v="Chairs"/>
    <x v="4"/>
    <n v="965.72"/>
    <n v="8"/>
    <x v="8"/>
    <n v="2026"/>
    <n v="9.02"/>
    <n v="9.3401814190448573E-3"/>
  </r>
  <r>
    <n v="11719"/>
    <d v="2026-09-15T00:00:00"/>
    <x v="3"/>
    <x v="0"/>
    <s v="Chairs"/>
    <x v="3"/>
    <n v="659.5"/>
    <n v="3"/>
    <x v="8"/>
    <n v="2026"/>
    <n v="250"/>
    <n v="0.37907505686125853"/>
  </r>
  <r>
    <n v="11720"/>
    <d v="2026-09-16T00:00:00"/>
    <x v="2"/>
    <x v="1"/>
    <s v="Phones"/>
    <x v="2"/>
    <n v="72.260000000000005"/>
    <n v="8"/>
    <x v="8"/>
    <n v="2026"/>
    <n v="206.65"/>
    <n v="2.8598117907556047"/>
  </r>
  <r>
    <n v="11721"/>
    <d v="2026-09-17T00:00:00"/>
    <x v="3"/>
    <x v="1"/>
    <s v="Tables"/>
    <x v="3"/>
    <n v="458.67"/>
    <n v="7"/>
    <x v="8"/>
    <n v="2026"/>
    <n v="44.87"/>
    <n v="9.7826323936599291E-2"/>
  </r>
  <r>
    <n v="11722"/>
    <d v="2026-09-18T00:00:00"/>
    <x v="0"/>
    <x v="0"/>
    <s v="Chairs"/>
    <x v="0"/>
    <n v="881.26"/>
    <n v="2"/>
    <x v="8"/>
    <n v="2026"/>
    <n v="193.65"/>
    <n v="0.21974218732269707"/>
  </r>
  <r>
    <n v="11723"/>
    <d v="2026-09-19T00:00:00"/>
    <x v="0"/>
    <x v="2"/>
    <s v="Tables"/>
    <x v="3"/>
    <n v="336.38"/>
    <n v="1"/>
    <x v="8"/>
    <n v="2026"/>
    <n v="-58.37"/>
    <n v="-0.17352399072477553"/>
  </r>
  <r>
    <n v="11724"/>
    <d v="2026-09-20T00:00:00"/>
    <x v="3"/>
    <x v="0"/>
    <s v="Tables"/>
    <x v="3"/>
    <n v="139.83000000000001"/>
    <n v="7"/>
    <x v="8"/>
    <n v="2026"/>
    <n v="215.73"/>
    <n v="1.5428019738253591"/>
  </r>
  <r>
    <n v="11725"/>
    <d v="2026-09-21T00:00:00"/>
    <x v="3"/>
    <x v="1"/>
    <s v="Binders"/>
    <x v="1"/>
    <n v="770.47"/>
    <n v="1"/>
    <x v="8"/>
    <n v="2026"/>
    <n v="112.93"/>
    <n v="0.14657287110465042"/>
  </r>
  <r>
    <n v="11726"/>
    <d v="2026-09-22T00:00:00"/>
    <x v="3"/>
    <x v="2"/>
    <s v="Phones"/>
    <x v="1"/>
    <n v="625.71"/>
    <n v="6"/>
    <x v="8"/>
    <n v="2026"/>
    <n v="16.920000000000002"/>
    <n v="2.7041281104665103E-2"/>
  </r>
  <r>
    <n v="11727"/>
    <d v="2026-09-23T00:00:00"/>
    <x v="1"/>
    <x v="2"/>
    <s v="Tables"/>
    <x v="1"/>
    <n v="591.79999999999995"/>
    <n v="8"/>
    <x v="8"/>
    <n v="2026"/>
    <n v="162.31"/>
    <n v="0.27426495437647858"/>
  </r>
  <r>
    <n v="11728"/>
    <d v="2026-09-24T00:00:00"/>
    <x v="2"/>
    <x v="0"/>
    <s v="Accessories"/>
    <x v="3"/>
    <n v="100.9"/>
    <n v="7"/>
    <x v="8"/>
    <n v="2026"/>
    <n v="156.65"/>
    <n v="1.5525272547076312"/>
  </r>
  <r>
    <n v="11729"/>
    <d v="2026-09-25T00:00:00"/>
    <x v="3"/>
    <x v="1"/>
    <s v="Phones"/>
    <x v="2"/>
    <n v="183.47"/>
    <n v="4"/>
    <x v="8"/>
    <n v="2026"/>
    <n v="-16.21"/>
    <n v="-8.8352319180247454E-2"/>
  </r>
  <r>
    <n v="11730"/>
    <d v="2026-09-26T00:00:00"/>
    <x v="3"/>
    <x v="0"/>
    <s v="Chairs"/>
    <x v="0"/>
    <n v="641.41999999999996"/>
    <n v="1"/>
    <x v="8"/>
    <n v="2026"/>
    <n v="-87.84"/>
    <n v="-0.13694615072807209"/>
  </r>
  <r>
    <n v="11731"/>
    <d v="2026-09-27T00:00:00"/>
    <x v="3"/>
    <x v="0"/>
    <s v="Binders"/>
    <x v="0"/>
    <n v="247.43"/>
    <n v="1"/>
    <x v="8"/>
    <n v="2026"/>
    <n v="73.45"/>
    <n v="0.29685163480580368"/>
  </r>
  <r>
    <n v="11732"/>
    <d v="2026-09-28T00:00:00"/>
    <x v="0"/>
    <x v="0"/>
    <s v="Chairs"/>
    <x v="2"/>
    <n v="528.87"/>
    <n v="4"/>
    <x v="8"/>
    <n v="2026"/>
    <n v="127.8"/>
    <n v="0.24164728572238925"/>
  </r>
  <r>
    <n v="11733"/>
    <d v="2026-09-29T00:00:00"/>
    <x v="0"/>
    <x v="2"/>
    <s v="Chairs"/>
    <x v="2"/>
    <n v="567.64"/>
    <n v="5"/>
    <x v="8"/>
    <n v="2026"/>
    <n v="250.64"/>
    <n v="0.4415474596575294"/>
  </r>
  <r>
    <n v="11734"/>
    <d v="2026-09-30T00:00:00"/>
    <x v="1"/>
    <x v="2"/>
    <s v="Phones"/>
    <x v="0"/>
    <n v="319.33"/>
    <n v="7"/>
    <x v="8"/>
    <n v="2026"/>
    <n v="271.29000000000002"/>
    <n v="0.84956001628409494"/>
  </r>
  <r>
    <n v="11735"/>
    <d v="2026-10-01T00:00:00"/>
    <x v="2"/>
    <x v="1"/>
    <s v="Chairs"/>
    <x v="4"/>
    <n v="951"/>
    <n v="4"/>
    <x v="9"/>
    <n v="2026"/>
    <n v="111.52"/>
    <n v="0.11726603575184016"/>
  </r>
  <r>
    <n v="11736"/>
    <d v="2026-10-02T00:00:00"/>
    <x v="1"/>
    <x v="1"/>
    <s v="Tables"/>
    <x v="1"/>
    <n v="850.34"/>
    <n v="1"/>
    <x v="9"/>
    <n v="2026"/>
    <n v="201.52"/>
    <n v="0.23698755791800927"/>
  </r>
  <r>
    <n v="11737"/>
    <d v="2026-10-03T00:00:00"/>
    <x v="2"/>
    <x v="0"/>
    <s v="Chairs"/>
    <x v="1"/>
    <n v="736.25"/>
    <n v="7"/>
    <x v="9"/>
    <n v="2026"/>
    <n v="75.72"/>
    <n v="0.10284550084889643"/>
  </r>
  <r>
    <n v="11738"/>
    <d v="2026-10-04T00:00:00"/>
    <x v="0"/>
    <x v="0"/>
    <s v="Binders"/>
    <x v="0"/>
    <n v="124.09"/>
    <n v="2"/>
    <x v="9"/>
    <n v="2026"/>
    <n v="198.43"/>
    <n v="1.5990813119510032"/>
  </r>
  <r>
    <n v="11739"/>
    <d v="2026-10-05T00:00:00"/>
    <x v="0"/>
    <x v="0"/>
    <s v="Binders"/>
    <x v="2"/>
    <n v="150.82"/>
    <n v="2"/>
    <x v="9"/>
    <n v="2026"/>
    <n v="-18.079999999999998"/>
    <n v="-0.11987800026521681"/>
  </r>
  <r>
    <n v="11740"/>
    <d v="2026-10-06T00:00:00"/>
    <x v="0"/>
    <x v="1"/>
    <s v="Accessories"/>
    <x v="4"/>
    <n v="518.14"/>
    <n v="8"/>
    <x v="9"/>
    <n v="2026"/>
    <n v="48.43"/>
    <n v="9.3468946616744514E-2"/>
  </r>
  <r>
    <n v="11741"/>
    <d v="2026-10-07T00:00:00"/>
    <x v="1"/>
    <x v="2"/>
    <s v="Binders"/>
    <x v="0"/>
    <n v="202.68"/>
    <n v="5"/>
    <x v="9"/>
    <n v="2026"/>
    <n v="153.69"/>
    <n v="0.7582889283599763"/>
  </r>
  <r>
    <n v="11742"/>
    <d v="2026-10-08T00:00:00"/>
    <x v="3"/>
    <x v="2"/>
    <s v="Chairs"/>
    <x v="1"/>
    <n v="979.35"/>
    <n v="2"/>
    <x v="9"/>
    <n v="2026"/>
    <n v="-92.74"/>
    <n v="-9.4695461275335679E-2"/>
  </r>
  <r>
    <n v="11743"/>
    <d v="2026-10-09T00:00:00"/>
    <x v="3"/>
    <x v="0"/>
    <s v="Binders"/>
    <x v="3"/>
    <n v="200.59"/>
    <n v="5"/>
    <x v="9"/>
    <n v="2026"/>
    <n v="188.98"/>
    <n v="0.94212074380577293"/>
  </r>
  <r>
    <n v="11744"/>
    <d v="2026-10-10T00:00:00"/>
    <x v="0"/>
    <x v="0"/>
    <s v="Phones"/>
    <x v="2"/>
    <n v="513.09"/>
    <n v="8"/>
    <x v="9"/>
    <n v="2026"/>
    <n v="234.21"/>
    <n v="0.45646962521195111"/>
  </r>
  <r>
    <n v="11745"/>
    <d v="2026-10-11T00:00:00"/>
    <x v="3"/>
    <x v="0"/>
    <s v="Binders"/>
    <x v="3"/>
    <n v="395.92"/>
    <n v="6"/>
    <x v="9"/>
    <n v="2026"/>
    <n v="59.66"/>
    <n v="0.15068700747625782"/>
  </r>
  <r>
    <n v="11746"/>
    <d v="2026-10-12T00:00:00"/>
    <x v="3"/>
    <x v="0"/>
    <s v="Tables"/>
    <x v="0"/>
    <n v="657.42"/>
    <n v="3"/>
    <x v="9"/>
    <n v="2026"/>
    <n v="79.180000000000007"/>
    <n v="0.1204405098719236"/>
  </r>
  <r>
    <n v="11747"/>
    <d v="2026-10-13T00:00:00"/>
    <x v="1"/>
    <x v="1"/>
    <s v="Phones"/>
    <x v="1"/>
    <n v="172.58"/>
    <n v="8"/>
    <x v="9"/>
    <n v="2026"/>
    <n v="240.51"/>
    <n v="1.3936145555684318"/>
  </r>
  <r>
    <n v="11748"/>
    <d v="2026-10-14T00:00:00"/>
    <x v="2"/>
    <x v="2"/>
    <s v="Accessories"/>
    <x v="4"/>
    <n v="458.8"/>
    <n v="9"/>
    <x v="9"/>
    <n v="2026"/>
    <n v="210.26"/>
    <n v="0.45828247602441147"/>
  </r>
  <r>
    <n v="11749"/>
    <d v="2026-10-15T00:00:00"/>
    <x v="0"/>
    <x v="0"/>
    <s v="Tables"/>
    <x v="3"/>
    <n v="310.97000000000003"/>
    <n v="5"/>
    <x v="9"/>
    <n v="2026"/>
    <n v="15.26"/>
    <n v="4.9072257774061802E-2"/>
  </r>
  <r>
    <n v="11750"/>
    <d v="2026-10-16T00:00:00"/>
    <x v="0"/>
    <x v="1"/>
    <s v="Chairs"/>
    <x v="4"/>
    <n v="893.36"/>
    <n v="2"/>
    <x v="9"/>
    <n v="2026"/>
    <n v="29.59"/>
    <n v="3.31221456075938E-2"/>
  </r>
  <r>
    <n v="11751"/>
    <d v="2026-10-17T00:00:00"/>
    <x v="1"/>
    <x v="0"/>
    <s v="Chairs"/>
    <x v="1"/>
    <n v="88.56"/>
    <n v="2"/>
    <x v="9"/>
    <n v="2026"/>
    <n v="171.55"/>
    <n v="1.937104787714544"/>
  </r>
  <r>
    <n v="11752"/>
    <d v="2026-10-18T00:00:00"/>
    <x v="1"/>
    <x v="0"/>
    <s v="Chairs"/>
    <x v="3"/>
    <n v="918.04"/>
    <n v="7"/>
    <x v="9"/>
    <n v="2026"/>
    <n v="125.28"/>
    <n v="0.13646464206352665"/>
  </r>
  <r>
    <n v="11753"/>
    <d v="2026-10-19T00:00:00"/>
    <x v="3"/>
    <x v="2"/>
    <s v="Tables"/>
    <x v="4"/>
    <n v="841.34"/>
    <n v="1"/>
    <x v="9"/>
    <n v="2026"/>
    <n v="-35.11"/>
    <n v="-4.173104808995174E-2"/>
  </r>
  <r>
    <n v="11754"/>
    <d v="2026-10-20T00:00:00"/>
    <x v="0"/>
    <x v="0"/>
    <s v="Tables"/>
    <x v="4"/>
    <n v="332.69"/>
    <n v="2"/>
    <x v="9"/>
    <n v="2026"/>
    <n v="23.97"/>
    <n v="7.2049054675523763E-2"/>
  </r>
  <r>
    <n v="11755"/>
    <d v="2026-10-21T00:00:00"/>
    <x v="2"/>
    <x v="2"/>
    <s v="Tables"/>
    <x v="3"/>
    <n v="799.83"/>
    <n v="4"/>
    <x v="9"/>
    <n v="2026"/>
    <n v="259.99"/>
    <n v="0.32505657452208592"/>
  </r>
  <r>
    <n v="11756"/>
    <d v="2026-10-22T00:00:00"/>
    <x v="1"/>
    <x v="2"/>
    <s v="Phones"/>
    <x v="1"/>
    <n v="79.650000000000006"/>
    <n v="1"/>
    <x v="9"/>
    <n v="2026"/>
    <n v="175.27"/>
    <n v="2.2005021971123666"/>
  </r>
  <r>
    <n v="11757"/>
    <d v="2026-10-23T00:00:00"/>
    <x v="2"/>
    <x v="2"/>
    <s v="Phones"/>
    <x v="4"/>
    <n v="968.52"/>
    <n v="4"/>
    <x v="9"/>
    <n v="2026"/>
    <n v="294.39"/>
    <n v="0.30395861727171353"/>
  </r>
  <r>
    <n v="11758"/>
    <d v="2026-10-24T00:00:00"/>
    <x v="2"/>
    <x v="1"/>
    <s v="Chairs"/>
    <x v="0"/>
    <n v="550.27"/>
    <n v="5"/>
    <x v="9"/>
    <n v="2026"/>
    <n v="206.81"/>
    <n v="0.37583368164719139"/>
  </r>
  <r>
    <n v="11759"/>
    <d v="2026-10-25T00:00:00"/>
    <x v="0"/>
    <x v="1"/>
    <s v="Binders"/>
    <x v="3"/>
    <n v="338.12"/>
    <n v="9"/>
    <x v="9"/>
    <n v="2026"/>
    <n v="276.79000000000002"/>
    <n v="0.8186146930083994"/>
  </r>
  <r>
    <n v="11760"/>
    <d v="2026-10-26T00:00:00"/>
    <x v="0"/>
    <x v="2"/>
    <s v="Chairs"/>
    <x v="2"/>
    <n v="394.45"/>
    <n v="1"/>
    <x v="9"/>
    <n v="2026"/>
    <n v="-13.52"/>
    <n v="-3.4275573583470657E-2"/>
  </r>
  <r>
    <n v="11761"/>
    <d v="2026-10-27T00:00:00"/>
    <x v="1"/>
    <x v="0"/>
    <s v="Accessories"/>
    <x v="2"/>
    <n v="113.09"/>
    <n v="5"/>
    <x v="9"/>
    <n v="2026"/>
    <n v="208.59"/>
    <n v="1.8444601644707754"/>
  </r>
  <r>
    <n v="11762"/>
    <d v="2026-10-28T00:00:00"/>
    <x v="0"/>
    <x v="2"/>
    <s v="Phones"/>
    <x v="1"/>
    <n v="989.88"/>
    <n v="2"/>
    <x v="9"/>
    <n v="2026"/>
    <n v="-91.91"/>
    <n v="-9.2849638340000804E-2"/>
  </r>
  <r>
    <n v="11763"/>
    <d v="2026-10-29T00:00:00"/>
    <x v="0"/>
    <x v="0"/>
    <s v="Tables"/>
    <x v="0"/>
    <n v="87.33"/>
    <n v="9"/>
    <x v="9"/>
    <n v="2026"/>
    <n v="168.3"/>
    <n v="1.9271727928546893"/>
  </r>
  <r>
    <n v="11764"/>
    <d v="2026-10-30T00:00:00"/>
    <x v="0"/>
    <x v="2"/>
    <s v="Phones"/>
    <x v="4"/>
    <n v="672.16"/>
    <n v="6"/>
    <x v="9"/>
    <n v="2026"/>
    <n v="87.71"/>
    <n v="0.13048976434182338"/>
  </r>
  <r>
    <n v="11765"/>
    <d v="2026-10-31T00:00:00"/>
    <x v="2"/>
    <x v="0"/>
    <s v="Tables"/>
    <x v="2"/>
    <n v="470.6"/>
    <n v="2"/>
    <x v="9"/>
    <n v="2026"/>
    <n v="38.700000000000003"/>
    <n v="8.223544411389716E-2"/>
  </r>
  <r>
    <n v="11766"/>
    <d v="2026-11-01T00:00:00"/>
    <x v="1"/>
    <x v="1"/>
    <s v="Accessories"/>
    <x v="1"/>
    <n v="951.47"/>
    <n v="3"/>
    <x v="10"/>
    <n v="2026"/>
    <n v="244.96"/>
    <n v="0.2574542549949026"/>
  </r>
  <r>
    <n v="11767"/>
    <d v="2026-11-02T00:00:00"/>
    <x v="3"/>
    <x v="0"/>
    <s v="Accessories"/>
    <x v="0"/>
    <n v="283.7"/>
    <n v="8"/>
    <x v="10"/>
    <n v="2026"/>
    <n v="241.71"/>
    <n v="0.85199154035953473"/>
  </r>
  <r>
    <n v="11768"/>
    <d v="2026-11-03T00:00:00"/>
    <x v="2"/>
    <x v="2"/>
    <s v="Phones"/>
    <x v="0"/>
    <n v="555.48"/>
    <n v="1"/>
    <x v="10"/>
    <n v="2026"/>
    <n v="-91.08"/>
    <n v="-0.16396629941672067"/>
  </r>
  <r>
    <n v="11769"/>
    <d v="2026-11-04T00:00:00"/>
    <x v="0"/>
    <x v="1"/>
    <s v="Tables"/>
    <x v="1"/>
    <n v="508.24"/>
    <n v="3"/>
    <x v="10"/>
    <n v="2026"/>
    <n v="143.80000000000001"/>
    <n v="0.28293719502597198"/>
  </r>
  <r>
    <n v="11770"/>
    <d v="2026-11-05T00:00:00"/>
    <x v="2"/>
    <x v="0"/>
    <s v="Accessories"/>
    <x v="1"/>
    <n v="717.72"/>
    <n v="1"/>
    <x v="10"/>
    <n v="2026"/>
    <n v="47.13"/>
    <n v="6.5666276542384217E-2"/>
  </r>
  <r>
    <n v="11771"/>
    <d v="2026-11-06T00:00:00"/>
    <x v="0"/>
    <x v="0"/>
    <s v="Chairs"/>
    <x v="4"/>
    <n v="114.61"/>
    <n v="8"/>
    <x v="10"/>
    <n v="2026"/>
    <n v="66.260000000000005"/>
    <n v="0.57813454323357483"/>
  </r>
  <r>
    <n v="11772"/>
    <d v="2026-11-07T00:00:00"/>
    <x v="0"/>
    <x v="0"/>
    <s v="Chairs"/>
    <x v="1"/>
    <n v="234.1"/>
    <n v="1"/>
    <x v="10"/>
    <n v="2026"/>
    <n v="232.82"/>
    <n v="0.99453225117471167"/>
  </r>
  <r>
    <n v="11773"/>
    <d v="2026-11-08T00:00:00"/>
    <x v="2"/>
    <x v="0"/>
    <s v="Tables"/>
    <x v="4"/>
    <n v="253.84"/>
    <n v="5"/>
    <x v="10"/>
    <n v="2026"/>
    <n v="23.94"/>
    <n v="9.431137724550899E-2"/>
  </r>
  <r>
    <n v="11774"/>
    <d v="2026-11-09T00:00:00"/>
    <x v="1"/>
    <x v="0"/>
    <s v="Phones"/>
    <x v="4"/>
    <n v="751.24"/>
    <n v="4"/>
    <x v="10"/>
    <n v="2026"/>
    <n v="277.22000000000003"/>
    <n v="0.3690165592886428"/>
  </r>
  <r>
    <n v="11775"/>
    <d v="2026-11-10T00:00:00"/>
    <x v="0"/>
    <x v="1"/>
    <s v="Accessories"/>
    <x v="3"/>
    <n v="229.68"/>
    <n v="7"/>
    <x v="10"/>
    <n v="2026"/>
    <n v="-28.15"/>
    <n v="-0.12256182514803203"/>
  </r>
  <r>
    <n v="11776"/>
    <d v="2026-11-11T00:00:00"/>
    <x v="1"/>
    <x v="1"/>
    <s v="Phones"/>
    <x v="0"/>
    <n v="594.82000000000005"/>
    <n v="5"/>
    <x v="10"/>
    <n v="2026"/>
    <n v="165.09"/>
    <n v="0.27754614841464642"/>
  </r>
  <r>
    <n v="11777"/>
    <d v="2026-11-12T00:00:00"/>
    <x v="3"/>
    <x v="1"/>
    <s v="Chairs"/>
    <x v="0"/>
    <n v="254.48"/>
    <n v="8"/>
    <x v="10"/>
    <n v="2026"/>
    <n v="168.84"/>
    <n v="0.66347060672744429"/>
  </r>
  <r>
    <n v="11778"/>
    <d v="2026-11-13T00:00:00"/>
    <x v="0"/>
    <x v="1"/>
    <s v="Accessories"/>
    <x v="0"/>
    <n v="868.54"/>
    <n v="1"/>
    <x v="10"/>
    <n v="2026"/>
    <n v="0.88"/>
    <n v="1.0131945563819744E-3"/>
  </r>
  <r>
    <n v="11779"/>
    <d v="2026-11-14T00:00:00"/>
    <x v="1"/>
    <x v="2"/>
    <s v="Phones"/>
    <x v="3"/>
    <n v="945.08"/>
    <n v="5"/>
    <x v="10"/>
    <n v="2026"/>
    <n v="29.9"/>
    <n v="3.1637533330511697E-2"/>
  </r>
  <r>
    <n v="11780"/>
    <d v="2026-11-15T00:00:00"/>
    <x v="1"/>
    <x v="1"/>
    <s v="Binders"/>
    <x v="4"/>
    <n v="542.57000000000005"/>
    <n v="4"/>
    <x v="10"/>
    <n v="2026"/>
    <n v="233.92"/>
    <n v="0.43113330998765131"/>
  </r>
  <r>
    <n v="11781"/>
    <d v="2026-11-16T00:00:00"/>
    <x v="3"/>
    <x v="0"/>
    <s v="Tables"/>
    <x v="4"/>
    <n v="384.69"/>
    <n v="3"/>
    <x v="10"/>
    <n v="2026"/>
    <n v="204.72"/>
    <n v="0.53216875926070339"/>
  </r>
  <r>
    <n v="11782"/>
    <d v="2026-11-17T00:00:00"/>
    <x v="1"/>
    <x v="0"/>
    <s v="Tables"/>
    <x v="1"/>
    <n v="272.35000000000002"/>
    <n v="5"/>
    <x v="10"/>
    <n v="2026"/>
    <n v="31.64"/>
    <n v="0.11617404075637965"/>
  </r>
  <r>
    <n v="11783"/>
    <d v="2026-11-18T00:00:00"/>
    <x v="1"/>
    <x v="1"/>
    <s v="Binders"/>
    <x v="3"/>
    <n v="97.29"/>
    <n v="3"/>
    <x v="10"/>
    <n v="2026"/>
    <n v="113.58"/>
    <n v="1.1674375578168361"/>
  </r>
  <r>
    <n v="11784"/>
    <d v="2026-11-19T00:00:00"/>
    <x v="3"/>
    <x v="0"/>
    <s v="Chairs"/>
    <x v="1"/>
    <n v="305.08"/>
    <n v="8"/>
    <x v="10"/>
    <n v="2026"/>
    <n v="-75.33"/>
    <n v="-0.24691884095974828"/>
  </r>
  <r>
    <n v="11785"/>
    <d v="2026-11-20T00:00:00"/>
    <x v="0"/>
    <x v="1"/>
    <s v="Accessories"/>
    <x v="3"/>
    <n v="671.52"/>
    <n v="3"/>
    <x v="10"/>
    <n v="2026"/>
    <n v="-16.5"/>
    <n v="-2.4571122230164402E-2"/>
  </r>
  <r>
    <n v="11786"/>
    <d v="2026-11-21T00:00:00"/>
    <x v="1"/>
    <x v="0"/>
    <s v="Tables"/>
    <x v="1"/>
    <n v="556.94000000000005"/>
    <n v="1"/>
    <x v="10"/>
    <n v="2026"/>
    <n v="94.33"/>
    <n v="0.16937192516249505"/>
  </r>
  <r>
    <n v="11787"/>
    <d v="2026-11-22T00:00:00"/>
    <x v="1"/>
    <x v="2"/>
    <s v="Binders"/>
    <x v="2"/>
    <n v="946.84"/>
    <n v="9"/>
    <x v="10"/>
    <n v="2026"/>
    <n v="-65.61"/>
    <n v="-6.9293650458366773E-2"/>
  </r>
  <r>
    <n v="11788"/>
    <d v="2026-11-23T00:00:00"/>
    <x v="1"/>
    <x v="2"/>
    <s v="Binders"/>
    <x v="0"/>
    <n v="426.46"/>
    <n v="9"/>
    <x v="10"/>
    <n v="2026"/>
    <n v="237.33"/>
    <n v="0.55651174787787838"/>
  </r>
  <r>
    <n v="11789"/>
    <d v="2026-11-24T00:00:00"/>
    <x v="2"/>
    <x v="1"/>
    <s v="Chairs"/>
    <x v="0"/>
    <n v="709.17"/>
    <n v="6"/>
    <x v="10"/>
    <n v="2026"/>
    <n v="187.2"/>
    <n v="0.26397055713016626"/>
  </r>
  <r>
    <n v="11790"/>
    <d v="2026-11-25T00:00:00"/>
    <x v="3"/>
    <x v="1"/>
    <s v="Chairs"/>
    <x v="4"/>
    <n v="514.86"/>
    <n v="1"/>
    <x v="10"/>
    <n v="2026"/>
    <n v="277.45"/>
    <n v="0.53888435691255876"/>
  </r>
  <r>
    <n v="11791"/>
    <d v="2026-11-26T00:00:00"/>
    <x v="2"/>
    <x v="1"/>
    <s v="Phones"/>
    <x v="2"/>
    <n v="536.95000000000005"/>
    <n v="8"/>
    <x v="10"/>
    <n v="2026"/>
    <n v="177.39"/>
    <n v="0.33036595586181206"/>
  </r>
  <r>
    <n v="11792"/>
    <d v="2026-11-27T00:00:00"/>
    <x v="3"/>
    <x v="0"/>
    <s v="Tables"/>
    <x v="0"/>
    <n v="304.39"/>
    <n v="2"/>
    <x v="10"/>
    <n v="2026"/>
    <n v="276.16000000000003"/>
    <n v="0.90725713722527035"/>
  </r>
  <r>
    <n v="11793"/>
    <d v="2026-11-28T00:00:00"/>
    <x v="0"/>
    <x v="1"/>
    <s v="Phones"/>
    <x v="4"/>
    <n v="482.2"/>
    <n v="9"/>
    <x v="10"/>
    <n v="2026"/>
    <n v="121.81"/>
    <n v="0.25261302364164251"/>
  </r>
  <r>
    <n v="11794"/>
    <d v="2026-11-29T00:00:00"/>
    <x v="0"/>
    <x v="2"/>
    <s v="Binders"/>
    <x v="2"/>
    <n v="497.25"/>
    <n v="8"/>
    <x v="10"/>
    <n v="2026"/>
    <n v="140.09"/>
    <n v="0.28172951231774762"/>
  </r>
  <r>
    <n v="11795"/>
    <d v="2026-11-30T00:00:00"/>
    <x v="1"/>
    <x v="0"/>
    <s v="Accessories"/>
    <x v="0"/>
    <n v="721.31"/>
    <n v="3"/>
    <x v="10"/>
    <n v="2026"/>
    <n v="290.79000000000002"/>
    <n v="0.40314150642580865"/>
  </r>
  <r>
    <n v="11796"/>
    <d v="2026-12-01T00:00:00"/>
    <x v="3"/>
    <x v="1"/>
    <s v="Accessories"/>
    <x v="1"/>
    <n v="943.61"/>
    <n v="5"/>
    <x v="11"/>
    <n v="2026"/>
    <n v="156.85"/>
    <n v="0.1662233337925626"/>
  </r>
  <r>
    <n v="11797"/>
    <d v="2026-12-02T00:00:00"/>
    <x v="0"/>
    <x v="0"/>
    <s v="Chairs"/>
    <x v="3"/>
    <n v="362.86"/>
    <n v="9"/>
    <x v="11"/>
    <n v="2026"/>
    <n v="-87.69"/>
    <n v="-0.24166345146888607"/>
  </r>
  <r>
    <n v="11798"/>
    <d v="2026-12-03T00:00:00"/>
    <x v="3"/>
    <x v="0"/>
    <s v="Accessories"/>
    <x v="2"/>
    <n v="90.09"/>
    <n v="1"/>
    <x v="11"/>
    <n v="2026"/>
    <n v="189.52"/>
    <n v="2.1036741036741038"/>
  </r>
  <r>
    <n v="11799"/>
    <d v="2026-12-04T00:00:00"/>
    <x v="0"/>
    <x v="1"/>
    <s v="Accessories"/>
    <x v="4"/>
    <n v="521.48"/>
    <n v="9"/>
    <x v="11"/>
    <n v="2026"/>
    <n v="262.19"/>
    <n v="0.50278054767201041"/>
  </r>
  <r>
    <n v="11800"/>
    <d v="2026-12-05T00:00:00"/>
    <x v="2"/>
    <x v="0"/>
    <s v="Accessories"/>
    <x v="2"/>
    <n v="567.24"/>
    <n v="4"/>
    <x v="11"/>
    <n v="2026"/>
    <n v="218.23"/>
    <n v="0.38472251604259217"/>
  </r>
  <r>
    <n v="11801"/>
    <d v="2026-12-06T00:00:00"/>
    <x v="0"/>
    <x v="2"/>
    <s v="Binders"/>
    <x v="4"/>
    <n v="210.02"/>
    <n v="4"/>
    <x v="11"/>
    <n v="2026"/>
    <n v="133.53"/>
    <n v="0.63579659080087603"/>
  </r>
  <r>
    <n v="11802"/>
    <d v="2026-12-07T00:00:00"/>
    <x v="2"/>
    <x v="2"/>
    <s v="Accessories"/>
    <x v="2"/>
    <n v="772.44"/>
    <n v="4"/>
    <x v="11"/>
    <n v="2026"/>
    <n v="168.52"/>
    <n v="0.21816581223137071"/>
  </r>
  <r>
    <n v="11803"/>
    <d v="2026-12-08T00:00:00"/>
    <x v="0"/>
    <x v="0"/>
    <s v="Accessories"/>
    <x v="4"/>
    <n v="985.68"/>
    <n v="9"/>
    <x v="11"/>
    <n v="2026"/>
    <n v="296.08"/>
    <n v="0.30038146254362469"/>
  </r>
  <r>
    <n v="11804"/>
    <d v="2026-12-09T00:00:00"/>
    <x v="1"/>
    <x v="1"/>
    <s v="Accessories"/>
    <x v="0"/>
    <n v="948.49"/>
    <n v="6"/>
    <x v="11"/>
    <n v="2026"/>
    <n v="-63.74"/>
    <n v="-6.7201551940452728E-2"/>
  </r>
  <r>
    <n v="11805"/>
    <d v="2026-12-10T00:00:00"/>
    <x v="2"/>
    <x v="0"/>
    <s v="Phones"/>
    <x v="1"/>
    <n v="237.25"/>
    <n v="8"/>
    <x v="11"/>
    <n v="2026"/>
    <n v="166.9"/>
    <n v="0.70347734457323496"/>
  </r>
  <r>
    <n v="11806"/>
    <d v="2026-12-11T00:00:00"/>
    <x v="0"/>
    <x v="2"/>
    <s v="Binders"/>
    <x v="0"/>
    <n v="881.6"/>
    <n v="4"/>
    <x v="11"/>
    <n v="2026"/>
    <n v="13.36"/>
    <n v="1.5154264972776768E-2"/>
  </r>
  <r>
    <n v="11807"/>
    <d v="2026-12-12T00:00:00"/>
    <x v="1"/>
    <x v="0"/>
    <s v="Chairs"/>
    <x v="1"/>
    <n v="719.27"/>
    <n v="3"/>
    <x v="11"/>
    <n v="2026"/>
    <n v="156.04"/>
    <n v="0.21694217748550612"/>
  </r>
  <r>
    <n v="11808"/>
    <d v="2026-12-13T00:00:00"/>
    <x v="2"/>
    <x v="0"/>
    <s v="Phones"/>
    <x v="0"/>
    <n v="481.15"/>
    <n v="1"/>
    <x v="11"/>
    <n v="2026"/>
    <n v="143.05000000000001"/>
    <n v="0.29730853164293886"/>
  </r>
  <r>
    <n v="11809"/>
    <d v="2026-12-14T00:00:00"/>
    <x v="1"/>
    <x v="2"/>
    <s v="Tables"/>
    <x v="0"/>
    <n v="563.58000000000004"/>
    <n v="7"/>
    <x v="11"/>
    <n v="2026"/>
    <n v="-38.619999999999997"/>
    <n v="-6.8526207459455618E-2"/>
  </r>
  <r>
    <n v="11810"/>
    <d v="2026-12-15T00:00:00"/>
    <x v="3"/>
    <x v="0"/>
    <s v="Binders"/>
    <x v="2"/>
    <n v="857.12"/>
    <n v="4"/>
    <x v="11"/>
    <n v="2026"/>
    <n v="-17.3"/>
    <n v="-2.0183871569908533E-2"/>
  </r>
  <r>
    <n v="11811"/>
    <d v="2026-12-16T00:00:00"/>
    <x v="3"/>
    <x v="0"/>
    <s v="Binders"/>
    <x v="3"/>
    <n v="506.13"/>
    <n v="8"/>
    <x v="11"/>
    <n v="2026"/>
    <n v="148.65"/>
    <n v="0.29369924722897278"/>
  </r>
  <r>
    <n v="11812"/>
    <d v="2026-12-17T00:00:00"/>
    <x v="2"/>
    <x v="1"/>
    <s v="Tables"/>
    <x v="4"/>
    <n v="404.55"/>
    <n v="3"/>
    <x v="11"/>
    <n v="2026"/>
    <n v="-48.71"/>
    <n v="-0.12040538870349771"/>
  </r>
  <r>
    <n v="11813"/>
    <d v="2026-12-18T00:00:00"/>
    <x v="0"/>
    <x v="1"/>
    <s v="Tables"/>
    <x v="4"/>
    <n v="518.59"/>
    <n v="1"/>
    <x v="11"/>
    <n v="2026"/>
    <n v="6.07"/>
    <n v="1.1704814979077884E-2"/>
  </r>
  <r>
    <n v="11814"/>
    <d v="2026-12-19T00:00:00"/>
    <x v="2"/>
    <x v="2"/>
    <s v="Tables"/>
    <x v="4"/>
    <n v="600.16999999999996"/>
    <n v="5"/>
    <x v="11"/>
    <n v="2026"/>
    <n v="234.1"/>
    <n v="0.39005615075728545"/>
  </r>
  <r>
    <n v="11815"/>
    <d v="2026-12-20T00:00:00"/>
    <x v="1"/>
    <x v="2"/>
    <s v="Chairs"/>
    <x v="1"/>
    <n v="229.62"/>
    <n v="2"/>
    <x v="11"/>
    <n v="2026"/>
    <n v="30.84"/>
    <n v="0.13430885811340476"/>
  </r>
  <r>
    <n v="11816"/>
    <d v="2026-12-21T00:00:00"/>
    <x v="0"/>
    <x v="2"/>
    <s v="Accessories"/>
    <x v="4"/>
    <n v="905.86"/>
    <n v="3"/>
    <x v="11"/>
    <n v="2026"/>
    <n v="95.22"/>
    <n v="0.10511558077407104"/>
  </r>
  <r>
    <n v="11817"/>
    <d v="2026-12-22T00:00:00"/>
    <x v="3"/>
    <x v="1"/>
    <s v="Binders"/>
    <x v="4"/>
    <n v="690.48"/>
    <n v="6"/>
    <x v="11"/>
    <n v="2026"/>
    <n v="276.45999999999998"/>
    <n v="0.40038813578959559"/>
  </r>
  <r>
    <n v="11818"/>
    <d v="2026-12-23T00:00:00"/>
    <x v="0"/>
    <x v="2"/>
    <s v="Accessories"/>
    <x v="2"/>
    <n v="651.61"/>
    <n v="3"/>
    <x v="11"/>
    <n v="2026"/>
    <n v="-9.14"/>
    <n v="-1.4026795168889368E-2"/>
  </r>
  <r>
    <n v="11819"/>
    <d v="2026-12-24T00:00:00"/>
    <x v="3"/>
    <x v="2"/>
    <s v="Accessories"/>
    <x v="0"/>
    <n v="144.52000000000001"/>
    <n v="3"/>
    <x v="11"/>
    <n v="2026"/>
    <n v="55.85"/>
    <n v="0.38645170218654856"/>
  </r>
  <r>
    <n v="11820"/>
    <d v="2026-12-25T00:00:00"/>
    <x v="0"/>
    <x v="2"/>
    <s v="Tables"/>
    <x v="4"/>
    <n v="623.97"/>
    <n v="6"/>
    <x v="11"/>
    <n v="2026"/>
    <n v="142.58000000000001"/>
    <n v="0.22850457554049075"/>
  </r>
  <r>
    <n v="11821"/>
    <d v="2026-12-26T00:00:00"/>
    <x v="0"/>
    <x v="1"/>
    <s v="Chairs"/>
    <x v="3"/>
    <n v="164.91"/>
    <n v="5"/>
    <x v="11"/>
    <n v="2026"/>
    <n v="202.14"/>
    <n v="1.2257595051846462"/>
  </r>
  <r>
    <n v="11822"/>
    <d v="2026-12-27T00:00:00"/>
    <x v="0"/>
    <x v="0"/>
    <s v="Phones"/>
    <x v="4"/>
    <n v="124.76"/>
    <n v="9"/>
    <x v="11"/>
    <n v="2026"/>
    <n v="260.66000000000003"/>
    <n v="2.0892914395639628"/>
  </r>
  <r>
    <n v="11823"/>
    <d v="2026-12-28T00:00:00"/>
    <x v="1"/>
    <x v="2"/>
    <s v="Chairs"/>
    <x v="1"/>
    <n v="550.95000000000005"/>
    <n v="1"/>
    <x v="11"/>
    <n v="2026"/>
    <n v="266.19"/>
    <n v="0.48314729104274429"/>
  </r>
  <r>
    <n v="11824"/>
    <d v="2026-12-29T00:00:00"/>
    <x v="1"/>
    <x v="0"/>
    <s v="Accessories"/>
    <x v="1"/>
    <n v="432.65"/>
    <n v="3"/>
    <x v="11"/>
    <n v="2026"/>
    <n v="210.66"/>
    <n v="0.48690627528024966"/>
  </r>
  <r>
    <n v="11825"/>
    <d v="2026-12-30T00:00:00"/>
    <x v="2"/>
    <x v="2"/>
    <s v="Chairs"/>
    <x v="1"/>
    <n v="609.37"/>
    <n v="3"/>
    <x v="11"/>
    <n v="2026"/>
    <n v="-8.67"/>
    <n v="-1.422780904868963E-2"/>
  </r>
  <r>
    <n v="11826"/>
    <d v="2026-12-31T00:00:00"/>
    <x v="2"/>
    <x v="0"/>
    <s v="Tables"/>
    <x v="4"/>
    <n v="134.76"/>
    <n v="6"/>
    <x v="11"/>
    <n v="2026"/>
    <n v="-90.08"/>
    <n v="-0.6684476105669338"/>
  </r>
  <r>
    <n v="11827"/>
    <d v="2027-01-01T00:00:00"/>
    <x v="3"/>
    <x v="1"/>
    <s v="Phones"/>
    <x v="2"/>
    <n v="459.43"/>
    <n v="8"/>
    <x v="0"/>
    <n v="2027"/>
    <n v="53.51"/>
    <n v="0.11647040898504668"/>
  </r>
  <r>
    <n v="11828"/>
    <d v="2027-01-02T00:00:00"/>
    <x v="1"/>
    <x v="1"/>
    <s v="Tables"/>
    <x v="3"/>
    <n v="216.05"/>
    <n v="3"/>
    <x v="0"/>
    <n v="2027"/>
    <n v="-43.38"/>
    <n v="-0.2007868548947003"/>
  </r>
  <r>
    <n v="11829"/>
    <d v="2027-01-03T00:00:00"/>
    <x v="3"/>
    <x v="2"/>
    <s v="Phones"/>
    <x v="4"/>
    <n v="987.75"/>
    <n v="3"/>
    <x v="0"/>
    <n v="2027"/>
    <n v="184.16"/>
    <n v="0.18644393824348265"/>
  </r>
  <r>
    <n v="11830"/>
    <d v="2027-01-04T00:00:00"/>
    <x v="2"/>
    <x v="0"/>
    <s v="Accessories"/>
    <x v="2"/>
    <n v="583.09"/>
    <n v="6"/>
    <x v="0"/>
    <n v="2027"/>
    <n v="164.45"/>
    <n v="0.2820319333207566"/>
  </r>
  <r>
    <n v="11831"/>
    <d v="2027-01-05T00:00:00"/>
    <x v="3"/>
    <x v="1"/>
    <s v="Phones"/>
    <x v="2"/>
    <n v="703.07"/>
    <n v="8"/>
    <x v="0"/>
    <n v="2027"/>
    <n v="-82.41"/>
    <n v="-0.11721450211216521"/>
  </r>
  <r>
    <n v="11832"/>
    <d v="2027-01-06T00:00:00"/>
    <x v="2"/>
    <x v="2"/>
    <s v="Phones"/>
    <x v="4"/>
    <n v="359.15"/>
    <n v="6"/>
    <x v="0"/>
    <n v="2027"/>
    <n v="234.64"/>
    <n v="0.65332033969093695"/>
  </r>
  <r>
    <n v="11833"/>
    <d v="2027-01-07T00:00:00"/>
    <x v="1"/>
    <x v="2"/>
    <s v="Phones"/>
    <x v="4"/>
    <n v="140"/>
    <n v="3"/>
    <x v="0"/>
    <n v="2027"/>
    <n v="-0.5"/>
    <n v="-3.5714285714285713E-3"/>
  </r>
  <r>
    <n v="11834"/>
    <d v="2027-01-08T00:00:00"/>
    <x v="0"/>
    <x v="1"/>
    <s v="Chairs"/>
    <x v="2"/>
    <n v="977.08"/>
    <n v="4"/>
    <x v="0"/>
    <n v="2027"/>
    <n v="72.89"/>
    <n v="7.4599828059114914E-2"/>
  </r>
  <r>
    <n v="11835"/>
    <d v="2027-01-09T00:00:00"/>
    <x v="1"/>
    <x v="1"/>
    <s v="Chairs"/>
    <x v="2"/>
    <n v="321.95"/>
    <n v="1"/>
    <x v="0"/>
    <n v="2027"/>
    <n v="167.17"/>
    <n v="0.51924211834135736"/>
  </r>
  <r>
    <n v="11836"/>
    <d v="2027-01-10T00:00:00"/>
    <x v="3"/>
    <x v="2"/>
    <s v="Accessories"/>
    <x v="2"/>
    <n v="452.62"/>
    <n v="8"/>
    <x v="0"/>
    <n v="2027"/>
    <n v="71.77"/>
    <n v="0.15856568423843401"/>
  </r>
  <r>
    <n v="11837"/>
    <d v="2027-01-11T00:00:00"/>
    <x v="3"/>
    <x v="0"/>
    <s v="Phones"/>
    <x v="4"/>
    <n v="667.37"/>
    <n v="4"/>
    <x v="0"/>
    <n v="2027"/>
    <n v="76.52"/>
    <n v="0.1146590347183721"/>
  </r>
  <r>
    <n v="11838"/>
    <d v="2027-01-12T00:00:00"/>
    <x v="1"/>
    <x v="0"/>
    <s v="Binders"/>
    <x v="2"/>
    <n v="73.459999999999994"/>
    <n v="6"/>
    <x v="0"/>
    <n v="2027"/>
    <n v="-73.75"/>
    <n v="-1.0039477266539614"/>
  </r>
  <r>
    <n v="11839"/>
    <d v="2027-01-13T00:00:00"/>
    <x v="1"/>
    <x v="0"/>
    <s v="Accessories"/>
    <x v="1"/>
    <n v="819.75"/>
    <n v="3"/>
    <x v="0"/>
    <n v="2027"/>
    <n v="60.58"/>
    <n v="7.3900579444952721E-2"/>
  </r>
  <r>
    <n v="11840"/>
    <d v="2027-01-14T00:00:00"/>
    <x v="2"/>
    <x v="2"/>
    <s v="Phones"/>
    <x v="4"/>
    <n v="559.75"/>
    <n v="6"/>
    <x v="0"/>
    <n v="2027"/>
    <n v="205.94"/>
    <n v="0.36791424743188922"/>
  </r>
  <r>
    <n v="11841"/>
    <d v="2027-01-15T00:00:00"/>
    <x v="3"/>
    <x v="1"/>
    <s v="Phones"/>
    <x v="1"/>
    <n v="314.31"/>
    <n v="9"/>
    <x v="0"/>
    <n v="2027"/>
    <n v="266.07"/>
    <n v="0.84652095065381305"/>
  </r>
  <r>
    <n v="11842"/>
    <d v="2027-01-16T00:00:00"/>
    <x v="3"/>
    <x v="2"/>
    <s v="Chairs"/>
    <x v="0"/>
    <n v="108.53"/>
    <n v="9"/>
    <x v="0"/>
    <n v="2027"/>
    <n v="65.400000000000006"/>
    <n v="0.60259835990048838"/>
  </r>
  <r>
    <n v="11843"/>
    <d v="2027-01-17T00:00:00"/>
    <x v="1"/>
    <x v="1"/>
    <s v="Accessories"/>
    <x v="4"/>
    <n v="204.37"/>
    <n v="3"/>
    <x v="0"/>
    <n v="2027"/>
    <n v="69.430000000000007"/>
    <n v="0.33972696579732842"/>
  </r>
  <r>
    <n v="11844"/>
    <d v="2027-01-18T00:00:00"/>
    <x v="0"/>
    <x v="0"/>
    <s v="Phones"/>
    <x v="0"/>
    <n v="900.28"/>
    <n v="3"/>
    <x v="0"/>
    <n v="2027"/>
    <n v="181.05"/>
    <n v="0.20110410094637227"/>
  </r>
  <r>
    <n v="11845"/>
    <d v="2027-01-19T00:00:00"/>
    <x v="3"/>
    <x v="0"/>
    <s v="Phones"/>
    <x v="2"/>
    <n v="701.72"/>
    <n v="4"/>
    <x v="0"/>
    <n v="2027"/>
    <n v="277.11"/>
    <n v="0.39490110015390756"/>
  </r>
  <r>
    <n v="11846"/>
    <d v="2027-01-20T00:00:00"/>
    <x v="0"/>
    <x v="1"/>
    <s v="Accessories"/>
    <x v="2"/>
    <n v="287.41000000000003"/>
    <n v="7"/>
    <x v="0"/>
    <n v="2027"/>
    <n v="6.82"/>
    <n v="2.3729167391531261E-2"/>
  </r>
  <r>
    <n v="11847"/>
    <d v="2027-01-21T00:00:00"/>
    <x v="1"/>
    <x v="1"/>
    <s v="Binders"/>
    <x v="3"/>
    <n v="112.32"/>
    <n v="3"/>
    <x v="0"/>
    <n v="2027"/>
    <n v="76.06"/>
    <n v="0.67717236467236475"/>
  </r>
  <r>
    <n v="11848"/>
    <d v="2027-01-22T00:00:00"/>
    <x v="1"/>
    <x v="2"/>
    <s v="Accessories"/>
    <x v="2"/>
    <n v="706.08"/>
    <n v="8"/>
    <x v="0"/>
    <n v="2027"/>
    <n v="218.39"/>
    <n v="0.30929922954905958"/>
  </r>
  <r>
    <n v="11849"/>
    <d v="2027-01-23T00:00:00"/>
    <x v="2"/>
    <x v="0"/>
    <s v="Accessories"/>
    <x v="0"/>
    <n v="593.79"/>
    <n v="8"/>
    <x v="0"/>
    <n v="2027"/>
    <n v="143.88"/>
    <n v="0.24230788662658517"/>
  </r>
  <r>
    <n v="11850"/>
    <d v="2027-01-24T00:00:00"/>
    <x v="3"/>
    <x v="2"/>
    <s v="Binders"/>
    <x v="2"/>
    <n v="434.29"/>
    <n v="6"/>
    <x v="0"/>
    <n v="2027"/>
    <n v="-55.77"/>
    <n v="-0.12841649588984319"/>
  </r>
  <r>
    <n v="11851"/>
    <d v="2027-01-25T00:00:00"/>
    <x v="0"/>
    <x v="2"/>
    <s v="Accessories"/>
    <x v="4"/>
    <n v="395.43"/>
    <n v="4"/>
    <x v="0"/>
    <n v="2027"/>
    <n v="151.09"/>
    <n v="0.38209038262145006"/>
  </r>
  <r>
    <n v="11852"/>
    <d v="2027-01-26T00:00:00"/>
    <x v="2"/>
    <x v="2"/>
    <s v="Phones"/>
    <x v="2"/>
    <n v="255.97"/>
    <n v="5"/>
    <x v="0"/>
    <n v="2027"/>
    <n v="-25.3"/>
    <n v="-9.8839707778255265E-2"/>
  </r>
  <r>
    <n v="11853"/>
    <d v="2027-01-27T00:00:00"/>
    <x v="3"/>
    <x v="0"/>
    <s v="Accessories"/>
    <x v="3"/>
    <n v="686.13"/>
    <n v="2"/>
    <x v="0"/>
    <n v="2027"/>
    <n v="104.09"/>
    <n v="0.15170594493754827"/>
  </r>
  <r>
    <n v="11854"/>
    <d v="2027-01-28T00:00:00"/>
    <x v="2"/>
    <x v="2"/>
    <s v="Binders"/>
    <x v="2"/>
    <n v="972.13"/>
    <n v="6"/>
    <x v="0"/>
    <n v="2027"/>
    <n v="111.64"/>
    <n v="0.11484060773764826"/>
  </r>
  <r>
    <n v="11855"/>
    <d v="2027-01-29T00:00:00"/>
    <x v="1"/>
    <x v="2"/>
    <s v="Tables"/>
    <x v="0"/>
    <n v="216.93"/>
    <n v="3"/>
    <x v="0"/>
    <n v="2027"/>
    <n v="250.48"/>
    <n v="1.1546581846678652"/>
  </r>
  <r>
    <n v="11856"/>
    <d v="2027-01-30T00:00:00"/>
    <x v="3"/>
    <x v="2"/>
    <s v="Accessories"/>
    <x v="0"/>
    <n v="617.26"/>
    <n v="6"/>
    <x v="0"/>
    <n v="2027"/>
    <n v="85"/>
    <n v="0.13770534296730713"/>
  </r>
  <r>
    <n v="11857"/>
    <d v="2027-01-31T00:00:00"/>
    <x v="2"/>
    <x v="2"/>
    <s v="Chairs"/>
    <x v="2"/>
    <n v="452.98"/>
    <n v="5"/>
    <x v="0"/>
    <n v="2027"/>
    <n v="11.78"/>
    <n v="2.6005563159521388E-2"/>
  </r>
  <r>
    <n v="11858"/>
    <d v="2027-02-01T00:00:00"/>
    <x v="2"/>
    <x v="2"/>
    <s v="Phones"/>
    <x v="0"/>
    <n v="474.35"/>
    <n v="2"/>
    <x v="1"/>
    <n v="2027"/>
    <n v="-7.61"/>
    <n v="-1.6043006219036576E-2"/>
  </r>
  <r>
    <n v="11859"/>
    <d v="2027-02-02T00:00:00"/>
    <x v="0"/>
    <x v="2"/>
    <s v="Phones"/>
    <x v="0"/>
    <n v="291.44"/>
    <n v="5"/>
    <x v="1"/>
    <n v="2027"/>
    <n v="249.7"/>
    <n v="0.85678012626955802"/>
  </r>
  <r>
    <n v="11860"/>
    <d v="2027-02-03T00:00:00"/>
    <x v="2"/>
    <x v="0"/>
    <s v="Chairs"/>
    <x v="3"/>
    <n v="833.88"/>
    <n v="5"/>
    <x v="1"/>
    <n v="2027"/>
    <n v="-31.6"/>
    <n v="-3.7895140787643306E-2"/>
  </r>
  <r>
    <n v="11861"/>
    <d v="2027-02-04T00:00:00"/>
    <x v="3"/>
    <x v="2"/>
    <s v="Chairs"/>
    <x v="4"/>
    <n v="510.99"/>
    <n v="9"/>
    <x v="1"/>
    <n v="2027"/>
    <n v="70.349999999999994"/>
    <n v="0.13767392708272178"/>
  </r>
  <r>
    <n v="11862"/>
    <d v="2027-02-05T00:00:00"/>
    <x v="3"/>
    <x v="1"/>
    <s v="Accessories"/>
    <x v="3"/>
    <n v="566.24"/>
    <n v="8"/>
    <x v="1"/>
    <n v="2027"/>
    <n v="-25.13"/>
    <n v="-4.4380474710370162E-2"/>
  </r>
  <r>
    <n v="11863"/>
    <d v="2027-02-06T00:00:00"/>
    <x v="0"/>
    <x v="2"/>
    <s v="Chairs"/>
    <x v="1"/>
    <n v="339.52"/>
    <n v="7"/>
    <x v="1"/>
    <n v="2027"/>
    <n v="209.32"/>
    <n v="0.61651743638077283"/>
  </r>
  <r>
    <n v="11864"/>
    <d v="2027-02-07T00:00:00"/>
    <x v="3"/>
    <x v="2"/>
    <s v="Tables"/>
    <x v="3"/>
    <n v="222.72"/>
    <n v="3"/>
    <x v="1"/>
    <n v="2027"/>
    <n v="89.75"/>
    <n v="0.40297234195402298"/>
  </r>
  <r>
    <n v="11865"/>
    <d v="2027-02-08T00:00:00"/>
    <x v="1"/>
    <x v="0"/>
    <s v="Binders"/>
    <x v="2"/>
    <n v="131.61000000000001"/>
    <n v="4"/>
    <x v="1"/>
    <n v="2027"/>
    <n v="40.46"/>
    <n v="0.30742344806625632"/>
  </r>
  <r>
    <n v="11866"/>
    <d v="2027-02-09T00:00:00"/>
    <x v="3"/>
    <x v="0"/>
    <s v="Chairs"/>
    <x v="4"/>
    <n v="728.41"/>
    <n v="6"/>
    <x v="1"/>
    <n v="2027"/>
    <n v="44.44"/>
    <n v="6.1009596243873643E-2"/>
  </r>
  <r>
    <n v="11867"/>
    <d v="2027-02-10T00:00:00"/>
    <x v="3"/>
    <x v="1"/>
    <s v="Chairs"/>
    <x v="2"/>
    <n v="236.42"/>
    <n v="3"/>
    <x v="1"/>
    <n v="2027"/>
    <n v="240.89"/>
    <n v="1.0189070298621099"/>
  </r>
  <r>
    <n v="11868"/>
    <d v="2027-02-11T00:00:00"/>
    <x v="2"/>
    <x v="1"/>
    <s v="Tables"/>
    <x v="1"/>
    <n v="705.57"/>
    <n v="9"/>
    <x v="1"/>
    <n v="2027"/>
    <n v="121.51"/>
    <n v="0.17221537196876283"/>
  </r>
  <r>
    <n v="11869"/>
    <d v="2027-02-12T00:00:00"/>
    <x v="2"/>
    <x v="0"/>
    <s v="Phones"/>
    <x v="4"/>
    <n v="420.86"/>
    <n v="8"/>
    <x v="1"/>
    <n v="2027"/>
    <n v="187.15"/>
    <n v="0.44468469324716059"/>
  </r>
  <r>
    <n v="11870"/>
    <d v="2027-02-13T00:00:00"/>
    <x v="3"/>
    <x v="0"/>
    <s v="Phones"/>
    <x v="0"/>
    <n v="444.99"/>
    <n v="6"/>
    <x v="1"/>
    <n v="2027"/>
    <n v="258.82"/>
    <n v="0.58163104788871656"/>
  </r>
  <r>
    <n v="11871"/>
    <d v="2027-02-14T00:00:00"/>
    <x v="0"/>
    <x v="2"/>
    <s v="Accessories"/>
    <x v="3"/>
    <n v="495.72"/>
    <n v="4"/>
    <x v="1"/>
    <n v="2027"/>
    <n v="260.7"/>
    <n v="0.52590171871217617"/>
  </r>
  <r>
    <n v="11872"/>
    <d v="2027-02-15T00:00:00"/>
    <x v="2"/>
    <x v="0"/>
    <s v="Tables"/>
    <x v="2"/>
    <n v="399.32"/>
    <n v="7"/>
    <x v="1"/>
    <n v="2027"/>
    <n v="31.4"/>
    <n v="7.863367725132725E-2"/>
  </r>
  <r>
    <n v="11873"/>
    <d v="2027-02-16T00:00:00"/>
    <x v="0"/>
    <x v="1"/>
    <s v="Binders"/>
    <x v="1"/>
    <n v="145.59"/>
    <n v="3"/>
    <x v="1"/>
    <n v="2027"/>
    <n v="280.98"/>
    <n v="1.9299402431485679"/>
  </r>
  <r>
    <n v="11874"/>
    <d v="2027-02-17T00:00:00"/>
    <x v="3"/>
    <x v="2"/>
    <s v="Binders"/>
    <x v="0"/>
    <n v="344.15"/>
    <n v="8"/>
    <x v="1"/>
    <n v="2027"/>
    <n v="-90.05"/>
    <n v="-0.26165916024989105"/>
  </r>
  <r>
    <n v="11875"/>
    <d v="2027-02-18T00:00:00"/>
    <x v="3"/>
    <x v="1"/>
    <s v="Tables"/>
    <x v="3"/>
    <n v="680.55"/>
    <n v="1"/>
    <x v="1"/>
    <n v="2027"/>
    <n v="50.73"/>
    <n v="7.4542649327749622E-2"/>
  </r>
  <r>
    <n v="11876"/>
    <d v="2027-02-19T00:00:00"/>
    <x v="1"/>
    <x v="2"/>
    <s v="Binders"/>
    <x v="0"/>
    <n v="682.5"/>
    <n v="3"/>
    <x v="1"/>
    <n v="2027"/>
    <n v="258.32"/>
    <n v="0.37849084249084247"/>
  </r>
  <r>
    <n v="11877"/>
    <d v="2027-02-20T00:00:00"/>
    <x v="2"/>
    <x v="0"/>
    <s v="Phones"/>
    <x v="3"/>
    <n v="321.91000000000003"/>
    <n v="5"/>
    <x v="1"/>
    <n v="2027"/>
    <n v="9.85"/>
    <n v="3.0598614519586217E-2"/>
  </r>
  <r>
    <n v="11878"/>
    <d v="2027-02-21T00:00:00"/>
    <x v="3"/>
    <x v="1"/>
    <s v="Binders"/>
    <x v="4"/>
    <n v="487.1"/>
    <n v="5"/>
    <x v="1"/>
    <n v="2027"/>
    <n v="9.23"/>
    <n v="1.8948881133237529E-2"/>
  </r>
  <r>
    <n v="11879"/>
    <d v="2027-02-22T00:00:00"/>
    <x v="1"/>
    <x v="2"/>
    <s v="Binders"/>
    <x v="0"/>
    <n v="233.77"/>
    <n v="2"/>
    <x v="1"/>
    <n v="2027"/>
    <n v="21.05"/>
    <n v="9.0045771484792744E-2"/>
  </r>
  <r>
    <n v="11880"/>
    <d v="2027-02-23T00:00:00"/>
    <x v="2"/>
    <x v="2"/>
    <s v="Tables"/>
    <x v="0"/>
    <n v="249.85"/>
    <n v="8"/>
    <x v="1"/>
    <n v="2027"/>
    <n v="144.93"/>
    <n v="0.5800680408244947"/>
  </r>
  <r>
    <n v="11881"/>
    <d v="2027-02-24T00:00:00"/>
    <x v="3"/>
    <x v="0"/>
    <s v="Tables"/>
    <x v="0"/>
    <n v="71.89"/>
    <n v="5"/>
    <x v="1"/>
    <n v="2027"/>
    <n v="75.33"/>
    <n v="1.0478508832939213"/>
  </r>
  <r>
    <n v="11882"/>
    <d v="2027-02-25T00:00:00"/>
    <x v="3"/>
    <x v="0"/>
    <s v="Binders"/>
    <x v="4"/>
    <n v="901.91"/>
    <n v="7"/>
    <x v="1"/>
    <n v="2027"/>
    <n v="190.69"/>
    <n v="0.21142907828940805"/>
  </r>
  <r>
    <n v="11883"/>
    <d v="2027-02-26T00:00:00"/>
    <x v="2"/>
    <x v="0"/>
    <s v="Chairs"/>
    <x v="1"/>
    <n v="250.17"/>
    <n v="7"/>
    <x v="1"/>
    <n v="2027"/>
    <n v="257.95999999999998"/>
    <n v="1.0311388255985929"/>
  </r>
  <r>
    <n v="11884"/>
    <d v="2027-02-27T00:00:00"/>
    <x v="2"/>
    <x v="1"/>
    <s v="Tables"/>
    <x v="3"/>
    <n v="266.16000000000003"/>
    <n v="5"/>
    <x v="1"/>
    <n v="2027"/>
    <n v="169.68"/>
    <n v="0.63751127141568975"/>
  </r>
  <r>
    <n v="11885"/>
    <d v="2027-02-28T00:00:00"/>
    <x v="2"/>
    <x v="2"/>
    <s v="Accessories"/>
    <x v="0"/>
    <n v="315.62"/>
    <n v="8"/>
    <x v="1"/>
    <n v="2027"/>
    <n v="-18.21"/>
    <n v="-5.7695963500411888E-2"/>
  </r>
  <r>
    <n v="11886"/>
    <d v="2027-03-01T00:00:00"/>
    <x v="3"/>
    <x v="0"/>
    <s v="Accessories"/>
    <x v="4"/>
    <n v="171.04"/>
    <n v="9"/>
    <x v="2"/>
    <n v="2027"/>
    <n v="273.07"/>
    <n v="1.5965271281571563"/>
  </r>
  <r>
    <n v="11887"/>
    <d v="2027-03-02T00:00:00"/>
    <x v="3"/>
    <x v="1"/>
    <s v="Phones"/>
    <x v="1"/>
    <n v="657.3"/>
    <n v="4"/>
    <x v="2"/>
    <n v="2027"/>
    <n v="5.8"/>
    <n v="8.8239768750950857E-3"/>
  </r>
  <r>
    <n v="11888"/>
    <d v="2027-03-03T00:00:00"/>
    <x v="1"/>
    <x v="1"/>
    <s v="Binders"/>
    <x v="3"/>
    <n v="121.39"/>
    <n v="4"/>
    <x v="2"/>
    <n v="2027"/>
    <n v="-40.04"/>
    <n v="-0.32984595106680947"/>
  </r>
  <r>
    <n v="11889"/>
    <d v="2027-03-04T00:00:00"/>
    <x v="0"/>
    <x v="1"/>
    <s v="Chairs"/>
    <x v="4"/>
    <n v="177.49"/>
    <n v="8"/>
    <x v="2"/>
    <n v="2027"/>
    <n v="-64.010000000000005"/>
    <n v="-0.36064003605836947"/>
  </r>
  <r>
    <n v="11890"/>
    <d v="2027-03-05T00:00:00"/>
    <x v="2"/>
    <x v="0"/>
    <s v="Phones"/>
    <x v="3"/>
    <n v="662.52"/>
    <n v="1"/>
    <x v="2"/>
    <n v="2027"/>
    <n v="125.35"/>
    <n v="0.18920183541628932"/>
  </r>
  <r>
    <n v="11891"/>
    <d v="2027-03-06T00:00:00"/>
    <x v="3"/>
    <x v="0"/>
    <s v="Binders"/>
    <x v="0"/>
    <n v="372.68"/>
    <n v="4"/>
    <x v="2"/>
    <n v="2027"/>
    <n v="-54.5"/>
    <n v="-0.14623805946119994"/>
  </r>
  <r>
    <n v="11892"/>
    <d v="2027-03-07T00:00:00"/>
    <x v="3"/>
    <x v="2"/>
    <s v="Tables"/>
    <x v="1"/>
    <n v="722.55"/>
    <n v="6"/>
    <x v="2"/>
    <n v="2027"/>
    <n v="-44.49"/>
    <n v="-6.1573593522939597E-2"/>
  </r>
  <r>
    <n v="11893"/>
    <d v="2027-03-08T00:00:00"/>
    <x v="2"/>
    <x v="2"/>
    <s v="Accessories"/>
    <x v="4"/>
    <n v="579.54999999999995"/>
    <n v="4"/>
    <x v="2"/>
    <n v="2027"/>
    <n v="20.010000000000002"/>
    <n v="3.4526788025191962E-2"/>
  </r>
  <r>
    <n v="11894"/>
    <d v="2027-03-09T00:00:00"/>
    <x v="0"/>
    <x v="0"/>
    <s v="Chairs"/>
    <x v="1"/>
    <n v="293.22000000000003"/>
    <n v="6"/>
    <x v="2"/>
    <n v="2027"/>
    <n v="12.66"/>
    <n v="4.3175772457540409E-2"/>
  </r>
  <r>
    <n v="11895"/>
    <d v="2027-03-10T00:00:00"/>
    <x v="2"/>
    <x v="1"/>
    <s v="Accessories"/>
    <x v="0"/>
    <n v="668.29"/>
    <n v="5"/>
    <x v="2"/>
    <n v="2027"/>
    <n v="141.69999999999999"/>
    <n v="0.2120336979455027"/>
  </r>
  <r>
    <n v="11896"/>
    <d v="2027-03-11T00:00:00"/>
    <x v="0"/>
    <x v="1"/>
    <s v="Tables"/>
    <x v="1"/>
    <n v="160.46"/>
    <n v="9"/>
    <x v="2"/>
    <n v="2027"/>
    <n v="226.7"/>
    <n v="1.4128131621587934"/>
  </r>
  <r>
    <n v="11897"/>
    <d v="2027-03-12T00:00:00"/>
    <x v="3"/>
    <x v="1"/>
    <s v="Binders"/>
    <x v="1"/>
    <n v="559.59"/>
    <n v="9"/>
    <x v="2"/>
    <n v="2027"/>
    <n v="204.54"/>
    <n v="0.36551761110813269"/>
  </r>
  <r>
    <n v="11898"/>
    <d v="2027-03-13T00:00:00"/>
    <x v="0"/>
    <x v="2"/>
    <s v="Tables"/>
    <x v="2"/>
    <n v="465.29"/>
    <n v="4"/>
    <x v="2"/>
    <n v="2027"/>
    <n v="4.99"/>
    <n v="1.0724494401341099E-2"/>
  </r>
  <r>
    <n v="11899"/>
    <d v="2027-03-14T00:00:00"/>
    <x v="1"/>
    <x v="1"/>
    <s v="Tables"/>
    <x v="1"/>
    <n v="304.48"/>
    <n v="4"/>
    <x v="2"/>
    <n v="2027"/>
    <n v="-1.88"/>
    <n v="-6.1744613767735152E-3"/>
  </r>
  <r>
    <n v="11900"/>
    <d v="2027-03-15T00:00:00"/>
    <x v="3"/>
    <x v="2"/>
    <s v="Accessories"/>
    <x v="3"/>
    <n v="623.79999999999995"/>
    <n v="8"/>
    <x v="2"/>
    <n v="2027"/>
    <n v="286.32"/>
    <n v="0.45899326707277976"/>
  </r>
  <r>
    <n v="11901"/>
    <d v="2027-03-16T00:00:00"/>
    <x v="1"/>
    <x v="2"/>
    <s v="Chairs"/>
    <x v="4"/>
    <n v="877.77"/>
    <n v="4"/>
    <x v="2"/>
    <n v="2027"/>
    <n v="-96.71"/>
    <n v="-0.11017692561832826"/>
  </r>
  <r>
    <n v="11902"/>
    <d v="2027-03-17T00:00:00"/>
    <x v="2"/>
    <x v="1"/>
    <s v="Tables"/>
    <x v="2"/>
    <n v="998.96"/>
    <n v="2"/>
    <x v="2"/>
    <n v="2027"/>
    <n v="251.89"/>
    <n v="0.25215223832786093"/>
  </r>
  <r>
    <n v="11903"/>
    <d v="2027-03-18T00:00:00"/>
    <x v="2"/>
    <x v="1"/>
    <s v="Accessories"/>
    <x v="4"/>
    <n v="627.37"/>
    <n v="2"/>
    <x v="2"/>
    <n v="2027"/>
    <n v="-20.11"/>
    <n v="-3.2054449527392129E-2"/>
  </r>
  <r>
    <n v="11904"/>
    <d v="2027-03-19T00:00:00"/>
    <x v="2"/>
    <x v="0"/>
    <s v="Chairs"/>
    <x v="4"/>
    <n v="434.47"/>
    <n v="1"/>
    <x v="2"/>
    <n v="2027"/>
    <n v="278.91000000000003"/>
    <n v="0.64195456533247408"/>
  </r>
  <r>
    <n v="11905"/>
    <d v="2027-03-20T00:00:00"/>
    <x v="0"/>
    <x v="0"/>
    <s v="Binders"/>
    <x v="0"/>
    <n v="263.95"/>
    <n v="5"/>
    <x v="2"/>
    <n v="2027"/>
    <n v="36.92"/>
    <n v="0.13987497632127299"/>
  </r>
  <r>
    <n v="11906"/>
    <d v="2027-03-21T00:00:00"/>
    <x v="3"/>
    <x v="1"/>
    <s v="Binders"/>
    <x v="0"/>
    <n v="294.24"/>
    <n v="6"/>
    <x v="2"/>
    <n v="2027"/>
    <n v="76.14"/>
    <n v="0.25876835236541595"/>
  </r>
  <r>
    <n v="11907"/>
    <d v="2027-03-22T00:00:00"/>
    <x v="2"/>
    <x v="2"/>
    <s v="Phones"/>
    <x v="2"/>
    <n v="505.48"/>
    <n v="9"/>
    <x v="2"/>
    <n v="2027"/>
    <n v="182.85"/>
    <n v="0.36173538023265012"/>
  </r>
  <r>
    <n v="11908"/>
    <d v="2027-03-23T00:00:00"/>
    <x v="2"/>
    <x v="2"/>
    <s v="Accessories"/>
    <x v="0"/>
    <n v="398.91"/>
    <n v="5"/>
    <x v="2"/>
    <n v="2027"/>
    <n v="135.07"/>
    <n v="0.33859767867438767"/>
  </r>
  <r>
    <n v="11909"/>
    <d v="2027-03-24T00:00:00"/>
    <x v="3"/>
    <x v="2"/>
    <s v="Chairs"/>
    <x v="0"/>
    <n v="918.12"/>
    <n v="6"/>
    <x v="2"/>
    <n v="2027"/>
    <n v="27.18"/>
    <n v="2.9603973336818717E-2"/>
  </r>
  <r>
    <n v="11910"/>
    <d v="2027-03-25T00:00:00"/>
    <x v="2"/>
    <x v="2"/>
    <s v="Tables"/>
    <x v="0"/>
    <n v="399.88"/>
    <n v="6"/>
    <x v="2"/>
    <n v="2027"/>
    <n v="121.53"/>
    <n v="0.30391617485245576"/>
  </r>
  <r>
    <n v="11911"/>
    <d v="2027-03-26T00:00:00"/>
    <x v="1"/>
    <x v="2"/>
    <s v="Binders"/>
    <x v="4"/>
    <n v="404.77"/>
    <n v="3"/>
    <x v="2"/>
    <n v="2027"/>
    <n v="192.28"/>
    <n v="0.47503520517824938"/>
  </r>
  <r>
    <n v="11912"/>
    <d v="2027-03-27T00:00:00"/>
    <x v="3"/>
    <x v="0"/>
    <s v="Chairs"/>
    <x v="2"/>
    <n v="414.36"/>
    <n v="4"/>
    <x v="2"/>
    <n v="2027"/>
    <n v="-83.07"/>
    <n v="-0.20047784535186791"/>
  </r>
  <r>
    <n v="11913"/>
    <d v="2027-03-28T00:00:00"/>
    <x v="3"/>
    <x v="1"/>
    <s v="Accessories"/>
    <x v="4"/>
    <n v="844.79"/>
    <n v="1"/>
    <x v="2"/>
    <n v="2027"/>
    <n v="-95.52"/>
    <n v="-0.11306952023579825"/>
  </r>
  <r>
    <n v="11914"/>
    <d v="2027-03-29T00:00:00"/>
    <x v="3"/>
    <x v="0"/>
    <s v="Phones"/>
    <x v="3"/>
    <n v="668.25"/>
    <n v="4"/>
    <x v="2"/>
    <n v="2027"/>
    <n v="83.23"/>
    <n v="0.12454919566030678"/>
  </r>
  <r>
    <n v="11915"/>
    <d v="2027-03-30T00:00:00"/>
    <x v="1"/>
    <x v="2"/>
    <s v="Binders"/>
    <x v="4"/>
    <n v="633.46"/>
    <n v="1"/>
    <x v="2"/>
    <n v="2027"/>
    <n v="-47.27"/>
    <n v="-7.462191772171882E-2"/>
  </r>
  <r>
    <n v="11916"/>
    <d v="2027-03-31T00:00:00"/>
    <x v="3"/>
    <x v="2"/>
    <s v="Chairs"/>
    <x v="3"/>
    <n v="367.44"/>
    <n v="5"/>
    <x v="2"/>
    <n v="2027"/>
    <n v="165.74"/>
    <n v="0.45106684084476378"/>
  </r>
  <r>
    <n v="11917"/>
    <d v="2027-04-01T00:00:00"/>
    <x v="1"/>
    <x v="2"/>
    <s v="Chairs"/>
    <x v="1"/>
    <n v="827.01"/>
    <n v="8"/>
    <x v="3"/>
    <n v="2027"/>
    <n v="-14.38"/>
    <n v="-1.7387939686339948E-2"/>
  </r>
  <r>
    <n v="11918"/>
    <d v="2027-04-02T00:00:00"/>
    <x v="3"/>
    <x v="2"/>
    <s v="Chairs"/>
    <x v="1"/>
    <n v="86.45"/>
    <n v="8"/>
    <x v="3"/>
    <n v="2027"/>
    <n v="73.14"/>
    <n v="0.84603817235396184"/>
  </r>
  <r>
    <n v="11919"/>
    <d v="2027-04-03T00:00:00"/>
    <x v="0"/>
    <x v="1"/>
    <s v="Accessories"/>
    <x v="3"/>
    <n v="877.26"/>
    <n v="5"/>
    <x v="3"/>
    <n v="2027"/>
    <n v="-20.93"/>
    <n v="-2.3858377219980395E-2"/>
  </r>
  <r>
    <n v="11920"/>
    <d v="2027-04-04T00:00:00"/>
    <x v="2"/>
    <x v="2"/>
    <s v="Accessories"/>
    <x v="3"/>
    <n v="537.11"/>
    <n v="2"/>
    <x v="3"/>
    <n v="2027"/>
    <n v="119.39"/>
    <n v="0.22228221407160545"/>
  </r>
  <r>
    <n v="11921"/>
    <d v="2027-04-05T00:00:00"/>
    <x v="0"/>
    <x v="1"/>
    <s v="Accessories"/>
    <x v="4"/>
    <n v="428.34"/>
    <n v="6"/>
    <x v="3"/>
    <n v="2027"/>
    <n v="-53.58"/>
    <n v="-0.12508754727552879"/>
  </r>
  <r>
    <n v="11922"/>
    <d v="2027-04-06T00:00:00"/>
    <x v="2"/>
    <x v="2"/>
    <s v="Tables"/>
    <x v="3"/>
    <n v="522.30999999999995"/>
    <n v="1"/>
    <x v="3"/>
    <n v="2027"/>
    <n v="-90.76"/>
    <n v="-0.1737665371139745"/>
  </r>
  <r>
    <n v="11923"/>
    <d v="2027-04-07T00:00:00"/>
    <x v="1"/>
    <x v="1"/>
    <s v="Chairs"/>
    <x v="2"/>
    <n v="684.04"/>
    <n v="7"/>
    <x v="3"/>
    <n v="2027"/>
    <n v="-79.55"/>
    <n v="-0.11629436875036547"/>
  </r>
  <r>
    <n v="11924"/>
    <d v="2027-04-08T00:00:00"/>
    <x v="0"/>
    <x v="0"/>
    <s v="Binders"/>
    <x v="1"/>
    <n v="62.13"/>
    <n v="4"/>
    <x v="3"/>
    <n v="2027"/>
    <n v="281.7"/>
    <n v="4.5340415258329303"/>
  </r>
  <r>
    <n v="11925"/>
    <d v="2027-04-09T00:00:00"/>
    <x v="3"/>
    <x v="2"/>
    <s v="Accessories"/>
    <x v="1"/>
    <n v="877.97"/>
    <n v="5"/>
    <x v="3"/>
    <n v="2027"/>
    <n v="-43.09"/>
    <n v="-4.907912571044569E-2"/>
  </r>
  <r>
    <n v="11926"/>
    <d v="2027-04-10T00:00:00"/>
    <x v="2"/>
    <x v="1"/>
    <s v="Accessories"/>
    <x v="3"/>
    <n v="474.4"/>
    <n v="6"/>
    <x v="3"/>
    <n v="2027"/>
    <n v="183.39"/>
    <n v="0.38657251264755482"/>
  </r>
  <r>
    <n v="11927"/>
    <d v="2027-04-11T00:00:00"/>
    <x v="2"/>
    <x v="0"/>
    <s v="Chairs"/>
    <x v="0"/>
    <n v="375.82"/>
    <n v="1"/>
    <x v="3"/>
    <n v="2027"/>
    <n v="-72.83"/>
    <n v="-0.19378958011814165"/>
  </r>
  <r>
    <n v="11928"/>
    <d v="2027-04-12T00:00:00"/>
    <x v="0"/>
    <x v="2"/>
    <s v="Accessories"/>
    <x v="0"/>
    <n v="181.33"/>
    <n v="9"/>
    <x v="3"/>
    <n v="2027"/>
    <n v="-56.74"/>
    <n v="-0.31291016378977554"/>
  </r>
  <r>
    <n v="11929"/>
    <d v="2027-04-13T00:00:00"/>
    <x v="1"/>
    <x v="2"/>
    <s v="Tables"/>
    <x v="3"/>
    <n v="467.49"/>
    <n v="4"/>
    <x v="3"/>
    <n v="2027"/>
    <n v="103.55"/>
    <n v="0.22150206421527732"/>
  </r>
  <r>
    <n v="11930"/>
    <d v="2027-04-14T00:00:00"/>
    <x v="0"/>
    <x v="2"/>
    <s v="Tables"/>
    <x v="2"/>
    <n v="521.51"/>
    <n v="8"/>
    <x v="3"/>
    <n v="2027"/>
    <n v="85.95"/>
    <n v="0.16480987900519645"/>
  </r>
  <r>
    <n v="11931"/>
    <d v="2027-04-15T00:00:00"/>
    <x v="1"/>
    <x v="1"/>
    <s v="Accessories"/>
    <x v="0"/>
    <n v="433.46"/>
    <n v="5"/>
    <x v="3"/>
    <n v="2027"/>
    <n v="280.63"/>
    <n v="0.64741844691551698"/>
  </r>
  <r>
    <n v="11932"/>
    <d v="2027-04-16T00:00:00"/>
    <x v="1"/>
    <x v="1"/>
    <s v="Chairs"/>
    <x v="3"/>
    <n v="694.73"/>
    <n v="8"/>
    <x v="3"/>
    <n v="2027"/>
    <n v="277.93"/>
    <n v="0.40005469750838457"/>
  </r>
  <r>
    <n v="11933"/>
    <d v="2027-04-17T00:00:00"/>
    <x v="2"/>
    <x v="0"/>
    <s v="Chairs"/>
    <x v="2"/>
    <n v="449.85"/>
    <n v="1"/>
    <x v="3"/>
    <n v="2027"/>
    <n v="211.84"/>
    <n v="0.4709125263976881"/>
  </r>
  <r>
    <n v="11934"/>
    <d v="2027-04-18T00:00:00"/>
    <x v="0"/>
    <x v="1"/>
    <s v="Chairs"/>
    <x v="2"/>
    <n v="963.35"/>
    <n v="8"/>
    <x v="3"/>
    <n v="2027"/>
    <n v="140.84"/>
    <n v="0.14619816266154564"/>
  </r>
  <r>
    <n v="11935"/>
    <d v="2027-04-19T00:00:00"/>
    <x v="0"/>
    <x v="1"/>
    <s v="Phones"/>
    <x v="4"/>
    <n v="619.30999999999995"/>
    <n v="4"/>
    <x v="3"/>
    <n v="2027"/>
    <n v="81.98"/>
    <n v="0.13237312492935688"/>
  </r>
  <r>
    <n v="11936"/>
    <d v="2027-04-20T00:00:00"/>
    <x v="1"/>
    <x v="2"/>
    <s v="Accessories"/>
    <x v="2"/>
    <n v="817.1"/>
    <n v="2"/>
    <x v="3"/>
    <n v="2027"/>
    <n v="42.47"/>
    <n v="5.197650226410476E-2"/>
  </r>
  <r>
    <n v="11937"/>
    <d v="2027-04-21T00:00:00"/>
    <x v="0"/>
    <x v="2"/>
    <s v="Chairs"/>
    <x v="0"/>
    <n v="153.88999999999999"/>
    <n v="6"/>
    <x v="3"/>
    <n v="2027"/>
    <n v="278.83999999999997"/>
    <n v="1.8119435960751187"/>
  </r>
  <r>
    <n v="11938"/>
    <d v="2027-04-22T00:00:00"/>
    <x v="3"/>
    <x v="2"/>
    <s v="Tables"/>
    <x v="0"/>
    <n v="427.43"/>
    <n v="2"/>
    <x v="3"/>
    <n v="2027"/>
    <n v="141.16"/>
    <n v="0.3302529069087336"/>
  </r>
  <r>
    <n v="11939"/>
    <d v="2027-04-23T00:00:00"/>
    <x v="3"/>
    <x v="2"/>
    <s v="Binders"/>
    <x v="3"/>
    <n v="370.01"/>
    <n v="5"/>
    <x v="3"/>
    <n v="2027"/>
    <n v="131.63"/>
    <n v="0.35574714196913598"/>
  </r>
  <r>
    <n v="11940"/>
    <d v="2027-04-24T00:00:00"/>
    <x v="0"/>
    <x v="2"/>
    <s v="Binders"/>
    <x v="3"/>
    <n v="591.01"/>
    <n v="2"/>
    <x v="3"/>
    <n v="2027"/>
    <n v="-7.24"/>
    <n v="-1.2250215732390315E-2"/>
  </r>
  <r>
    <n v="11941"/>
    <d v="2027-04-25T00:00:00"/>
    <x v="0"/>
    <x v="2"/>
    <s v="Chairs"/>
    <x v="2"/>
    <n v="868.06"/>
    <n v="3"/>
    <x v="3"/>
    <n v="2027"/>
    <n v="-81.319999999999993"/>
    <n v="-9.3680160357578965E-2"/>
  </r>
  <r>
    <n v="11942"/>
    <d v="2027-04-26T00:00:00"/>
    <x v="1"/>
    <x v="2"/>
    <s v="Binders"/>
    <x v="1"/>
    <n v="124.42"/>
    <n v="6"/>
    <x v="3"/>
    <n v="2027"/>
    <n v="278.08"/>
    <n v="2.2350104484809514"/>
  </r>
  <r>
    <n v="11943"/>
    <d v="2027-04-27T00:00:00"/>
    <x v="3"/>
    <x v="0"/>
    <s v="Binders"/>
    <x v="4"/>
    <n v="118.95"/>
    <n v="1"/>
    <x v="3"/>
    <n v="2027"/>
    <n v="25.49"/>
    <n v="0.21429171920975199"/>
  </r>
  <r>
    <n v="11944"/>
    <d v="2027-04-28T00:00:00"/>
    <x v="3"/>
    <x v="0"/>
    <s v="Phones"/>
    <x v="1"/>
    <n v="857.8"/>
    <n v="6"/>
    <x v="3"/>
    <n v="2027"/>
    <n v="77.040000000000006"/>
    <n v="8.9811144788995115E-2"/>
  </r>
  <r>
    <n v="11945"/>
    <d v="2027-04-29T00:00:00"/>
    <x v="2"/>
    <x v="0"/>
    <s v="Tables"/>
    <x v="2"/>
    <n v="252.21"/>
    <n v="3"/>
    <x v="3"/>
    <n v="2027"/>
    <n v="-54.14"/>
    <n v="-0.2146623845208358"/>
  </r>
  <r>
    <n v="11946"/>
    <d v="2027-04-30T00:00:00"/>
    <x v="1"/>
    <x v="0"/>
    <s v="Tables"/>
    <x v="2"/>
    <n v="685.32"/>
    <n v="7"/>
    <x v="3"/>
    <n v="2027"/>
    <n v="234.77"/>
    <n v="0.34256989435592133"/>
  </r>
  <r>
    <n v="11947"/>
    <d v="2027-05-01T00:00:00"/>
    <x v="2"/>
    <x v="2"/>
    <s v="Phones"/>
    <x v="1"/>
    <n v="565.73"/>
    <n v="2"/>
    <x v="4"/>
    <n v="2027"/>
    <n v="-88.95"/>
    <n v="-0.15723048097148817"/>
  </r>
  <r>
    <n v="11948"/>
    <d v="2027-05-02T00:00:00"/>
    <x v="3"/>
    <x v="0"/>
    <s v="Phones"/>
    <x v="4"/>
    <n v="841.25"/>
    <n v="6"/>
    <x v="4"/>
    <n v="2027"/>
    <n v="233.6"/>
    <n v="0.27768202080237742"/>
  </r>
  <r>
    <n v="11949"/>
    <d v="2027-05-03T00:00:00"/>
    <x v="1"/>
    <x v="2"/>
    <s v="Binders"/>
    <x v="1"/>
    <n v="168.83"/>
    <n v="8"/>
    <x v="4"/>
    <n v="2027"/>
    <n v="-43.89"/>
    <n v="-0.25996564591601018"/>
  </r>
  <r>
    <n v="11950"/>
    <d v="2027-05-04T00:00:00"/>
    <x v="0"/>
    <x v="0"/>
    <s v="Accessories"/>
    <x v="3"/>
    <n v="173.29"/>
    <n v="1"/>
    <x v="4"/>
    <n v="2027"/>
    <n v="254.63"/>
    <n v="1.4693865774135841"/>
  </r>
  <r>
    <n v="11951"/>
    <d v="2027-05-05T00:00:00"/>
    <x v="1"/>
    <x v="1"/>
    <s v="Binders"/>
    <x v="0"/>
    <n v="578.98"/>
    <n v="9"/>
    <x v="4"/>
    <n v="2027"/>
    <n v="191.91"/>
    <n v="0.33146222667449649"/>
  </r>
  <r>
    <n v="11952"/>
    <d v="2027-05-06T00:00:00"/>
    <x v="0"/>
    <x v="0"/>
    <s v="Phones"/>
    <x v="3"/>
    <n v="949.06"/>
    <n v="5"/>
    <x v="4"/>
    <n v="2027"/>
    <n v="-34.130000000000003"/>
    <n v="-3.5961899142309239E-2"/>
  </r>
  <r>
    <n v="11953"/>
    <d v="2027-05-07T00:00:00"/>
    <x v="0"/>
    <x v="0"/>
    <s v="Tables"/>
    <x v="0"/>
    <n v="444.25"/>
    <n v="5"/>
    <x v="4"/>
    <n v="2027"/>
    <n v="126.33"/>
    <n v="0.28436691052335394"/>
  </r>
  <r>
    <n v="11954"/>
    <d v="2027-05-08T00:00:00"/>
    <x v="1"/>
    <x v="2"/>
    <s v="Binders"/>
    <x v="2"/>
    <n v="360.59"/>
    <n v="5"/>
    <x v="4"/>
    <n v="2027"/>
    <n v="25.06"/>
    <n v="6.9497212901078784E-2"/>
  </r>
  <r>
    <n v="11955"/>
    <d v="2027-05-09T00:00:00"/>
    <x v="0"/>
    <x v="0"/>
    <s v="Accessories"/>
    <x v="4"/>
    <n v="626.35"/>
    <n v="6"/>
    <x v="4"/>
    <n v="2027"/>
    <n v="-28.71"/>
    <n v="-4.5836992097070331E-2"/>
  </r>
  <r>
    <n v="11956"/>
    <d v="2027-05-10T00:00:00"/>
    <x v="2"/>
    <x v="1"/>
    <s v="Binders"/>
    <x v="1"/>
    <n v="933.93"/>
    <n v="2"/>
    <x v="4"/>
    <n v="2027"/>
    <n v="243.67"/>
    <n v="0.26090820511173213"/>
  </r>
  <r>
    <n v="11957"/>
    <d v="2027-05-11T00:00:00"/>
    <x v="3"/>
    <x v="2"/>
    <s v="Chairs"/>
    <x v="4"/>
    <n v="845.08"/>
    <n v="6"/>
    <x v="4"/>
    <n v="2027"/>
    <n v="61.41"/>
    <n v="7.2667676433000414E-2"/>
  </r>
  <r>
    <n v="11958"/>
    <d v="2027-05-12T00:00:00"/>
    <x v="0"/>
    <x v="2"/>
    <s v="Binders"/>
    <x v="1"/>
    <n v="995.71"/>
    <n v="4"/>
    <x v="4"/>
    <n v="2027"/>
    <n v="59.42"/>
    <n v="5.9676010083257174E-2"/>
  </r>
  <r>
    <n v="11959"/>
    <d v="2027-05-13T00:00:00"/>
    <x v="2"/>
    <x v="0"/>
    <s v="Phones"/>
    <x v="3"/>
    <n v="71.44"/>
    <n v="8"/>
    <x v="4"/>
    <n v="2027"/>
    <n v="-32.049999999999997"/>
    <n v="-0.44862821948488241"/>
  </r>
  <r>
    <n v="11960"/>
    <d v="2027-05-14T00:00:00"/>
    <x v="0"/>
    <x v="2"/>
    <s v="Tables"/>
    <x v="3"/>
    <n v="157.22"/>
    <n v="9"/>
    <x v="4"/>
    <n v="2027"/>
    <n v="53.23"/>
    <n v="0.33857015646864264"/>
  </r>
  <r>
    <n v="11961"/>
    <d v="2027-05-15T00:00:00"/>
    <x v="3"/>
    <x v="2"/>
    <s v="Tables"/>
    <x v="1"/>
    <n v="628.99"/>
    <n v="9"/>
    <x v="4"/>
    <n v="2027"/>
    <n v="248.65"/>
    <n v="0.39531630073610075"/>
  </r>
  <r>
    <n v="11962"/>
    <d v="2027-05-16T00:00:00"/>
    <x v="2"/>
    <x v="2"/>
    <s v="Phones"/>
    <x v="4"/>
    <n v="829.55"/>
    <n v="8"/>
    <x v="4"/>
    <n v="2027"/>
    <n v="45.25"/>
    <n v="5.4547646314266778E-2"/>
  </r>
  <r>
    <n v="11963"/>
    <d v="2027-05-17T00:00:00"/>
    <x v="3"/>
    <x v="2"/>
    <s v="Chairs"/>
    <x v="1"/>
    <n v="320.98"/>
    <n v="3"/>
    <x v="4"/>
    <n v="2027"/>
    <n v="280.64"/>
    <n v="0.87432238768770631"/>
  </r>
  <r>
    <n v="11964"/>
    <d v="2027-05-18T00:00:00"/>
    <x v="3"/>
    <x v="2"/>
    <s v="Phones"/>
    <x v="2"/>
    <n v="277.25"/>
    <n v="4"/>
    <x v="4"/>
    <n v="2027"/>
    <n v="278.52"/>
    <n v="1.004580703336339"/>
  </r>
  <r>
    <n v="11965"/>
    <d v="2027-05-19T00:00:00"/>
    <x v="2"/>
    <x v="2"/>
    <s v="Binders"/>
    <x v="3"/>
    <n v="797.63"/>
    <n v="1"/>
    <x v="4"/>
    <n v="2027"/>
    <n v="-42.04"/>
    <n v="-5.2706141945513582E-2"/>
  </r>
  <r>
    <n v="11966"/>
    <d v="2027-05-20T00:00:00"/>
    <x v="2"/>
    <x v="1"/>
    <s v="Phones"/>
    <x v="2"/>
    <n v="103.56"/>
    <n v="9"/>
    <x v="4"/>
    <n v="2027"/>
    <n v="-29.08"/>
    <n v="-0.28080339899575124"/>
  </r>
  <r>
    <n v="11967"/>
    <d v="2027-05-21T00:00:00"/>
    <x v="2"/>
    <x v="0"/>
    <s v="Phones"/>
    <x v="3"/>
    <n v="400.91"/>
    <n v="5"/>
    <x v="4"/>
    <n v="2027"/>
    <n v="245.07"/>
    <n v="0.6112843281534508"/>
  </r>
  <r>
    <n v="11968"/>
    <d v="2027-05-22T00:00:00"/>
    <x v="1"/>
    <x v="1"/>
    <s v="Chairs"/>
    <x v="3"/>
    <n v="530.52"/>
    <n v="6"/>
    <x v="4"/>
    <n v="2027"/>
    <n v="57.1"/>
    <n v="0.1076302495664631"/>
  </r>
  <r>
    <n v="11969"/>
    <d v="2027-05-23T00:00:00"/>
    <x v="2"/>
    <x v="2"/>
    <s v="Binders"/>
    <x v="0"/>
    <n v="582.33000000000004"/>
    <n v="3"/>
    <x v="4"/>
    <n v="2027"/>
    <n v="-98.25"/>
    <n v="-0.16871876770903094"/>
  </r>
  <r>
    <n v="11970"/>
    <d v="2027-05-24T00:00:00"/>
    <x v="2"/>
    <x v="2"/>
    <s v="Accessories"/>
    <x v="2"/>
    <n v="742.18"/>
    <n v="8"/>
    <x v="4"/>
    <n v="2027"/>
    <n v="9.5500000000000007"/>
    <n v="1.286749845051066E-2"/>
  </r>
  <r>
    <n v="11971"/>
    <d v="2027-05-25T00:00:00"/>
    <x v="2"/>
    <x v="0"/>
    <s v="Accessories"/>
    <x v="2"/>
    <n v="387.1"/>
    <n v="7"/>
    <x v="4"/>
    <n v="2027"/>
    <n v="139.05000000000001"/>
    <n v="0.3592095065874451"/>
  </r>
  <r>
    <n v="11972"/>
    <d v="2027-05-26T00:00:00"/>
    <x v="2"/>
    <x v="1"/>
    <s v="Tables"/>
    <x v="0"/>
    <n v="632.04999999999995"/>
    <n v="1"/>
    <x v="4"/>
    <n v="2027"/>
    <n v="219.71"/>
    <n v="0.34761490388418642"/>
  </r>
  <r>
    <n v="11973"/>
    <d v="2027-05-27T00:00:00"/>
    <x v="0"/>
    <x v="0"/>
    <s v="Phones"/>
    <x v="4"/>
    <n v="606.11"/>
    <n v="5"/>
    <x v="4"/>
    <n v="2027"/>
    <n v="-46.64"/>
    <n v="-7.6949728597119335E-2"/>
  </r>
  <r>
    <n v="11974"/>
    <d v="2027-05-28T00:00:00"/>
    <x v="1"/>
    <x v="1"/>
    <s v="Tables"/>
    <x v="2"/>
    <n v="570.24"/>
    <n v="9"/>
    <x v="4"/>
    <n v="2027"/>
    <n v="-55.78"/>
    <n v="-9.781846240179573E-2"/>
  </r>
  <r>
    <n v="11975"/>
    <d v="2027-05-29T00:00:00"/>
    <x v="3"/>
    <x v="2"/>
    <s v="Chairs"/>
    <x v="1"/>
    <n v="658.46"/>
    <n v="6"/>
    <x v="4"/>
    <n v="2027"/>
    <n v="268.83999999999997"/>
    <n v="0.40828600066822579"/>
  </r>
  <r>
    <n v="11976"/>
    <d v="2027-05-30T00:00:00"/>
    <x v="2"/>
    <x v="0"/>
    <s v="Accessories"/>
    <x v="0"/>
    <n v="296.48"/>
    <n v="8"/>
    <x v="4"/>
    <n v="2027"/>
    <n v="200.46"/>
    <n v="0.67613329735563954"/>
  </r>
  <r>
    <n v="11977"/>
    <d v="2027-05-31T00:00:00"/>
    <x v="0"/>
    <x v="0"/>
    <s v="Phones"/>
    <x v="2"/>
    <n v="130.41999999999999"/>
    <n v="1"/>
    <x v="4"/>
    <n v="2027"/>
    <n v="135.91"/>
    <n v="1.042094770740684"/>
  </r>
  <r>
    <n v="11978"/>
    <d v="2027-06-01T00:00:00"/>
    <x v="0"/>
    <x v="2"/>
    <s v="Chairs"/>
    <x v="4"/>
    <n v="163.31"/>
    <n v="7"/>
    <x v="5"/>
    <n v="2027"/>
    <n v="207.67"/>
    <n v="1.2716306411119955"/>
  </r>
  <r>
    <n v="11979"/>
    <d v="2027-06-02T00:00:00"/>
    <x v="0"/>
    <x v="0"/>
    <s v="Chairs"/>
    <x v="2"/>
    <n v="263.35000000000002"/>
    <n v="3"/>
    <x v="5"/>
    <n v="2027"/>
    <n v="71.540000000000006"/>
    <n v="0.27165369280425289"/>
  </r>
  <r>
    <n v="11980"/>
    <d v="2027-06-03T00:00:00"/>
    <x v="3"/>
    <x v="1"/>
    <s v="Phones"/>
    <x v="3"/>
    <n v="525.19000000000005"/>
    <n v="9"/>
    <x v="5"/>
    <n v="2027"/>
    <n v="203.38"/>
    <n v="0.38725032845255997"/>
  </r>
  <r>
    <n v="11981"/>
    <d v="2027-06-04T00:00:00"/>
    <x v="2"/>
    <x v="1"/>
    <s v="Chairs"/>
    <x v="1"/>
    <n v="848.42"/>
    <n v="6"/>
    <x v="5"/>
    <n v="2027"/>
    <n v="48.72"/>
    <n v="5.7424388864006033E-2"/>
  </r>
  <r>
    <n v="11982"/>
    <d v="2027-06-05T00:00:00"/>
    <x v="1"/>
    <x v="1"/>
    <s v="Phones"/>
    <x v="0"/>
    <n v="716.23"/>
    <n v="5"/>
    <x v="5"/>
    <n v="2027"/>
    <n v="-2.36"/>
    <n v="-3.2950309258199181E-3"/>
  </r>
  <r>
    <n v="11983"/>
    <d v="2027-06-06T00:00:00"/>
    <x v="1"/>
    <x v="1"/>
    <s v="Phones"/>
    <x v="3"/>
    <n v="799.59"/>
    <n v="8"/>
    <x v="5"/>
    <n v="2027"/>
    <n v="191.61"/>
    <n v="0.23963531309796271"/>
  </r>
  <r>
    <n v="11984"/>
    <d v="2027-06-07T00:00:00"/>
    <x v="0"/>
    <x v="2"/>
    <s v="Binders"/>
    <x v="4"/>
    <n v="383.43"/>
    <n v="8"/>
    <x v="5"/>
    <n v="2027"/>
    <n v="67.87"/>
    <n v="0.17700753722974208"/>
  </r>
  <r>
    <n v="11985"/>
    <d v="2027-06-08T00:00:00"/>
    <x v="3"/>
    <x v="0"/>
    <s v="Tables"/>
    <x v="3"/>
    <n v="434.42"/>
    <n v="3"/>
    <x v="5"/>
    <n v="2027"/>
    <n v="292.55"/>
    <n v="0.67342663781593848"/>
  </r>
  <r>
    <n v="11986"/>
    <d v="2027-06-09T00:00:00"/>
    <x v="3"/>
    <x v="1"/>
    <s v="Chairs"/>
    <x v="3"/>
    <n v="424"/>
    <n v="2"/>
    <x v="5"/>
    <n v="2027"/>
    <n v="39.79"/>
    <n v="9.3844339622641507E-2"/>
  </r>
  <r>
    <n v="11987"/>
    <d v="2027-06-10T00:00:00"/>
    <x v="3"/>
    <x v="2"/>
    <s v="Chairs"/>
    <x v="4"/>
    <n v="232.28"/>
    <n v="2"/>
    <x v="5"/>
    <n v="2027"/>
    <n v="268.69"/>
    <n v="1.1567504735663854"/>
  </r>
  <r>
    <n v="11988"/>
    <d v="2027-06-11T00:00:00"/>
    <x v="1"/>
    <x v="0"/>
    <s v="Binders"/>
    <x v="3"/>
    <n v="108.16"/>
    <n v="5"/>
    <x v="5"/>
    <n v="2027"/>
    <n v="273.19"/>
    <n v="2.5257951183431953"/>
  </r>
  <r>
    <n v="11989"/>
    <d v="2027-06-12T00:00:00"/>
    <x v="0"/>
    <x v="0"/>
    <s v="Binders"/>
    <x v="0"/>
    <n v="611.37"/>
    <n v="7"/>
    <x v="5"/>
    <n v="2027"/>
    <n v="-3.26"/>
    <n v="-5.3322865040809977E-3"/>
  </r>
  <r>
    <n v="11990"/>
    <d v="2027-06-13T00:00:00"/>
    <x v="2"/>
    <x v="2"/>
    <s v="Binders"/>
    <x v="2"/>
    <n v="989.76"/>
    <n v="8"/>
    <x v="5"/>
    <n v="2027"/>
    <n v="219.29"/>
    <n v="0.22155876172001293"/>
  </r>
  <r>
    <n v="11991"/>
    <d v="2027-06-14T00:00:00"/>
    <x v="1"/>
    <x v="2"/>
    <s v="Accessories"/>
    <x v="3"/>
    <n v="208.49"/>
    <n v="8"/>
    <x v="5"/>
    <n v="2027"/>
    <n v="73.23"/>
    <n v="0.35123986761955012"/>
  </r>
  <r>
    <n v="11992"/>
    <d v="2027-06-15T00:00:00"/>
    <x v="0"/>
    <x v="1"/>
    <s v="Accessories"/>
    <x v="0"/>
    <n v="94.35"/>
    <n v="8"/>
    <x v="5"/>
    <n v="2027"/>
    <n v="267.01"/>
    <n v="2.8299947005829358"/>
  </r>
  <r>
    <n v="11993"/>
    <d v="2027-06-16T00:00:00"/>
    <x v="0"/>
    <x v="0"/>
    <s v="Accessories"/>
    <x v="2"/>
    <n v="790.56"/>
    <n v="3"/>
    <x v="5"/>
    <n v="2027"/>
    <n v="80.05"/>
    <n v="0.10125733657154423"/>
  </r>
  <r>
    <n v="11994"/>
    <d v="2027-06-17T00:00:00"/>
    <x v="2"/>
    <x v="0"/>
    <s v="Phones"/>
    <x v="2"/>
    <n v="289.95999999999998"/>
    <n v="2"/>
    <x v="5"/>
    <n v="2027"/>
    <n v="197.72"/>
    <n v="0.68188715684922063"/>
  </r>
  <r>
    <n v="11995"/>
    <d v="2027-06-18T00:00:00"/>
    <x v="2"/>
    <x v="2"/>
    <s v="Chairs"/>
    <x v="3"/>
    <n v="838.16"/>
    <n v="4"/>
    <x v="5"/>
    <n v="2027"/>
    <n v="86.79"/>
    <n v="0.10354824854443066"/>
  </r>
  <r>
    <n v="11996"/>
    <d v="2027-06-19T00:00:00"/>
    <x v="2"/>
    <x v="0"/>
    <s v="Tables"/>
    <x v="0"/>
    <n v="718.74"/>
    <n v="1"/>
    <x v="5"/>
    <n v="2027"/>
    <n v="-8.8800000000000008"/>
    <n v="-1.2354954503714835E-2"/>
  </r>
  <r>
    <n v="11997"/>
    <d v="2027-06-20T00:00:00"/>
    <x v="3"/>
    <x v="1"/>
    <s v="Phones"/>
    <x v="3"/>
    <n v="948.39"/>
    <n v="3"/>
    <x v="5"/>
    <n v="2027"/>
    <n v="-20.260000000000002"/>
    <n v="-2.1362519638545328E-2"/>
  </r>
  <r>
    <n v="11998"/>
    <d v="2027-06-21T00:00:00"/>
    <x v="2"/>
    <x v="0"/>
    <s v="Chairs"/>
    <x v="4"/>
    <n v="438.48"/>
    <n v="9"/>
    <x v="5"/>
    <n v="2027"/>
    <n v="70.17"/>
    <n v="0.16003010399562123"/>
  </r>
  <r>
    <n v="11999"/>
    <d v="2027-06-22T00:00:00"/>
    <x v="0"/>
    <x v="2"/>
    <s v="Chairs"/>
    <x v="2"/>
    <n v="678.87"/>
    <n v="7"/>
    <x v="5"/>
    <n v="2027"/>
    <n v="202.2"/>
    <n v="0.29784789429493125"/>
  </r>
  <r>
    <n v="12000"/>
    <d v="2027-06-23T00:00:00"/>
    <x v="2"/>
    <x v="2"/>
    <s v="Binders"/>
    <x v="3"/>
    <n v="491.61"/>
    <n v="7"/>
    <x v="5"/>
    <n v="2027"/>
    <n v="142.03"/>
    <n v="0.2889078741278655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94B78A3-4389-7A4D-8473-BDDBE7DC54E0}" name="PivotTable25" cacheId="10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SalesPerson Performance">
  <location ref="J3:L9" firstHeaderRow="0" firstDataRow="1" firstDataCol="1"/>
  <pivotFields count="12">
    <pivotField showAll="0"/>
    <pivotField numFmtId="14" showAll="0"/>
    <pivotField showAll="0"/>
    <pivotField showAll="0"/>
    <pivotField showAll="0"/>
    <pivotField axis="axisRow" showAll="0">
      <items count="6">
        <item x="1"/>
        <item x="4"/>
        <item x="0"/>
        <item x="2"/>
        <item x="3"/>
        <item t="default"/>
      </items>
    </pivotField>
    <pivotField dataField="1" numFmtId="167" showAll="0"/>
    <pivotField showAll="0"/>
    <pivotField showAll="0"/>
    <pivotField showAll="0"/>
    <pivotField dataField="1" numFmtId="167" showAll="0"/>
    <pivotField numFmtId="9" showAll="0"/>
  </pivotFields>
  <rowFields count="1">
    <field x="5"/>
  </rowFields>
  <rowItems count="6">
    <i>
      <x/>
    </i>
    <i>
      <x v="1"/>
    </i>
    <i>
      <x v="2"/>
    </i>
    <i>
      <x v="3"/>
    </i>
    <i>
      <x v="4"/>
    </i>
    <i t="grand">
      <x/>
    </i>
  </rowItems>
  <colFields count="1">
    <field x="-2"/>
  </colFields>
  <colItems count="2">
    <i>
      <x/>
    </i>
    <i i="1">
      <x v="1"/>
    </i>
  </colItems>
  <dataFields count="2">
    <dataField name="Sum of Profit" fld="10" baseField="0" baseItem="0" numFmtId="167"/>
    <dataField name="Sum of Sales" fld="6" baseField="0" baseItem="0" numFmtId="167"/>
  </dataFields>
  <chartFormats count="4">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C664B9B-410C-BD4E-9621-AC8AA0FE05F5}" name="PivotTable24" cacheId="10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Month">
  <location ref="G3:H16" firstHeaderRow="1" firstDataRow="1" firstDataCol="1"/>
  <pivotFields count="12">
    <pivotField showAll="0"/>
    <pivotField numFmtId="14" showAll="0"/>
    <pivotField showAll="0"/>
    <pivotField showAll="0"/>
    <pivotField showAll="0"/>
    <pivotField showAll="0"/>
    <pivotField dataField="1" numFmtId="167" showAll="0"/>
    <pivotField showAll="0"/>
    <pivotField axis="axisRow" showAll="0">
      <items count="13">
        <item x="0"/>
        <item x="1"/>
        <item x="2"/>
        <item x="3"/>
        <item x="4"/>
        <item x="5"/>
        <item x="6"/>
        <item x="7"/>
        <item x="8"/>
        <item x="9"/>
        <item x="10"/>
        <item x="11"/>
        <item t="default"/>
      </items>
    </pivotField>
    <pivotField showAll="0"/>
    <pivotField numFmtId="167" showAll="0"/>
    <pivotField numFmtId="9" showAll="0"/>
  </pivotFields>
  <rowFields count="1">
    <field x="8"/>
  </rowFields>
  <rowItems count="13">
    <i>
      <x/>
    </i>
    <i>
      <x v="1"/>
    </i>
    <i>
      <x v="2"/>
    </i>
    <i>
      <x v="3"/>
    </i>
    <i>
      <x v="4"/>
    </i>
    <i>
      <x v="5"/>
    </i>
    <i>
      <x v="6"/>
    </i>
    <i>
      <x v="7"/>
    </i>
    <i>
      <x v="8"/>
    </i>
    <i>
      <x v="9"/>
    </i>
    <i>
      <x v="10"/>
    </i>
    <i>
      <x v="11"/>
    </i>
    <i t="grand">
      <x/>
    </i>
  </rowItems>
  <colItems count="1">
    <i/>
  </colItems>
  <dataFields count="1">
    <dataField name="Sum of Sales" fld="6" baseField="0" baseItem="0" numFmtId="167"/>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5FB8DCF-3515-A440-9728-13CD56B94907}" name="PivotTable23" cacheId="10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Category">
  <location ref="D3:E7" firstHeaderRow="1" firstDataRow="1" firstDataCol="1"/>
  <pivotFields count="12">
    <pivotField showAll="0"/>
    <pivotField numFmtId="14" showAll="0"/>
    <pivotField showAll="0"/>
    <pivotField axis="axisRow" showAll="0">
      <items count="4">
        <item x="1"/>
        <item x="0"/>
        <item x="2"/>
        <item t="default"/>
      </items>
    </pivotField>
    <pivotField showAll="0"/>
    <pivotField showAll="0"/>
    <pivotField numFmtId="167" showAll="0"/>
    <pivotField showAll="0"/>
    <pivotField showAll="0"/>
    <pivotField showAll="0"/>
    <pivotField dataField="1" numFmtId="167" showAll="0"/>
    <pivotField numFmtId="9" showAll="0"/>
  </pivotFields>
  <rowFields count="1">
    <field x="3"/>
  </rowFields>
  <rowItems count="4">
    <i>
      <x/>
    </i>
    <i>
      <x v="1"/>
    </i>
    <i>
      <x v="2"/>
    </i>
    <i t="grand">
      <x/>
    </i>
  </rowItems>
  <colItems count="1">
    <i/>
  </colItems>
  <dataFields count="1">
    <dataField name="Sum of Profit" fld="10" baseField="0" baseItem="0" numFmtId="167"/>
  </dataFields>
  <chartFormats count="1">
    <chartFormat chart="2" format="1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D7F547A-617E-1347-8470-25BC8F280BAD}" name="PivotTable22" cacheId="10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egion">
  <location ref="A3:B8" firstHeaderRow="1" firstDataRow="1" firstDataCol="1"/>
  <pivotFields count="12">
    <pivotField showAll="0"/>
    <pivotField numFmtId="14" showAll="0"/>
    <pivotField axis="axisRow" showAll="0">
      <items count="5">
        <item x="0"/>
        <item x="2"/>
        <item x="3"/>
        <item x="1"/>
        <item t="default"/>
      </items>
    </pivotField>
    <pivotField showAll="0"/>
    <pivotField showAll="0"/>
    <pivotField showAll="0"/>
    <pivotField dataField="1" numFmtId="167" showAll="0"/>
    <pivotField showAll="0"/>
    <pivotField showAll="0"/>
    <pivotField showAll="0"/>
    <pivotField numFmtId="167" showAll="0"/>
    <pivotField numFmtId="9" showAll="0"/>
  </pivotFields>
  <rowFields count="1">
    <field x="2"/>
  </rowFields>
  <rowItems count="5">
    <i>
      <x/>
    </i>
    <i>
      <x v="1"/>
    </i>
    <i>
      <x v="2"/>
    </i>
    <i>
      <x v="3"/>
    </i>
    <i t="grand">
      <x/>
    </i>
  </rowItems>
  <colItems count="1">
    <i/>
  </colItems>
  <dataFields count="1">
    <dataField name="Sum of Sales" fld="6" baseField="0" baseItem="0" numFmtId="167"/>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F590870-8B03-1540-B8E6-82438EFAB8A6}" name="PivotTable26" cacheId="10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B12:C17" firstHeaderRow="1" firstDataRow="1" firstDataCol="1"/>
  <pivotFields count="12">
    <pivotField showAll="0"/>
    <pivotField numFmtId="14" showAll="0"/>
    <pivotField axis="axisRow" showAll="0">
      <items count="5">
        <item x="0"/>
        <item x="2"/>
        <item x="3"/>
        <item x="1"/>
        <item t="default"/>
      </items>
    </pivotField>
    <pivotField showAll="0"/>
    <pivotField showAll="0"/>
    <pivotField showAll="0"/>
    <pivotField dataField="1" numFmtId="167" showAll="0"/>
    <pivotField showAll="0"/>
    <pivotField showAll="0"/>
    <pivotField showAll="0"/>
    <pivotField numFmtId="167" showAll="0"/>
    <pivotField numFmtId="9" showAll="0"/>
  </pivotFields>
  <rowFields count="1">
    <field x="2"/>
  </rowFields>
  <rowItems count="5">
    <i>
      <x/>
    </i>
    <i>
      <x v="1"/>
    </i>
    <i>
      <x v="2"/>
    </i>
    <i>
      <x v="3"/>
    </i>
    <i t="grand">
      <x/>
    </i>
  </rowItems>
  <colItems count="1">
    <i/>
  </colItems>
  <dataFields count="1">
    <dataField name="Sum of Sales" fld="6" baseField="0" baseItem="0" numFmtId="15"/>
  </dataFields>
  <formats count="18">
    <format dxfId="17">
      <pivotArea type="all" dataOnly="0" outline="0" fieldPosition="0"/>
    </format>
    <format dxfId="16">
      <pivotArea outline="0" collapsedLevelsAreSubtotals="1" fieldPosition="0"/>
    </format>
    <format dxfId="15">
      <pivotArea field="2" type="button" dataOnly="0" labelOnly="1" outline="0" axis="axisRow" fieldPosition="0"/>
    </format>
    <format dxfId="14">
      <pivotArea dataOnly="0" labelOnly="1" fieldPosition="0">
        <references count="1">
          <reference field="2" count="0"/>
        </references>
      </pivotArea>
    </format>
    <format dxfId="13">
      <pivotArea dataOnly="0" labelOnly="1" grandRow="1" outline="0" fieldPosition="0"/>
    </format>
    <format dxfId="12">
      <pivotArea dataOnly="0" labelOnly="1" outline="0" axis="axisValues" fieldPosition="0"/>
    </format>
    <format dxfId="11">
      <pivotArea type="all" dataOnly="0" outline="0" fieldPosition="0"/>
    </format>
    <format dxfId="10">
      <pivotArea outline="0" collapsedLevelsAreSubtotals="1" fieldPosition="0"/>
    </format>
    <format dxfId="9">
      <pivotArea field="2" type="button" dataOnly="0" labelOnly="1" outline="0" axis="axisRow" fieldPosition="0"/>
    </format>
    <format dxfId="8">
      <pivotArea dataOnly="0" labelOnly="1" fieldPosition="0">
        <references count="1">
          <reference field="2" count="0"/>
        </references>
      </pivotArea>
    </format>
    <format dxfId="7">
      <pivotArea dataOnly="0" labelOnly="1" grandRow="1" outline="0" fieldPosition="0"/>
    </format>
    <format dxfId="6">
      <pivotArea dataOnly="0" labelOnly="1" outline="0" axis="axisValues" fieldPosition="0"/>
    </format>
    <format dxfId="5">
      <pivotArea type="all" dataOnly="0" outline="0" fieldPosition="0"/>
    </format>
    <format dxfId="4">
      <pivotArea outline="0" collapsedLevelsAreSubtotals="1" fieldPosition="0"/>
    </format>
    <format dxfId="3">
      <pivotArea field="2" type="button" dataOnly="0" labelOnly="1" outline="0" axis="axisRow" fieldPosition="0"/>
    </format>
    <format dxfId="2">
      <pivotArea dataOnly="0" labelOnly="1" fieldPosition="0">
        <references count="1">
          <reference field="2" count="0"/>
        </references>
      </pivotArea>
    </format>
    <format dxfId="1">
      <pivotArea dataOnly="0" labelOnly="1" grandRow="1" outline="0" fieldPosition="0"/>
    </format>
    <format dxfId="0">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2EA84B6-535C-924D-9B18-84DA5A8AEA11}" sourceName="Region">
  <pivotTables>
    <pivotTable tabId="3" name="PivotTable26"/>
  </pivotTables>
  <data>
    <tabular pivotCacheId="479071930">
      <items count="4">
        <i x="0" s="1"/>
        <i x="2"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08B397F-5431-B240-AE66-32987CE69151}" sourceName="Category">
  <pivotTables>
    <pivotTable tabId="2" name="PivotTable23"/>
  </pivotTables>
  <data>
    <tabular pivotCacheId="479071930">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8E305EE6-0D06-804E-B3CB-15AF33869A36}" sourceName="Salesperson">
  <pivotTables>
    <pivotTable tabId="2" name="PivotTable25"/>
  </pivotTables>
  <data>
    <tabular pivotCacheId="479071930">
      <items count="5">
        <i x="1" s="1"/>
        <i x="4" s="1"/>
        <i x="0"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D27E5DA9-1356-924F-BA10-453C5F853FC4}" cache="Slicer_Region" caption="Region" columnCount="4" rowHeight="230716"/>
  <slicer name="Category" xr10:uid="{897F49E1-6279-2842-890A-04F1AC9E5E10}" cache="Slicer_Category" caption="Category" columnCount="3" rowHeight="230716"/>
  <slicer name="Salesperson" xr10:uid="{13BB1D63-DD5F-204B-A455-A9EC7DCA9A10}" cache="Slicer_Salesperson" caption="Salesperson" columnCount="5"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92C8363-DDF2-E346-9620-14E6244274A3}" name="SalesTable" displayName="SalesTable" ref="A1:L2001" totalsRowShown="0" headerRowDxfId="21" dataDxfId="22" headerRowBorderDxfId="32" tableBorderDxfId="33">
  <autoFilter ref="A1:L2001" xr:uid="{792C8363-DDF2-E346-9620-14E6244274A3}"/>
  <tableColumns count="12">
    <tableColumn id="1" xr3:uid="{F39607D4-0417-7247-BC94-A3E5051EA2EB}" name="Order_ID" dataDxfId="31"/>
    <tableColumn id="2" xr3:uid="{EE0BF2EE-6F2D-2149-8BC2-7E0AAED5677C}" name="Order_Date" dataDxfId="30"/>
    <tableColumn id="3" xr3:uid="{D234A73D-F047-0E44-967A-91E00EB8D5A9}" name="Region" dataDxfId="29"/>
    <tableColumn id="4" xr3:uid="{B3D6842C-77AE-8B42-A83A-43080B7744BB}" name="Category" dataDxfId="28"/>
    <tableColumn id="5" xr3:uid="{25544116-EA5D-114D-A2E8-7C5C485D2F35}" name="Sub_Category" dataDxfId="27"/>
    <tableColumn id="6" xr3:uid="{9322952A-F569-8447-AD87-93884CE28323}" name="Salesperson" dataDxfId="26"/>
    <tableColumn id="7" xr3:uid="{CAD395E1-845D-D146-9577-9AE9CBEB8E84}" name="Sales" dataDxfId="25"/>
    <tableColumn id="8" xr3:uid="{25A426A1-A446-4441-A907-4C56BC468181}" name="Quantity" dataDxfId="24"/>
    <tableColumn id="11" xr3:uid="{3DC7F0D5-58E3-BB4F-AC57-643EB4EC8D90}" name="Month" dataDxfId="20">
      <calculatedColumnFormula>TEXT(SalesTable[[#This Row],[Order_Date]],"mmm")</calculatedColumnFormula>
    </tableColumn>
    <tableColumn id="14" xr3:uid="{35B6BA3E-E47F-9740-A238-AF65AA7D51FE}" name="Year" dataDxfId="19">
      <calculatedColumnFormula>YEAR(SalesTable[[#This Row],[Order_Date]])</calculatedColumnFormula>
    </tableColumn>
    <tableColumn id="9" xr3:uid="{7FBD135E-92EA-B744-9B35-9C3FC327599E}" name="Profit" dataDxfId="23"/>
    <tableColumn id="15" xr3:uid="{8809456F-98FC-AE49-A329-07187FCD43BA}" name="Profit Margin" dataDxfId="18" dataCellStyle="Percent">
      <calculatedColumnFormula>SalesTable[[#This Row],[Profit]]/SalesTable[[#This Row],[Sales]]</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Crop">
  <a:themeElements>
    <a:clrScheme name="Blue Warm">
      <a:dk1>
        <a:sysClr val="windowText" lastClr="000000"/>
      </a:dk1>
      <a:lt1>
        <a:sysClr val="window" lastClr="FFFFFF"/>
      </a:lt1>
      <a:dk2>
        <a:srgbClr val="242852"/>
      </a:dk2>
      <a:lt2>
        <a:srgbClr val="ACCBF9"/>
      </a:lt2>
      <a:accent1>
        <a:srgbClr val="4A66AC"/>
      </a:accent1>
      <a:accent2>
        <a:srgbClr val="629DD1"/>
      </a:accent2>
      <a:accent3>
        <a:srgbClr val="297FD5"/>
      </a:accent3>
      <a:accent4>
        <a:srgbClr val="7F8FA9"/>
      </a:accent4>
      <a:accent5>
        <a:srgbClr val="5AA2AE"/>
      </a:accent5>
      <a:accent6>
        <a:srgbClr val="9D90A0"/>
      </a:accent6>
      <a:hlink>
        <a:srgbClr val="9454C3"/>
      </a:hlink>
      <a:folHlink>
        <a:srgbClr val="3EBBF0"/>
      </a:folHlink>
    </a:clrScheme>
    <a:fontScheme name="Crop">
      <a:majorFont>
        <a:latin typeface="Franklin Gothic Book" panose="020B0503020102020204"/>
        <a:ea typeface=""/>
        <a:cs typeface=""/>
      </a:majorFont>
      <a:minorFont>
        <a:latin typeface="Franklin Gothic Book" panose="020B0503020102020204"/>
        <a:ea typeface=""/>
        <a:cs typeface=""/>
      </a:minorFont>
    </a:fontScheme>
    <a:fmtScheme name="Crop">
      <a:fillStyleLst>
        <a:solidFill>
          <a:schemeClr val="phClr"/>
        </a:solidFill>
        <a:gradFill rotWithShape="1">
          <a:gsLst>
            <a:gs pos="0">
              <a:schemeClr val="phClr">
                <a:tint val="67000"/>
                <a:satMod val="105000"/>
                <a:lumMod val="110000"/>
              </a:schemeClr>
            </a:gs>
            <a:gs pos="50000">
              <a:schemeClr val="phClr">
                <a:tint val="73000"/>
                <a:satMod val="103000"/>
                <a:lumMod val="105000"/>
              </a:schemeClr>
            </a:gs>
            <a:gs pos="100000">
              <a:schemeClr val="phClr">
                <a:tint val="81000"/>
                <a:satMod val="109000"/>
                <a:lumMod val="105000"/>
              </a:schemeClr>
            </a:gs>
          </a:gsLst>
          <a:lin ang="5400000" scaled="0"/>
        </a:gradFill>
        <a:gradFill rotWithShape="1">
          <a:gsLst>
            <a:gs pos="0">
              <a:schemeClr val="phClr">
                <a:tint val="94000"/>
                <a:satMod val="103000"/>
                <a:lumMod val="102000"/>
              </a:schemeClr>
            </a:gs>
            <a:gs pos="50000">
              <a:schemeClr val="phClr">
                <a:shade val="100000"/>
                <a:satMod val="110000"/>
                <a:lumMod val="100000"/>
              </a:schemeClr>
            </a:gs>
            <a:gs pos="100000">
              <a:schemeClr val="phClr">
                <a:shade val="78000"/>
                <a:satMod val="120000"/>
                <a:lumMod val="99000"/>
              </a:schemeClr>
            </a:gs>
          </a:gsLst>
          <a:lin ang="5400000" scaled="0"/>
        </a:gradFill>
      </a:fillStyleLst>
      <a:lnStyleLst>
        <a:ln w="6350" cap="flat" cmpd="sng" algn="in">
          <a:solidFill>
            <a:schemeClr val="phClr"/>
          </a:solidFill>
          <a:prstDash val="solid"/>
        </a:ln>
        <a:ln w="34925" cap="flat" cmpd="sng" algn="in">
          <a:solidFill>
            <a:schemeClr val="phClr"/>
          </a:solidFill>
          <a:prstDash val="solid"/>
        </a:ln>
        <a:ln w="19050" cap="flat" cmpd="sng" algn="in">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35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satMod val="150000"/>
                <a:lumMod val="102000"/>
              </a:schemeClr>
            </a:gs>
            <a:gs pos="50000">
              <a:schemeClr val="phClr">
                <a:tint val="98000"/>
                <a:shade val="90000"/>
                <a:satMod val="13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Crop" id="{EC9488ED-E761-4D60-9AC4-764D1FE2C171}" vid="{CE19780C-D67D-4C13-9DE9-A52BC3BA51B4}"/>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5.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2C4A79-EDB4-4740-883C-27118527CFD5}">
  <dimension ref="A2:L16"/>
  <sheetViews>
    <sheetView tabSelected="1" topLeftCell="A4" workbookViewId="0">
      <selection activeCell="E27" sqref="E27"/>
    </sheetView>
  </sheetViews>
  <sheetFormatPr baseColWidth="10" defaultRowHeight="14" x14ac:dyDescent="0.15"/>
  <cols>
    <col min="1" max="1" width="10" customWidth="1"/>
    <col min="2" max="2" width="20.6640625" customWidth="1"/>
    <col min="4" max="4" width="14.83203125" customWidth="1"/>
    <col min="5" max="5" width="19.5" customWidth="1"/>
    <col min="6" max="6" width="12.5" customWidth="1"/>
    <col min="7" max="7" width="10" customWidth="1"/>
    <col min="8" max="8" width="18.33203125" customWidth="1"/>
    <col min="9" max="9" width="14" customWidth="1"/>
    <col min="10" max="10" width="11" customWidth="1"/>
    <col min="11" max="11" width="17.6640625" customWidth="1"/>
    <col min="12" max="12" width="13.6640625" customWidth="1"/>
  </cols>
  <sheetData>
    <row r="2" spans="1:12" ht="18" x14ac:dyDescent="0.2">
      <c r="A2" s="13" t="s">
        <v>33</v>
      </c>
      <c r="B2" s="13"/>
      <c r="D2" s="13" t="s">
        <v>34</v>
      </c>
      <c r="E2" s="13"/>
      <c r="G2" s="13" t="s">
        <v>47</v>
      </c>
      <c r="H2" s="13"/>
      <c r="J2" s="13" t="s">
        <v>48</v>
      </c>
      <c r="K2" s="13"/>
      <c r="L2" s="13"/>
    </row>
    <row r="3" spans="1:12" x14ac:dyDescent="0.15">
      <c r="A3" s="11" t="s">
        <v>2</v>
      </c>
      <c r="B3" t="s">
        <v>31</v>
      </c>
      <c r="D3" s="11" t="s">
        <v>3</v>
      </c>
      <c r="E3" t="s">
        <v>32</v>
      </c>
      <c r="G3" s="11" t="s">
        <v>26</v>
      </c>
      <c r="H3" t="s">
        <v>31</v>
      </c>
      <c r="J3" s="11" t="s">
        <v>48</v>
      </c>
      <c r="K3" t="s">
        <v>32</v>
      </c>
      <c r="L3" t="s">
        <v>31</v>
      </c>
    </row>
    <row r="4" spans="1:12" x14ac:dyDescent="0.15">
      <c r="A4" s="3" t="s">
        <v>9</v>
      </c>
      <c r="B4" s="12">
        <v>253458.51999999973</v>
      </c>
      <c r="D4" s="3" t="s">
        <v>14</v>
      </c>
      <c r="E4" s="12">
        <v>69976.78999999995</v>
      </c>
      <c r="G4" s="3" t="s">
        <v>35</v>
      </c>
      <c r="H4" s="12">
        <v>98391.08</v>
      </c>
      <c r="J4" s="3" t="s">
        <v>22</v>
      </c>
      <c r="K4" s="12">
        <v>37566.969999999987</v>
      </c>
      <c r="L4" s="12">
        <v>196370.48999999987</v>
      </c>
    </row>
    <row r="5" spans="1:12" x14ac:dyDescent="0.15">
      <c r="A5" s="3" t="s">
        <v>11</v>
      </c>
      <c r="B5" s="12">
        <v>269626.18999999994</v>
      </c>
      <c r="D5" s="3" t="s">
        <v>13</v>
      </c>
      <c r="E5" s="12">
        <v>65783.850000000006</v>
      </c>
      <c r="G5" s="3" t="s">
        <v>36</v>
      </c>
      <c r="H5" s="12">
        <v>86415.180000000095</v>
      </c>
      <c r="J5" s="3" t="s">
        <v>25</v>
      </c>
      <c r="K5" s="12">
        <v>40702.880000000019</v>
      </c>
      <c r="L5" s="12">
        <v>217176.56</v>
      </c>
    </row>
    <row r="6" spans="1:12" x14ac:dyDescent="0.15">
      <c r="A6" s="3" t="s">
        <v>12</v>
      </c>
      <c r="B6" s="12">
        <v>257189.27000000025</v>
      </c>
      <c r="D6" s="3" t="s">
        <v>15</v>
      </c>
      <c r="E6" s="12">
        <v>65742.600000000006</v>
      </c>
      <c r="G6" s="3" t="s">
        <v>37</v>
      </c>
      <c r="H6" s="12">
        <v>93330.760000000024</v>
      </c>
      <c r="J6" s="3" t="s">
        <v>21</v>
      </c>
      <c r="K6" s="12">
        <v>39777.460000000006</v>
      </c>
      <c r="L6" s="12">
        <v>187623.45999999996</v>
      </c>
    </row>
    <row r="7" spans="1:12" x14ac:dyDescent="0.15">
      <c r="A7" s="3" t="s">
        <v>10</v>
      </c>
      <c r="B7" s="12">
        <v>258923.96999999977</v>
      </c>
      <c r="D7" s="3" t="s">
        <v>30</v>
      </c>
      <c r="E7" s="12">
        <v>201503.23999999996</v>
      </c>
      <c r="G7" s="3" t="s">
        <v>38</v>
      </c>
      <c r="H7" s="12">
        <v>94967.219999999972</v>
      </c>
      <c r="J7" s="3" t="s">
        <v>23</v>
      </c>
      <c r="K7" s="12">
        <v>45259.679999999993</v>
      </c>
      <c r="L7" s="12">
        <v>226021.83999999988</v>
      </c>
    </row>
    <row r="8" spans="1:12" x14ac:dyDescent="0.15">
      <c r="A8" s="3" t="s">
        <v>30</v>
      </c>
      <c r="B8" s="12">
        <v>1039197.9499999997</v>
      </c>
      <c r="G8" s="3" t="s">
        <v>39</v>
      </c>
      <c r="H8" s="12">
        <v>101691.67000000004</v>
      </c>
      <c r="J8" s="3" t="s">
        <v>24</v>
      </c>
      <c r="K8" s="12">
        <v>38196.249999999985</v>
      </c>
      <c r="L8" s="12">
        <v>212005.5999999998</v>
      </c>
    </row>
    <row r="9" spans="1:12" x14ac:dyDescent="0.15">
      <c r="G9" s="3" t="s">
        <v>40</v>
      </c>
      <c r="H9" s="12">
        <v>87898.96</v>
      </c>
      <c r="J9" s="3" t="s">
        <v>30</v>
      </c>
      <c r="K9" s="12">
        <v>201503.24</v>
      </c>
      <c r="L9" s="12">
        <v>1039197.9499999995</v>
      </c>
    </row>
    <row r="10" spans="1:12" x14ac:dyDescent="0.15">
      <c r="G10" s="3" t="s">
        <v>41</v>
      </c>
      <c r="H10" s="12">
        <v>85678.24000000002</v>
      </c>
    </row>
    <row r="11" spans="1:12" x14ac:dyDescent="0.15">
      <c r="G11" s="3" t="s">
        <v>42</v>
      </c>
      <c r="H11" s="12">
        <v>78862.689999999944</v>
      </c>
    </row>
    <row r="12" spans="1:12" x14ac:dyDescent="0.15">
      <c r="G12" s="3" t="s">
        <v>43</v>
      </c>
      <c r="H12" s="12">
        <v>71011.87000000001</v>
      </c>
    </row>
    <row r="13" spans="1:12" x14ac:dyDescent="0.15">
      <c r="G13" s="3" t="s">
        <v>44</v>
      </c>
      <c r="H13" s="12">
        <v>77795.73</v>
      </c>
    </row>
    <row r="14" spans="1:12" x14ac:dyDescent="0.15">
      <c r="G14" s="3" t="s">
        <v>45</v>
      </c>
      <c r="H14" s="12">
        <v>80462.880000000005</v>
      </c>
    </row>
    <row r="15" spans="1:12" x14ac:dyDescent="0.15">
      <c r="G15" s="3" t="s">
        <v>46</v>
      </c>
      <c r="H15" s="12">
        <v>82691.670000000013</v>
      </c>
    </row>
    <row r="16" spans="1:12" x14ac:dyDescent="0.15">
      <c r="G16" s="3" t="s">
        <v>30</v>
      </c>
      <c r="H16" s="12">
        <v>1039197.9500000001</v>
      </c>
    </row>
  </sheetData>
  <mergeCells count="4">
    <mergeCell ref="D2:E2"/>
    <mergeCell ref="A2:B2"/>
    <mergeCell ref="G2:H2"/>
    <mergeCell ref="J2:L2"/>
  </mergeCells>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FF04AC-859B-B74D-B2B9-C7088044FF23}">
  <dimension ref="A1:O57"/>
  <sheetViews>
    <sheetView showGridLines="0" zoomScale="75" zoomScaleNormal="70" workbookViewId="0">
      <selection activeCell="Q30" sqref="Q30"/>
    </sheetView>
  </sheetViews>
  <sheetFormatPr baseColWidth="10" defaultRowHeight="14" x14ac:dyDescent="0.15"/>
  <cols>
    <col min="2" max="2" width="14.83203125" customWidth="1"/>
    <col min="3" max="3" width="13.6640625" customWidth="1"/>
    <col min="4" max="4" width="15.33203125" customWidth="1"/>
    <col min="5" max="5" width="0.1640625" hidden="1" customWidth="1"/>
    <col min="6" max="6" width="3.33203125" hidden="1" customWidth="1"/>
    <col min="8" max="8" width="17.5" customWidth="1"/>
    <col min="10" max="10" width="12.1640625" customWidth="1"/>
    <col min="12" max="12" width="9.33203125" customWidth="1"/>
    <col min="13" max="13" width="43.33203125" customWidth="1"/>
    <col min="14" max="14" width="66.1640625" customWidth="1"/>
  </cols>
  <sheetData>
    <row r="1" spans="1:15" ht="1" customHeight="1" x14ac:dyDescent="0.15">
      <c r="A1" s="14"/>
      <c r="B1" s="14"/>
      <c r="C1" s="14"/>
      <c r="D1" s="14"/>
      <c r="E1" s="14"/>
      <c r="F1" s="14"/>
      <c r="G1" s="14"/>
      <c r="H1" s="14"/>
      <c r="I1" s="14"/>
      <c r="J1" s="14"/>
      <c r="K1" s="14"/>
      <c r="L1" s="14"/>
      <c r="M1" s="14"/>
    </row>
    <row r="2" spans="1:15" ht="31" customHeight="1" x14ac:dyDescent="0.15">
      <c r="A2" s="19" t="s">
        <v>49</v>
      </c>
      <c r="B2" s="19"/>
      <c r="C2" s="19"/>
      <c r="D2" s="19"/>
      <c r="E2" s="19"/>
      <c r="F2" s="19"/>
      <c r="G2" s="19"/>
      <c r="H2" s="19"/>
      <c r="I2" s="19"/>
      <c r="J2" s="19"/>
      <c r="K2" s="19"/>
      <c r="L2" s="19"/>
      <c r="M2" s="19"/>
      <c r="N2" s="19"/>
      <c r="O2" s="19"/>
    </row>
    <row r="3" spans="1:15" ht="15" customHeight="1" x14ac:dyDescent="0.15">
      <c r="A3" s="19"/>
      <c r="B3" s="19"/>
      <c r="C3" s="19"/>
      <c r="D3" s="19"/>
      <c r="E3" s="19"/>
      <c r="F3" s="19"/>
      <c r="G3" s="19"/>
      <c r="H3" s="19"/>
      <c r="I3" s="19"/>
      <c r="J3" s="19"/>
      <c r="K3" s="19"/>
      <c r="L3" s="19"/>
      <c r="M3" s="19"/>
      <c r="N3" s="19"/>
      <c r="O3" s="19"/>
    </row>
    <row r="4" spans="1:15" ht="31" customHeight="1" x14ac:dyDescent="0.15">
      <c r="A4" s="19"/>
      <c r="B4" s="19"/>
      <c r="C4" s="19"/>
      <c r="D4" s="19"/>
      <c r="E4" s="19"/>
      <c r="F4" s="19"/>
      <c r="G4" s="19"/>
      <c r="H4" s="19"/>
      <c r="I4" s="19"/>
      <c r="J4" s="19"/>
      <c r="K4" s="19"/>
      <c r="L4" s="19"/>
      <c r="M4" s="19"/>
      <c r="N4" s="19"/>
      <c r="O4" s="19"/>
    </row>
    <row r="5" spans="1:15" ht="7" customHeight="1" x14ac:dyDescent="0.15">
      <c r="A5" s="16"/>
      <c r="B5" s="16"/>
      <c r="C5" s="16"/>
      <c r="D5" s="16"/>
      <c r="E5" s="16"/>
      <c r="F5" s="16"/>
      <c r="G5" s="16"/>
      <c r="H5" s="16"/>
      <c r="I5" s="16"/>
      <c r="J5" s="16"/>
      <c r="K5" s="16"/>
      <c r="L5" s="16"/>
      <c r="M5" s="16"/>
      <c r="N5" s="15"/>
      <c r="O5" s="15"/>
    </row>
    <row r="6" spans="1:15" ht="29" x14ac:dyDescent="0.35">
      <c r="A6" s="17"/>
      <c r="B6" s="17"/>
      <c r="C6" s="22" t="s">
        <v>50</v>
      </c>
      <c r="D6" s="22"/>
      <c r="E6" s="23"/>
      <c r="F6" s="23"/>
      <c r="G6" s="22" t="s">
        <v>51</v>
      </c>
      <c r="H6" s="22"/>
      <c r="I6" s="22" t="s">
        <v>28</v>
      </c>
      <c r="J6" s="22"/>
      <c r="K6" s="22"/>
      <c r="L6" s="17"/>
      <c r="M6" s="17"/>
      <c r="N6" s="15"/>
      <c r="O6" s="15"/>
    </row>
    <row r="7" spans="1:15" ht="32" customHeight="1" x14ac:dyDescent="0.35">
      <c r="A7" s="17"/>
      <c r="B7" s="17"/>
      <c r="C7" s="24">
        <f>SUM(SalesTable[Sales])</f>
        <v>1039197.9499999995</v>
      </c>
      <c r="D7" s="25"/>
      <c r="E7" s="26"/>
      <c r="F7" s="26"/>
      <c r="G7" s="24">
        <f>SUM(SalesTable[Profit])</f>
        <v>201503.24000000057</v>
      </c>
      <c r="H7" s="25"/>
      <c r="I7" s="27">
        <f>G7/C7</f>
        <v>0.19390265348387251</v>
      </c>
      <c r="J7" s="25"/>
      <c r="K7" s="25"/>
      <c r="L7" s="17"/>
      <c r="M7" s="17"/>
      <c r="N7" s="15"/>
      <c r="O7" s="15"/>
    </row>
    <row r="8" spans="1:15" x14ac:dyDescent="0.15">
      <c r="A8" s="16"/>
      <c r="B8" s="16"/>
      <c r="C8" s="16"/>
      <c r="D8" s="16"/>
      <c r="E8" s="16"/>
      <c r="F8" s="16"/>
      <c r="G8" s="16"/>
      <c r="H8" s="16"/>
      <c r="I8" s="16"/>
      <c r="J8" s="16"/>
      <c r="K8" s="16"/>
      <c r="L8" s="16"/>
      <c r="M8" s="16"/>
      <c r="N8" s="15"/>
      <c r="O8" s="15"/>
    </row>
    <row r="9" spans="1:15" ht="29" x14ac:dyDescent="0.35">
      <c r="A9" s="20"/>
      <c r="B9" s="20"/>
      <c r="C9" s="20"/>
      <c r="D9" s="20"/>
      <c r="E9" s="20"/>
      <c r="F9" s="20"/>
      <c r="G9" s="20"/>
      <c r="H9" s="20"/>
      <c r="I9" s="20"/>
      <c r="J9" s="20"/>
      <c r="K9" s="20"/>
      <c r="L9" s="20"/>
      <c r="M9" s="20"/>
      <c r="N9" s="15"/>
      <c r="O9" s="15"/>
    </row>
    <row r="10" spans="1:15" x14ac:dyDescent="0.15">
      <c r="A10" s="16"/>
      <c r="B10" s="16"/>
      <c r="C10" s="16"/>
      <c r="D10" s="16"/>
      <c r="E10" s="16"/>
      <c r="F10" s="16"/>
      <c r="G10" s="16"/>
      <c r="H10" s="16"/>
      <c r="I10" s="16"/>
      <c r="J10" s="16"/>
      <c r="K10" s="16"/>
      <c r="L10" s="16"/>
      <c r="M10" s="16"/>
      <c r="N10" s="15"/>
      <c r="O10" s="15"/>
    </row>
    <row r="11" spans="1:15" x14ac:dyDescent="0.15">
      <c r="A11" s="16"/>
      <c r="B11" s="16"/>
      <c r="C11" s="16"/>
      <c r="D11" s="16"/>
      <c r="E11" s="16"/>
      <c r="F11" s="16"/>
      <c r="G11" s="16"/>
      <c r="H11" s="16"/>
      <c r="I11" s="16"/>
      <c r="J11" s="16"/>
      <c r="K11" s="16"/>
      <c r="L11" s="16"/>
      <c r="M11" s="16"/>
      <c r="N11" s="15"/>
      <c r="O11" s="15"/>
    </row>
    <row r="12" spans="1:15" x14ac:dyDescent="0.15">
      <c r="A12" s="16"/>
      <c r="B12" s="16" t="s">
        <v>29</v>
      </c>
      <c r="C12" s="16" t="s">
        <v>31</v>
      </c>
      <c r="D12" s="16"/>
      <c r="E12" s="16"/>
      <c r="F12" s="16"/>
      <c r="G12" s="16"/>
      <c r="H12" s="16"/>
      <c r="I12" s="16"/>
      <c r="J12" s="16"/>
      <c r="K12" s="16"/>
      <c r="L12" s="16"/>
      <c r="M12" s="16"/>
      <c r="N12" s="15"/>
      <c r="O12" s="15"/>
    </row>
    <row r="13" spans="1:15" x14ac:dyDescent="0.15">
      <c r="A13" s="16"/>
      <c r="B13" s="18" t="s">
        <v>9</v>
      </c>
      <c r="C13" s="16">
        <v>253458.51999999973</v>
      </c>
      <c r="D13" s="16"/>
      <c r="E13" s="16"/>
      <c r="F13" s="16"/>
      <c r="G13" s="16"/>
      <c r="H13" s="16"/>
      <c r="I13" s="16"/>
      <c r="J13" s="16"/>
      <c r="K13" s="16"/>
      <c r="L13" s="16"/>
      <c r="M13" s="16"/>
      <c r="N13" s="15"/>
      <c r="O13" s="15"/>
    </row>
    <row r="14" spans="1:15" x14ac:dyDescent="0.15">
      <c r="A14" s="16"/>
      <c r="B14" s="18" t="s">
        <v>11</v>
      </c>
      <c r="C14" s="16">
        <v>269626.18999999994</v>
      </c>
      <c r="D14" s="16"/>
      <c r="E14" s="16"/>
      <c r="F14" s="16"/>
      <c r="G14" s="16"/>
      <c r="H14" s="16"/>
      <c r="I14" s="16"/>
      <c r="J14" s="16"/>
      <c r="K14" s="16"/>
      <c r="L14" s="16"/>
      <c r="M14" s="16"/>
      <c r="N14" s="15"/>
      <c r="O14" s="15"/>
    </row>
    <row r="15" spans="1:15" x14ac:dyDescent="0.15">
      <c r="A15" s="16"/>
      <c r="B15" s="18" t="s">
        <v>12</v>
      </c>
      <c r="C15" s="16">
        <v>257189.27000000025</v>
      </c>
      <c r="D15" s="16"/>
      <c r="E15" s="16"/>
      <c r="F15" s="16"/>
      <c r="G15" s="16"/>
      <c r="H15" s="16"/>
      <c r="I15" s="16"/>
      <c r="J15" s="16"/>
      <c r="K15" s="16"/>
      <c r="L15" s="16"/>
      <c r="M15" s="16"/>
      <c r="N15" s="15"/>
      <c r="O15" s="15"/>
    </row>
    <row r="16" spans="1:15" x14ac:dyDescent="0.15">
      <c r="A16" s="16"/>
      <c r="B16" s="18" t="s">
        <v>10</v>
      </c>
      <c r="C16" s="16">
        <v>258923.96999999977</v>
      </c>
      <c r="D16" s="16"/>
      <c r="E16" s="16"/>
      <c r="F16" s="16"/>
      <c r="G16" s="16"/>
      <c r="H16" s="16"/>
      <c r="I16" s="16"/>
      <c r="J16" s="16"/>
      <c r="K16" s="16"/>
      <c r="L16" s="16"/>
      <c r="M16" s="16"/>
      <c r="N16" s="15"/>
      <c r="O16" s="15"/>
    </row>
    <row r="17" spans="1:15" x14ac:dyDescent="0.15">
      <c r="A17" s="16"/>
      <c r="B17" s="18" t="s">
        <v>30</v>
      </c>
      <c r="C17" s="16">
        <v>1039197.9499999997</v>
      </c>
      <c r="D17" s="16"/>
      <c r="E17" s="16"/>
      <c r="F17" s="16"/>
      <c r="G17" s="16"/>
      <c r="H17" s="16"/>
      <c r="I17" s="16"/>
      <c r="J17" s="16"/>
      <c r="K17" s="16"/>
      <c r="L17" s="16"/>
      <c r="M17" s="16"/>
      <c r="N17" s="15"/>
      <c r="O17" s="15"/>
    </row>
    <row r="18" spans="1:15" x14ac:dyDescent="0.15">
      <c r="A18" s="16"/>
      <c r="B18" s="16"/>
      <c r="C18" s="16"/>
      <c r="D18" s="16"/>
      <c r="E18" s="16"/>
      <c r="F18" s="16"/>
      <c r="G18" s="16"/>
      <c r="H18" s="16"/>
      <c r="I18" s="16"/>
      <c r="J18" s="16"/>
      <c r="K18" s="16"/>
      <c r="L18" s="16"/>
      <c r="M18" s="16"/>
      <c r="N18" s="15"/>
      <c r="O18" s="15"/>
    </row>
    <row r="19" spans="1:15" x14ac:dyDescent="0.15">
      <c r="A19" s="16"/>
      <c r="B19" s="16"/>
      <c r="C19" s="16"/>
      <c r="D19" s="16"/>
      <c r="E19" s="16"/>
      <c r="F19" s="16"/>
      <c r="G19" s="16"/>
      <c r="H19" s="16"/>
      <c r="I19" s="16"/>
      <c r="J19" s="16"/>
      <c r="K19" s="16"/>
      <c r="L19" s="16"/>
      <c r="M19" s="16"/>
      <c r="N19" s="15"/>
      <c r="O19" s="15"/>
    </row>
    <row r="20" spans="1:15" x14ac:dyDescent="0.15">
      <c r="A20" s="16"/>
      <c r="B20" s="16"/>
      <c r="C20" s="16"/>
      <c r="D20" s="16"/>
      <c r="E20" s="16"/>
      <c r="F20" s="16"/>
      <c r="G20" s="16"/>
      <c r="H20" s="16"/>
      <c r="I20" s="16"/>
      <c r="J20" s="16"/>
      <c r="K20" s="16"/>
      <c r="L20" s="16"/>
      <c r="M20" s="16"/>
      <c r="N20" s="15"/>
      <c r="O20" s="15"/>
    </row>
    <row r="21" spans="1:15" x14ac:dyDescent="0.15">
      <c r="A21" s="16"/>
      <c r="B21" s="16"/>
      <c r="C21" s="16"/>
      <c r="D21" s="16"/>
      <c r="E21" s="16"/>
      <c r="F21" s="16"/>
      <c r="G21" s="16"/>
      <c r="H21" s="16"/>
      <c r="I21" s="16"/>
      <c r="J21" s="16"/>
      <c r="K21" s="16"/>
      <c r="L21" s="16"/>
      <c r="M21" s="16"/>
      <c r="N21" s="15"/>
      <c r="O21" s="15"/>
    </row>
    <row r="22" spans="1:15" x14ac:dyDescent="0.15">
      <c r="A22" s="16"/>
      <c r="B22" s="16"/>
      <c r="C22" s="16"/>
      <c r="D22" s="16"/>
      <c r="E22" s="16"/>
      <c r="F22" s="16"/>
      <c r="G22" s="16"/>
      <c r="H22" s="16"/>
      <c r="I22" s="16"/>
      <c r="J22" s="16"/>
      <c r="K22" s="16"/>
      <c r="L22" s="16"/>
      <c r="M22" s="16"/>
      <c r="N22" s="15"/>
      <c r="O22" s="15"/>
    </row>
    <row r="23" spans="1:15" x14ac:dyDescent="0.15">
      <c r="A23" s="16"/>
      <c r="B23" s="16"/>
      <c r="C23" s="16"/>
      <c r="D23" s="16"/>
      <c r="E23" s="16"/>
      <c r="F23" s="16"/>
      <c r="G23" s="16"/>
      <c r="H23" s="16"/>
      <c r="I23" s="16"/>
      <c r="J23" s="16"/>
      <c r="K23" s="16"/>
      <c r="L23" s="16"/>
      <c r="M23" s="16"/>
      <c r="N23" s="15"/>
      <c r="O23" s="15"/>
    </row>
    <row r="24" spans="1:15" x14ac:dyDescent="0.15">
      <c r="A24" s="16"/>
      <c r="B24" s="16"/>
      <c r="C24" s="16"/>
      <c r="D24" s="16"/>
      <c r="E24" s="16"/>
      <c r="F24" s="16"/>
      <c r="G24" s="16"/>
      <c r="H24" s="16"/>
      <c r="I24" s="16"/>
      <c r="J24" s="16"/>
      <c r="K24" s="16"/>
      <c r="L24" s="16"/>
      <c r="M24" s="16"/>
      <c r="N24" s="15"/>
      <c r="O24" s="15"/>
    </row>
    <row r="25" spans="1:15" x14ac:dyDescent="0.15">
      <c r="A25" s="16"/>
      <c r="B25" s="16"/>
      <c r="C25" s="16"/>
      <c r="D25" s="16"/>
      <c r="E25" s="16"/>
      <c r="F25" s="16"/>
      <c r="G25" s="16"/>
      <c r="H25" s="16"/>
      <c r="I25" s="16"/>
      <c r="J25" s="16"/>
      <c r="K25" s="16"/>
      <c r="L25" s="16"/>
      <c r="M25" s="16"/>
      <c r="N25" s="15"/>
      <c r="O25" s="15"/>
    </row>
    <row r="26" spans="1:15" x14ac:dyDescent="0.15">
      <c r="A26" s="16"/>
      <c r="B26" s="16"/>
      <c r="C26" s="16"/>
      <c r="D26" s="16"/>
      <c r="E26" s="16"/>
      <c r="F26" s="16"/>
      <c r="G26" s="16"/>
      <c r="H26" s="16"/>
      <c r="I26" s="16"/>
      <c r="J26" s="16"/>
      <c r="K26" s="16"/>
      <c r="L26" s="16"/>
      <c r="M26" s="16"/>
      <c r="N26" s="15"/>
      <c r="O26" s="15"/>
    </row>
    <row r="27" spans="1:15" x14ac:dyDescent="0.15">
      <c r="A27" s="16"/>
      <c r="B27" s="16"/>
      <c r="C27" s="16"/>
      <c r="D27" s="16"/>
      <c r="E27" s="16"/>
      <c r="F27" s="16"/>
      <c r="G27" s="16"/>
      <c r="H27" s="16"/>
      <c r="I27" s="16"/>
      <c r="J27" s="16"/>
      <c r="K27" s="16"/>
      <c r="L27" s="16"/>
      <c r="M27" s="16"/>
      <c r="N27" s="15"/>
      <c r="O27" s="15"/>
    </row>
    <row r="28" spans="1:15" x14ac:dyDescent="0.15">
      <c r="A28" s="16"/>
      <c r="B28" s="16"/>
      <c r="C28" s="16"/>
      <c r="D28" s="16"/>
      <c r="E28" s="16"/>
      <c r="F28" s="16"/>
      <c r="G28" s="16"/>
      <c r="H28" s="16"/>
      <c r="I28" s="16"/>
      <c r="J28" s="16"/>
      <c r="K28" s="16"/>
      <c r="L28" s="16"/>
      <c r="M28" s="16"/>
      <c r="N28" s="15"/>
      <c r="O28" s="15"/>
    </row>
    <row r="29" spans="1:15" x14ac:dyDescent="0.15">
      <c r="A29" s="16"/>
      <c r="B29" s="16"/>
      <c r="C29" s="16"/>
      <c r="D29" s="16"/>
      <c r="E29" s="16"/>
      <c r="F29" s="16"/>
      <c r="G29" s="16"/>
      <c r="H29" s="16"/>
      <c r="I29" s="16"/>
      <c r="J29" s="16"/>
      <c r="K29" s="16"/>
      <c r="L29" s="16"/>
      <c r="M29" s="16"/>
      <c r="N29" s="15"/>
      <c r="O29" s="15"/>
    </row>
    <row r="30" spans="1:15" x14ac:dyDescent="0.15">
      <c r="A30" s="16"/>
      <c r="B30" s="16"/>
      <c r="C30" s="16"/>
      <c r="D30" s="16"/>
      <c r="E30" s="16"/>
      <c r="F30" s="16"/>
      <c r="G30" s="16"/>
      <c r="H30" s="16"/>
      <c r="I30" s="16"/>
      <c r="J30" s="16"/>
      <c r="K30" s="16"/>
      <c r="L30" s="16"/>
      <c r="M30" s="16"/>
      <c r="N30" s="15"/>
      <c r="O30" s="15"/>
    </row>
    <row r="31" spans="1:15" x14ac:dyDescent="0.15">
      <c r="A31" s="16"/>
      <c r="B31" s="16"/>
      <c r="C31" s="16"/>
      <c r="D31" s="16"/>
      <c r="E31" s="16"/>
      <c r="F31" s="16"/>
      <c r="G31" s="16"/>
      <c r="H31" s="16"/>
      <c r="I31" s="16"/>
      <c r="J31" s="16"/>
      <c r="K31" s="16"/>
      <c r="L31" s="16"/>
      <c r="M31" s="16"/>
      <c r="N31" s="15"/>
      <c r="O31" s="15"/>
    </row>
    <row r="32" spans="1:15" x14ac:dyDescent="0.15">
      <c r="A32" s="16"/>
      <c r="B32" s="16"/>
      <c r="C32" s="16"/>
      <c r="D32" s="16"/>
      <c r="E32" s="16"/>
      <c r="F32" s="16"/>
      <c r="G32" s="16"/>
      <c r="H32" s="16"/>
      <c r="I32" s="16"/>
      <c r="J32" s="16"/>
      <c r="K32" s="16"/>
      <c r="L32" s="16"/>
      <c r="M32" s="16"/>
      <c r="N32" s="15"/>
      <c r="O32" s="15"/>
    </row>
    <row r="33" spans="1:15" x14ac:dyDescent="0.15">
      <c r="A33" s="16"/>
      <c r="B33" s="16"/>
      <c r="C33" s="16"/>
      <c r="D33" s="16"/>
      <c r="E33" s="16"/>
      <c r="F33" s="16"/>
      <c r="G33" s="16"/>
      <c r="H33" s="16"/>
      <c r="I33" s="16"/>
      <c r="J33" s="16"/>
      <c r="K33" s="16"/>
      <c r="L33" s="16"/>
      <c r="M33" s="16"/>
      <c r="N33" s="15"/>
      <c r="O33" s="15"/>
    </row>
    <row r="34" spans="1:15" x14ac:dyDescent="0.15">
      <c r="A34" s="16"/>
      <c r="B34" s="16"/>
      <c r="C34" s="16"/>
      <c r="D34" s="16"/>
      <c r="E34" s="16"/>
      <c r="F34" s="16"/>
      <c r="G34" s="16"/>
      <c r="H34" s="16"/>
      <c r="I34" s="16"/>
      <c r="J34" s="16"/>
      <c r="K34" s="16"/>
      <c r="L34" s="16"/>
      <c r="M34" s="16"/>
      <c r="N34" s="15"/>
      <c r="O34" s="15"/>
    </row>
    <row r="35" spans="1:15" ht="29" x14ac:dyDescent="0.35">
      <c r="A35" s="20"/>
      <c r="B35" s="20"/>
      <c r="C35" s="20"/>
      <c r="D35" s="20"/>
      <c r="E35" s="20"/>
      <c r="F35" s="20"/>
      <c r="G35" s="20"/>
      <c r="H35" s="20"/>
      <c r="I35" s="21"/>
      <c r="J35" s="21"/>
      <c r="K35" s="21"/>
      <c r="L35" s="21"/>
      <c r="M35" s="21"/>
      <c r="N35" s="15"/>
      <c r="O35" s="15"/>
    </row>
    <row r="36" spans="1:15" x14ac:dyDescent="0.15">
      <c r="A36" s="16"/>
      <c r="B36" s="16"/>
      <c r="C36" s="16"/>
      <c r="D36" s="16"/>
      <c r="E36" s="16"/>
      <c r="F36" s="16"/>
      <c r="G36" s="16"/>
      <c r="H36" s="16"/>
      <c r="I36" s="16"/>
      <c r="J36" s="16"/>
      <c r="K36" s="16"/>
      <c r="L36" s="16"/>
      <c r="M36" s="16"/>
      <c r="N36" s="15"/>
      <c r="O36" s="15"/>
    </row>
    <row r="37" spans="1:15" x14ac:dyDescent="0.15">
      <c r="A37" s="16"/>
      <c r="B37" s="16"/>
      <c r="C37" s="16"/>
      <c r="D37" s="16"/>
      <c r="E37" s="16"/>
      <c r="F37" s="16"/>
      <c r="G37" s="16"/>
      <c r="H37" s="16"/>
      <c r="I37" s="16"/>
      <c r="J37" s="16"/>
      <c r="K37" s="16"/>
      <c r="L37" s="16"/>
      <c r="M37" s="16"/>
      <c r="N37" s="15"/>
      <c r="O37" s="15"/>
    </row>
    <row r="38" spans="1:15" x14ac:dyDescent="0.15">
      <c r="A38" s="16"/>
      <c r="B38" s="16"/>
      <c r="C38" s="16"/>
      <c r="D38" s="16"/>
      <c r="E38" s="16"/>
      <c r="F38" s="16"/>
      <c r="G38" s="16"/>
      <c r="H38" s="16"/>
      <c r="I38" s="16"/>
      <c r="J38" s="16"/>
      <c r="K38" s="16"/>
      <c r="L38" s="16"/>
      <c r="M38" s="16"/>
      <c r="N38" s="15"/>
      <c r="O38" s="15"/>
    </row>
    <row r="39" spans="1:15" x14ac:dyDescent="0.15">
      <c r="A39" s="16"/>
      <c r="B39" s="16"/>
      <c r="C39" s="16"/>
      <c r="D39" s="16"/>
      <c r="E39" s="16"/>
      <c r="F39" s="16"/>
      <c r="G39" s="16"/>
      <c r="H39" s="16"/>
      <c r="I39" s="16"/>
      <c r="J39" s="16"/>
      <c r="K39" s="16"/>
      <c r="L39" s="16"/>
      <c r="M39" s="16"/>
      <c r="N39" s="15"/>
      <c r="O39" s="15"/>
    </row>
    <row r="40" spans="1:15" x14ac:dyDescent="0.15">
      <c r="A40" s="16"/>
      <c r="B40" s="16"/>
      <c r="C40" s="16"/>
      <c r="D40" s="16"/>
      <c r="E40" s="16"/>
      <c r="F40" s="16"/>
      <c r="G40" s="16"/>
      <c r="H40" s="16"/>
      <c r="I40" s="16"/>
      <c r="J40" s="16"/>
      <c r="K40" s="16"/>
      <c r="L40" s="16"/>
      <c r="M40" s="16"/>
      <c r="N40" s="15"/>
      <c r="O40" s="15"/>
    </row>
    <row r="41" spans="1:15" x14ac:dyDescent="0.15">
      <c r="A41" s="16"/>
      <c r="B41" s="16"/>
      <c r="C41" s="16"/>
      <c r="D41" s="16"/>
      <c r="E41" s="16"/>
      <c r="F41" s="16"/>
      <c r="G41" s="16"/>
      <c r="H41" s="16"/>
      <c r="I41" s="16"/>
      <c r="J41" s="16"/>
      <c r="K41" s="16"/>
      <c r="L41" s="16"/>
      <c r="M41" s="16"/>
      <c r="N41" s="15"/>
      <c r="O41" s="15"/>
    </row>
    <row r="42" spans="1:15" x14ac:dyDescent="0.15">
      <c r="A42" s="16"/>
      <c r="B42" s="16"/>
      <c r="C42" s="16"/>
      <c r="D42" s="16"/>
      <c r="E42" s="16"/>
      <c r="F42" s="16"/>
      <c r="G42" s="16"/>
      <c r="H42" s="16"/>
      <c r="I42" s="16"/>
      <c r="J42" s="16"/>
      <c r="K42" s="16"/>
      <c r="L42" s="16"/>
      <c r="M42" s="16"/>
      <c r="N42" s="15"/>
      <c r="O42" s="15"/>
    </row>
    <row r="43" spans="1:15" x14ac:dyDescent="0.15">
      <c r="A43" s="16"/>
      <c r="B43" s="16"/>
      <c r="C43" s="16"/>
      <c r="D43" s="16"/>
      <c r="E43" s="16"/>
      <c r="F43" s="16"/>
      <c r="G43" s="16"/>
      <c r="H43" s="16"/>
      <c r="I43" s="16"/>
      <c r="J43" s="16"/>
      <c r="K43" s="16"/>
      <c r="L43" s="16"/>
      <c r="M43" s="16"/>
      <c r="N43" s="15"/>
      <c r="O43" s="15"/>
    </row>
    <row r="44" spans="1:15" x14ac:dyDescent="0.15">
      <c r="A44" s="16"/>
      <c r="B44" s="16"/>
      <c r="C44" s="16"/>
      <c r="D44" s="16"/>
      <c r="E44" s="16"/>
      <c r="F44" s="16"/>
      <c r="G44" s="16"/>
      <c r="H44" s="16"/>
      <c r="I44" s="16"/>
      <c r="J44" s="16"/>
      <c r="K44" s="16"/>
      <c r="L44" s="16"/>
      <c r="M44" s="16"/>
      <c r="N44" s="15"/>
      <c r="O44" s="15"/>
    </row>
    <row r="45" spans="1:15" x14ac:dyDescent="0.15">
      <c r="A45" s="16"/>
      <c r="B45" s="16"/>
      <c r="C45" s="16"/>
      <c r="D45" s="16"/>
      <c r="E45" s="16"/>
      <c r="F45" s="16"/>
      <c r="G45" s="16"/>
      <c r="H45" s="16"/>
      <c r="I45" s="16"/>
      <c r="J45" s="16"/>
      <c r="K45" s="16"/>
      <c r="L45" s="16"/>
      <c r="M45" s="16"/>
      <c r="N45" s="15"/>
      <c r="O45" s="15"/>
    </row>
    <row r="46" spans="1:15" x14ac:dyDescent="0.15">
      <c r="A46" s="16"/>
      <c r="B46" s="16"/>
      <c r="C46" s="16"/>
      <c r="D46" s="16"/>
      <c r="E46" s="16"/>
      <c r="F46" s="16"/>
      <c r="G46" s="16"/>
      <c r="H46" s="16"/>
      <c r="I46" s="16"/>
      <c r="J46" s="16"/>
      <c r="K46" s="16"/>
      <c r="L46" s="16"/>
      <c r="M46" s="16"/>
      <c r="N46" s="15"/>
      <c r="O46" s="15"/>
    </row>
    <row r="47" spans="1:15" x14ac:dyDescent="0.15">
      <c r="A47" s="16"/>
      <c r="B47" s="16"/>
      <c r="C47" s="16"/>
      <c r="D47" s="16"/>
      <c r="E47" s="16"/>
      <c r="F47" s="16"/>
      <c r="G47" s="16"/>
      <c r="H47" s="16"/>
      <c r="I47" s="16"/>
      <c r="J47" s="16"/>
      <c r="K47" s="16"/>
      <c r="L47" s="16"/>
      <c r="M47" s="16"/>
      <c r="N47" s="15"/>
      <c r="O47" s="15"/>
    </row>
    <row r="48" spans="1:15" x14ac:dyDescent="0.15">
      <c r="A48" s="16"/>
      <c r="B48" s="16"/>
      <c r="C48" s="16"/>
      <c r="D48" s="16"/>
      <c r="E48" s="16"/>
      <c r="F48" s="16"/>
      <c r="G48" s="16"/>
      <c r="H48" s="16"/>
      <c r="I48" s="16"/>
      <c r="J48" s="16"/>
      <c r="K48" s="16"/>
      <c r="L48" s="16"/>
      <c r="M48" s="16"/>
      <c r="N48" s="15"/>
      <c r="O48" s="15"/>
    </row>
    <row r="49" spans="1:15" x14ac:dyDescent="0.15">
      <c r="A49" s="16"/>
      <c r="B49" s="16"/>
      <c r="C49" s="16"/>
      <c r="D49" s="16"/>
      <c r="E49" s="16"/>
      <c r="F49" s="16"/>
      <c r="G49" s="16"/>
      <c r="H49" s="16"/>
      <c r="I49" s="16"/>
      <c r="J49" s="16"/>
      <c r="K49" s="16"/>
      <c r="L49" s="16"/>
      <c r="M49" s="16"/>
      <c r="N49" s="15"/>
      <c r="O49" s="15"/>
    </row>
    <row r="50" spans="1:15" x14ac:dyDescent="0.15">
      <c r="A50" s="16"/>
      <c r="B50" s="16"/>
      <c r="C50" s="16"/>
      <c r="D50" s="16"/>
      <c r="E50" s="16"/>
      <c r="F50" s="16"/>
      <c r="G50" s="16"/>
      <c r="H50" s="16"/>
      <c r="I50" s="16"/>
      <c r="J50" s="16"/>
      <c r="K50" s="16"/>
      <c r="L50" s="16"/>
      <c r="M50" s="16"/>
      <c r="N50" s="15"/>
      <c r="O50" s="15"/>
    </row>
    <row r="51" spans="1:15" x14ac:dyDescent="0.15">
      <c r="A51" s="16"/>
      <c r="B51" s="16"/>
      <c r="C51" s="16"/>
      <c r="D51" s="16"/>
      <c r="E51" s="16"/>
      <c r="F51" s="16"/>
      <c r="G51" s="16"/>
      <c r="H51" s="16"/>
      <c r="I51" s="16"/>
      <c r="J51" s="16"/>
      <c r="K51" s="16"/>
      <c r="L51" s="16"/>
      <c r="M51" s="16"/>
      <c r="N51" s="15"/>
      <c r="O51" s="15"/>
    </row>
    <row r="52" spans="1:15" x14ac:dyDescent="0.15">
      <c r="A52" s="16"/>
      <c r="B52" s="16"/>
      <c r="C52" s="16"/>
      <c r="D52" s="16"/>
      <c r="E52" s="16"/>
      <c r="F52" s="16"/>
      <c r="G52" s="16"/>
      <c r="H52" s="16"/>
      <c r="I52" s="16"/>
      <c r="J52" s="16"/>
      <c r="K52" s="16"/>
      <c r="L52" s="16"/>
      <c r="M52" s="16"/>
      <c r="N52" s="15"/>
      <c r="O52" s="15"/>
    </row>
    <row r="53" spans="1:15" x14ac:dyDescent="0.15">
      <c r="A53" s="16"/>
      <c r="B53" s="16"/>
      <c r="C53" s="16"/>
      <c r="D53" s="16"/>
      <c r="E53" s="16"/>
      <c r="F53" s="16"/>
      <c r="G53" s="16"/>
      <c r="H53" s="16"/>
      <c r="I53" s="16"/>
      <c r="J53" s="16"/>
      <c r="K53" s="16"/>
      <c r="L53" s="16"/>
      <c r="M53" s="16"/>
      <c r="N53" s="15"/>
      <c r="O53" s="15"/>
    </row>
    <row r="54" spans="1:15" x14ac:dyDescent="0.15">
      <c r="A54" s="16"/>
      <c r="B54" s="16"/>
      <c r="C54" s="16"/>
      <c r="D54" s="16"/>
      <c r="E54" s="16"/>
      <c r="F54" s="16"/>
      <c r="G54" s="16"/>
      <c r="H54" s="16"/>
      <c r="I54" s="16"/>
      <c r="J54" s="16"/>
      <c r="K54" s="16"/>
      <c r="L54" s="16"/>
      <c r="M54" s="16"/>
      <c r="N54" s="15"/>
      <c r="O54" s="15"/>
    </row>
    <row r="55" spans="1:15" x14ac:dyDescent="0.15">
      <c r="A55" s="16"/>
      <c r="B55" s="16"/>
      <c r="C55" s="16"/>
      <c r="D55" s="16"/>
      <c r="E55" s="16"/>
      <c r="F55" s="16"/>
      <c r="G55" s="16"/>
      <c r="H55" s="16"/>
      <c r="I55" s="16"/>
      <c r="J55" s="16"/>
      <c r="K55" s="16"/>
      <c r="L55" s="16"/>
      <c r="M55" s="16"/>
      <c r="N55" s="15"/>
      <c r="O55" s="15"/>
    </row>
    <row r="56" spans="1:15" x14ac:dyDescent="0.15">
      <c r="A56" s="15"/>
      <c r="B56" s="15"/>
      <c r="C56" s="15"/>
      <c r="D56" s="15"/>
      <c r="E56" s="15"/>
      <c r="F56" s="15"/>
      <c r="G56" s="15"/>
      <c r="H56" s="15"/>
      <c r="I56" s="15"/>
      <c r="J56" s="15"/>
      <c r="K56" s="15"/>
      <c r="L56" s="15"/>
      <c r="M56" s="15"/>
      <c r="N56" s="15"/>
      <c r="O56" s="15"/>
    </row>
    <row r="57" spans="1:15" x14ac:dyDescent="0.15">
      <c r="A57" s="15"/>
      <c r="B57" s="15"/>
      <c r="C57" s="15"/>
      <c r="D57" s="15"/>
      <c r="E57" s="15"/>
      <c r="F57" s="15"/>
      <c r="G57" s="15"/>
      <c r="H57" s="15"/>
      <c r="I57" s="15"/>
      <c r="J57" s="15"/>
      <c r="K57" s="15"/>
      <c r="L57" s="15"/>
      <c r="M57" s="15"/>
      <c r="N57" s="15"/>
      <c r="O57" s="15"/>
    </row>
  </sheetData>
  <autoFilter ref="C6:K7" xr:uid="{D7FF04AC-859B-B74D-B2B9-C7088044FF23}">
    <filterColumn colId="0" showButton="0"/>
    <filterColumn colId="4" showButton="0"/>
    <filterColumn colId="6" showButton="0"/>
    <filterColumn colId="7" showButton="0"/>
  </autoFilter>
  <mergeCells count="11">
    <mergeCell ref="A2:O4"/>
    <mergeCell ref="I35:M35"/>
    <mergeCell ref="A35:H35"/>
    <mergeCell ref="A9:H9"/>
    <mergeCell ref="I9:M9"/>
    <mergeCell ref="I6:K6"/>
    <mergeCell ref="I7:K7"/>
    <mergeCell ref="C7:D7"/>
    <mergeCell ref="G7:H7"/>
    <mergeCell ref="G6:H6"/>
    <mergeCell ref="C6:D6"/>
  </mergeCells>
  <pageMargins left="0.25" right="0.25" top="0.75" bottom="0.75" header="0.3" footer="0.3"/>
  <pageSetup paperSize="9" orientation="landscape" horizontalDpi="0" verticalDpi="0"/>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001"/>
  <sheetViews>
    <sheetView workbookViewId="0">
      <selection activeCell="L2" sqref="L2"/>
    </sheetView>
  </sheetViews>
  <sheetFormatPr baseColWidth="10" defaultColWidth="8.83203125" defaultRowHeight="15" x14ac:dyDescent="0.15"/>
  <cols>
    <col min="1" max="1" width="13.1640625" style="1" customWidth="1"/>
    <col min="2" max="2" width="15.1640625" style="2" customWidth="1"/>
    <col min="3" max="3" width="11.5" style="1" customWidth="1"/>
    <col min="4" max="4" width="13" style="1" customWidth="1"/>
    <col min="5" max="5" width="16.6640625" style="1" customWidth="1"/>
    <col min="6" max="6" width="15.33203125" style="1" customWidth="1"/>
    <col min="7" max="7" width="11" style="4" customWidth="1"/>
    <col min="8" max="9" width="13" style="1" customWidth="1"/>
    <col min="10" max="10" width="12.6640625" style="4" customWidth="1"/>
    <col min="12" max="12" width="16.33203125" style="10" customWidth="1"/>
    <col min="13" max="13" width="18.1640625" customWidth="1"/>
  </cols>
  <sheetData>
    <row r="1" spans="1:12" ht="14" x14ac:dyDescent="0.15">
      <c r="A1" s="5" t="s">
        <v>0</v>
      </c>
      <c r="B1" s="6" t="s">
        <v>1</v>
      </c>
      <c r="C1" s="5" t="s">
        <v>2</v>
      </c>
      <c r="D1" s="5" t="s">
        <v>3</v>
      </c>
      <c r="E1" s="5" t="s">
        <v>4</v>
      </c>
      <c r="F1" s="5" t="s">
        <v>5</v>
      </c>
      <c r="G1" s="7" t="s">
        <v>6</v>
      </c>
      <c r="H1" s="5" t="s">
        <v>7</v>
      </c>
      <c r="I1" s="5" t="s">
        <v>26</v>
      </c>
      <c r="J1" s="5" t="s">
        <v>27</v>
      </c>
      <c r="K1" s="7" t="s">
        <v>8</v>
      </c>
      <c r="L1" s="8" t="s">
        <v>28</v>
      </c>
    </row>
    <row r="2" spans="1:12" ht="14" x14ac:dyDescent="0.15">
      <c r="A2" s="1">
        <v>10001</v>
      </c>
      <c r="B2" s="2">
        <v>44562</v>
      </c>
      <c r="C2" s="1" t="s">
        <v>9</v>
      </c>
      <c r="D2" s="1" t="s">
        <v>13</v>
      </c>
      <c r="E2" s="1" t="s">
        <v>16</v>
      </c>
      <c r="F2" s="1" t="s">
        <v>21</v>
      </c>
      <c r="G2" s="4">
        <v>843.23</v>
      </c>
      <c r="H2" s="1">
        <v>5</v>
      </c>
      <c r="I2" s="1" t="str">
        <f>TEXT(SalesTable[[#This Row],[Order_Date]],"mmm")</f>
        <v>Jan</v>
      </c>
      <c r="J2" s="1">
        <f>YEAR(SalesTable[[#This Row],[Order_Date]])</f>
        <v>2022</v>
      </c>
      <c r="K2" s="4">
        <v>50.38</v>
      </c>
      <c r="L2" s="9">
        <f>SalesTable[[#This Row],[Profit]]/SalesTable[[#This Row],[Sales]]</f>
        <v>5.9746451146187873E-2</v>
      </c>
    </row>
    <row r="3" spans="1:12" ht="14" x14ac:dyDescent="0.15">
      <c r="A3" s="1">
        <v>10002</v>
      </c>
      <c r="B3" s="2">
        <v>44563</v>
      </c>
      <c r="C3" s="1" t="s">
        <v>10</v>
      </c>
      <c r="D3" s="1" t="s">
        <v>14</v>
      </c>
      <c r="E3" s="1" t="s">
        <v>16</v>
      </c>
      <c r="F3" s="1" t="s">
        <v>22</v>
      </c>
      <c r="G3" s="4">
        <v>724.83</v>
      </c>
      <c r="H3" s="1">
        <v>9</v>
      </c>
      <c r="I3" s="1" t="str">
        <f>TEXT(SalesTable[[#This Row],[Order_Date]],"mmm")</f>
        <v>Jan</v>
      </c>
      <c r="J3" s="1">
        <f>YEAR(SalesTable[[#This Row],[Order_Date]])</f>
        <v>2022</v>
      </c>
      <c r="K3" s="4">
        <v>113.95</v>
      </c>
      <c r="L3" s="9">
        <f>SalesTable[[#This Row],[Profit]]/SalesTable[[#This Row],[Sales]]</f>
        <v>0.15720927665797496</v>
      </c>
    </row>
    <row r="4" spans="1:12" ht="14" x14ac:dyDescent="0.15">
      <c r="A4" s="1">
        <v>10003</v>
      </c>
      <c r="B4" s="2">
        <v>44564</v>
      </c>
      <c r="C4" s="1" t="s">
        <v>11</v>
      </c>
      <c r="D4" s="1" t="s">
        <v>13</v>
      </c>
      <c r="E4" s="1" t="s">
        <v>17</v>
      </c>
      <c r="F4" s="1" t="s">
        <v>21</v>
      </c>
      <c r="G4" s="4">
        <v>156.88</v>
      </c>
      <c r="H4" s="1">
        <v>1</v>
      </c>
      <c r="I4" s="1" t="str">
        <f>TEXT(SalesTable[[#This Row],[Order_Date]],"mmm")</f>
        <v>Jan</v>
      </c>
      <c r="J4" s="1">
        <f>YEAR(SalesTable[[#This Row],[Order_Date]])</f>
        <v>2022</v>
      </c>
      <c r="K4" s="4">
        <v>250.64</v>
      </c>
      <c r="L4" s="9">
        <f>SalesTable[[#This Row],[Profit]]/SalesTable[[#This Row],[Sales]]</f>
        <v>1.5976542580316164</v>
      </c>
    </row>
    <row r="5" spans="1:12" ht="14" x14ac:dyDescent="0.15">
      <c r="A5" s="1">
        <v>10004</v>
      </c>
      <c r="B5" s="2">
        <v>44565</v>
      </c>
      <c r="C5" s="1" t="s">
        <v>9</v>
      </c>
      <c r="D5" s="1" t="s">
        <v>13</v>
      </c>
      <c r="E5" s="1" t="s">
        <v>17</v>
      </c>
      <c r="F5" s="1" t="s">
        <v>23</v>
      </c>
      <c r="G5" s="4">
        <v>749.12</v>
      </c>
      <c r="H5" s="1">
        <v>4</v>
      </c>
      <c r="I5" s="1" t="str">
        <f>TEXT(SalesTable[[#This Row],[Order_Date]],"mmm")</f>
        <v>Jan</v>
      </c>
      <c r="J5" s="1">
        <f>YEAR(SalesTable[[#This Row],[Order_Date]])</f>
        <v>2022</v>
      </c>
      <c r="K5" s="4">
        <v>264.99</v>
      </c>
      <c r="L5" s="9">
        <f>SalesTable[[#This Row],[Profit]]/SalesTable[[#This Row],[Sales]]</f>
        <v>0.35373504912430587</v>
      </c>
    </row>
    <row r="6" spans="1:12" ht="14" x14ac:dyDescent="0.15">
      <c r="A6" s="1">
        <v>10005</v>
      </c>
      <c r="B6" s="2">
        <v>44566</v>
      </c>
      <c r="C6" s="1" t="s">
        <v>9</v>
      </c>
      <c r="D6" s="1" t="s">
        <v>15</v>
      </c>
      <c r="E6" s="1" t="s">
        <v>18</v>
      </c>
      <c r="F6" s="1" t="s">
        <v>21</v>
      </c>
      <c r="G6" s="4">
        <v>311.33999999999997</v>
      </c>
      <c r="H6" s="1">
        <v>6</v>
      </c>
      <c r="I6" s="1" t="str">
        <f>TEXT(SalesTable[[#This Row],[Order_Date]],"mmm")</f>
        <v>Jan</v>
      </c>
      <c r="J6" s="1">
        <f>YEAR(SalesTable[[#This Row],[Order_Date]])</f>
        <v>2022</v>
      </c>
      <c r="K6" s="4">
        <v>6.39</v>
      </c>
      <c r="L6" s="9">
        <f>SalesTable[[#This Row],[Profit]]/SalesTable[[#This Row],[Sales]]</f>
        <v>2.0524185777606476E-2</v>
      </c>
    </row>
    <row r="7" spans="1:12" ht="14" x14ac:dyDescent="0.15">
      <c r="A7" s="1">
        <v>10006</v>
      </c>
      <c r="B7" s="2">
        <v>44567</v>
      </c>
      <c r="C7" s="1" t="s">
        <v>10</v>
      </c>
      <c r="D7" s="1" t="s">
        <v>15</v>
      </c>
      <c r="E7" s="1" t="s">
        <v>16</v>
      </c>
      <c r="F7" s="1" t="s">
        <v>24</v>
      </c>
      <c r="G7" s="4">
        <v>657.15</v>
      </c>
      <c r="H7" s="1">
        <v>8</v>
      </c>
      <c r="I7" s="1" t="str">
        <f>TEXT(SalesTable[[#This Row],[Order_Date]],"mmm")</f>
        <v>Jan</v>
      </c>
      <c r="J7" s="1">
        <f>YEAR(SalesTable[[#This Row],[Order_Date]])</f>
        <v>2022</v>
      </c>
      <c r="K7" s="4">
        <v>84.86</v>
      </c>
      <c r="L7" s="9">
        <f>SalesTable[[#This Row],[Profit]]/SalesTable[[#This Row],[Sales]]</f>
        <v>0.12913337898501104</v>
      </c>
    </row>
    <row r="8" spans="1:12" ht="14" x14ac:dyDescent="0.15">
      <c r="A8" s="1">
        <v>10007</v>
      </c>
      <c r="B8" s="2">
        <v>44568</v>
      </c>
      <c r="C8" s="1" t="s">
        <v>11</v>
      </c>
      <c r="D8" s="1" t="s">
        <v>13</v>
      </c>
      <c r="E8" s="1" t="s">
        <v>16</v>
      </c>
      <c r="F8" s="1" t="s">
        <v>21</v>
      </c>
      <c r="G8" s="4">
        <v>373.91</v>
      </c>
      <c r="H8" s="1">
        <v>3</v>
      </c>
      <c r="I8" s="1" t="str">
        <f>TEXT(SalesTable[[#This Row],[Order_Date]],"mmm")</f>
        <v>Jan</v>
      </c>
      <c r="J8" s="1">
        <f>YEAR(SalesTable[[#This Row],[Order_Date]])</f>
        <v>2022</v>
      </c>
      <c r="K8" s="4">
        <v>119.66</v>
      </c>
      <c r="L8" s="9">
        <f>SalesTable[[#This Row],[Profit]]/SalesTable[[#This Row],[Sales]]</f>
        <v>0.32002353507528547</v>
      </c>
    </row>
    <row r="9" spans="1:12" ht="14" x14ac:dyDescent="0.15">
      <c r="A9" s="1">
        <v>10008</v>
      </c>
      <c r="B9" s="2">
        <v>44569</v>
      </c>
      <c r="C9" s="1" t="s">
        <v>11</v>
      </c>
      <c r="D9" s="1" t="s">
        <v>15</v>
      </c>
      <c r="E9" s="1" t="s">
        <v>17</v>
      </c>
      <c r="F9" s="1" t="s">
        <v>23</v>
      </c>
      <c r="G9" s="4">
        <v>997.79</v>
      </c>
      <c r="H9" s="1">
        <v>5</v>
      </c>
      <c r="I9" s="1" t="str">
        <f>TEXT(SalesTable[[#This Row],[Order_Date]],"mmm")</f>
        <v>Jan</v>
      </c>
      <c r="J9" s="1">
        <f>YEAR(SalesTable[[#This Row],[Order_Date]])</f>
        <v>2022</v>
      </c>
      <c r="K9" s="4">
        <v>279.64</v>
      </c>
      <c r="L9" s="9">
        <f>SalesTable[[#This Row],[Profit]]/SalesTable[[#This Row],[Sales]]</f>
        <v>0.28025937321480471</v>
      </c>
    </row>
    <row r="10" spans="1:12" ht="14" x14ac:dyDescent="0.15">
      <c r="A10" s="1">
        <v>10009</v>
      </c>
      <c r="B10" s="2">
        <v>44570</v>
      </c>
      <c r="C10" s="1" t="s">
        <v>9</v>
      </c>
      <c r="D10" s="1" t="s">
        <v>14</v>
      </c>
      <c r="E10" s="1" t="s">
        <v>19</v>
      </c>
      <c r="F10" s="1" t="s">
        <v>22</v>
      </c>
      <c r="G10" s="4">
        <v>300.37</v>
      </c>
      <c r="H10" s="1">
        <v>7</v>
      </c>
      <c r="I10" s="1" t="str">
        <f>TEXT(SalesTable[[#This Row],[Order_Date]],"mmm")</f>
        <v>Jan</v>
      </c>
      <c r="J10" s="1">
        <f>YEAR(SalesTable[[#This Row],[Order_Date]])</f>
        <v>2022</v>
      </c>
      <c r="K10" s="4">
        <v>299.45</v>
      </c>
      <c r="L10" s="9">
        <f>SalesTable[[#This Row],[Profit]]/SalesTable[[#This Row],[Sales]]</f>
        <v>0.9969371108965609</v>
      </c>
    </row>
    <row r="11" spans="1:12" ht="14" x14ac:dyDescent="0.15">
      <c r="A11" s="1">
        <v>10010</v>
      </c>
      <c r="B11" s="2">
        <v>44571</v>
      </c>
      <c r="C11" s="1" t="s">
        <v>12</v>
      </c>
      <c r="D11" s="1" t="s">
        <v>14</v>
      </c>
      <c r="E11" s="1" t="s">
        <v>19</v>
      </c>
      <c r="F11" s="1" t="s">
        <v>25</v>
      </c>
      <c r="G11" s="4">
        <v>315.17</v>
      </c>
      <c r="H11" s="1">
        <v>1</v>
      </c>
      <c r="I11" s="1" t="str">
        <f>TEXT(SalesTable[[#This Row],[Order_Date]],"mmm")</f>
        <v>Jan</v>
      </c>
      <c r="J11" s="1">
        <f>YEAR(SalesTable[[#This Row],[Order_Date]])</f>
        <v>2022</v>
      </c>
      <c r="K11" s="4">
        <v>-5.84</v>
      </c>
      <c r="L11" s="9">
        <f>SalesTable[[#This Row],[Profit]]/SalesTable[[#This Row],[Sales]]</f>
        <v>-1.8529682393628833E-2</v>
      </c>
    </row>
    <row r="12" spans="1:12" ht="14" x14ac:dyDescent="0.15">
      <c r="A12" s="1">
        <v>10011</v>
      </c>
      <c r="B12" s="2">
        <v>44572</v>
      </c>
      <c r="C12" s="1" t="s">
        <v>9</v>
      </c>
      <c r="D12" s="1" t="s">
        <v>15</v>
      </c>
      <c r="E12" s="1" t="s">
        <v>20</v>
      </c>
      <c r="F12" s="1" t="s">
        <v>21</v>
      </c>
      <c r="G12" s="4">
        <v>934.14</v>
      </c>
      <c r="H12" s="1">
        <v>7</v>
      </c>
      <c r="I12" s="1" t="str">
        <f>TEXT(SalesTable[[#This Row],[Order_Date]],"mmm")</f>
        <v>Jan</v>
      </c>
      <c r="J12" s="1">
        <f>YEAR(SalesTable[[#This Row],[Order_Date]])</f>
        <v>2022</v>
      </c>
      <c r="K12" s="4">
        <v>190.79</v>
      </c>
      <c r="L12" s="9">
        <f>SalesTable[[#This Row],[Profit]]/SalesTable[[#This Row],[Sales]]</f>
        <v>0.20424133427537627</v>
      </c>
    </row>
    <row r="13" spans="1:12" ht="14" x14ac:dyDescent="0.15">
      <c r="A13" s="1">
        <v>10012</v>
      </c>
      <c r="B13" s="2">
        <v>44573</v>
      </c>
      <c r="C13" s="1" t="s">
        <v>9</v>
      </c>
      <c r="D13" s="1" t="s">
        <v>14</v>
      </c>
      <c r="E13" s="1" t="s">
        <v>17</v>
      </c>
      <c r="F13" s="1" t="s">
        <v>23</v>
      </c>
      <c r="G13" s="4">
        <v>73.41</v>
      </c>
      <c r="H13" s="1">
        <v>8</v>
      </c>
      <c r="I13" s="1" t="str">
        <f>TEXT(SalesTable[[#This Row],[Order_Date]],"mmm")</f>
        <v>Jan</v>
      </c>
      <c r="J13" s="1">
        <f>YEAR(SalesTable[[#This Row],[Order_Date]])</f>
        <v>2022</v>
      </c>
      <c r="K13" s="4">
        <v>51.21</v>
      </c>
      <c r="L13" s="9">
        <f>SalesTable[[#This Row],[Profit]]/SalesTable[[#This Row],[Sales]]</f>
        <v>0.69758888434818145</v>
      </c>
    </row>
    <row r="14" spans="1:12" ht="14" x14ac:dyDescent="0.15">
      <c r="A14" s="1">
        <v>10013</v>
      </c>
      <c r="B14" s="2">
        <v>44574</v>
      </c>
      <c r="C14" s="1" t="s">
        <v>9</v>
      </c>
      <c r="D14" s="1" t="s">
        <v>15</v>
      </c>
      <c r="E14" s="1" t="s">
        <v>20</v>
      </c>
      <c r="F14" s="1" t="s">
        <v>25</v>
      </c>
      <c r="G14" s="4">
        <v>711.85</v>
      </c>
      <c r="H14" s="1">
        <v>8</v>
      </c>
      <c r="I14" s="1" t="str">
        <f>TEXT(SalesTable[[#This Row],[Order_Date]],"mmm")</f>
        <v>Jan</v>
      </c>
      <c r="J14" s="1">
        <f>YEAR(SalesTable[[#This Row],[Order_Date]])</f>
        <v>2022</v>
      </c>
      <c r="K14" s="4">
        <v>-96.76</v>
      </c>
      <c r="L14" s="9">
        <f>SalesTable[[#This Row],[Profit]]/SalesTable[[#This Row],[Sales]]</f>
        <v>-0.13592751281871182</v>
      </c>
    </row>
    <row r="15" spans="1:12" ht="14" x14ac:dyDescent="0.15">
      <c r="A15" s="1">
        <v>10014</v>
      </c>
      <c r="B15" s="2">
        <v>44575</v>
      </c>
      <c r="C15" s="1" t="s">
        <v>9</v>
      </c>
      <c r="D15" s="1" t="s">
        <v>13</v>
      </c>
      <c r="E15" s="1" t="s">
        <v>17</v>
      </c>
      <c r="F15" s="1" t="s">
        <v>25</v>
      </c>
      <c r="G15" s="4">
        <v>739.06</v>
      </c>
      <c r="H15" s="1">
        <v>9</v>
      </c>
      <c r="I15" s="1" t="str">
        <f>TEXT(SalesTable[[#This Row],[Order_Date]],"mmm")</f>
        <v>Jan</v>
      </c>
      <c r="J15" s="1">
        <f>YEAR(SalesTable[[#This Row],[Order_Date]])</f>
        <v>2022</v>
      </c>
      <c r="K15" s="4">
        <v>-96.3</v>
      </c>
      <c r="L15" s="9">
        <f>SalesTable[[#This Row],[Profit]]/SalesTable[[#This Row],[Sales]]</f>
        <v>-0.13030065217979597</v>
      </c>
    </row>
    <row r="16" spans="1:12" ht="14" x14ac:dyDescent="0.15">
      <c r="A16" s="1">
        <v>10015</v>
      </c>
      <c r="B16" s="2">
        <v>44576</v>
      </c>
      <c r="C16" s="1" t="s">
        <v>10</v>
      </c>
      <c r="D16" s="1" t="s">
        <v>13</v>
      </c>
      <c r="E16" s="1" t="s">
        <v>18</v>
      </c>
      <c r="F16" s="1" t="s">
        <v>24</v>
      </c>
      <c r="G16" s="4">
        <v>844.56</v>
      </c>
      <c r="H16" s="1">
        <v>6</v>
      </c>
      <c r="I16" s="1" t="str">
        <f>TEXT(SalesTable[[#This Row],[Order_Date]],"mmm")</f>
        <v>Jan</v>
      </c>
      <c r="J16" s="1">
        <f>YEAR(SalesTable[[#This Row],[Order_Date]])</f>
        <v>2022</v>
      </c>
      <c r="K16" s="4">
        <v>84.23</v>
      </c>
      <c r="L16" s="9">
        <f>SalesTable[[#This Row],[Profit]]/SalesTable[[#This Row],[Sales]]</f>
        <v>9.9732405039310426E-2</v>
      </c>
    </row>
    <row r="17" spans="1:12" ht="14" x14ac:dyDescent="0.15">
      <c r="A17" s="1">
        <v>10016</v>
      </c>
      <c r="B17" s="2">
        <v>44577</v>
      </c>
      <c r="C17" s="1" t="s">
        <v>11</v>
      </c>
      <c r="D17" s="1" t="s">
        <v>14</v>
      </c>
      <c r="E17" s="1" t="s">
        <v>16</v>
      </c>
      <c r="F17" s="1" t="s">
        <v>25</v>
      </c>
      <c r="G17" s="4">
        <v>975.72</v>
      </c>
      <c r="H17" s="1">
        <v>6</v>
      </c>
      <c r="I17" s="1" t="str">
        <f>TEXT(SalesTable[[#This Row],[Order_Date]],"mmm")</f>
        <v>Jan</v>
      </c>
      <c r="J17" s="1">
        <f>YEAR(SalesTable[[#This Row],[Order_Date]])</f>
        <v>2022</v>
      </c>
      <c r="K17" s="4">
        <v>95.33</v>
      </c>
      <c r="L17" s="9">
        <f>SalesTable[[#This Row],[Profit]]/SalesTable[[#This Row],[Sales]]</f>
        <v>9.7702209650309513E-2</v>
      </c>
    </row>
    <row r="18" spans="1:12" ht="14" x14ac:dyDescent="0.15">
      <c r="A18" s="1">
        <v>10017</v>
      </c>
      <c r="B18" s="2">
        <v>44578</v>
      </c>
      <c r="C18" s="1" t="s">
        <v>10</v>
      </c>
      <c r="D18" s="1" t="s">
        <v>15</v>
      </c>
      <c r="E18" s="1" t="s">
        <v>18</v>
      </c>
      <c r="F18" s="1" t="s">
        <v>23</v>
      </c>
      <c r="G18" s="4">
        <v>976.82</v>
      </c>
      <c r="H18" s="1">
        <v>2</v>
      </c>
      <c r="I18" s="1" t="str">
        <f>TEXT(SalesTable[[#This Row],[Order_Date]],"mmm")</f>
        <v>Jan</v>
      </c>
      <c r="J18" s="1">
        <f>YEAR(SalesTable[[#This Row],[Order_Date]])</f>
        <v>2022</v>
      </c>
      <c r="K18" s="4">
        <v>-90.97</v>
      </c>
      <c r="L18" s="9">
        <f>SalesTable[[#This Row],[Profit]]/SalesTable[[#This Row],[Sales]]</f>
        <v>-9.3128723818103637E-2</v>
      </c>
    </row>
    <row r="19" spans="1:12" ht="14" x14ac:dyDescent="0.15">
      <c r="A19" s="1">
        <v>10018</v>
      </c>
      <c r="B19" s="2">
        <v>44579</v>
      </c>
      <c r="C19" s="1" t="s">
        <v>10</v>
      </c>
      <c r="D19" s="1" t="s">
        <v>15</v>
      </c>
      <c r="E19" s="1" t="s">
        <v>17</v>
      </c>
      <c r="F19" s="1" t="s">
        <v>23</v>
      </c>
      <c r="G19" s="4">
        <v>112.01</v>
      </c>
      <c r="H19" s="1">
        <v>3</v>
      </c>
      <c r="I19" s="1" t="str">
        <f>TEXT(SalesTable[[#This Row],[Order_Date]],"mmm")</f>
        <v>Jan</v>
      </c>
      <c r="J19" s="1">
        <f>YEAR(SalesTable[[#This Row],[Order_Date]])</f>
        <v>2022</v>
      </c>
      <c r="K19" s="4">
        <v>174.77</v>
      </c>
      <c r="L19" s="9">
        <f>SalesTable[[#This Row],[Profit]]/SalesTable[[#This Row],[Sales]]</f>
        <v>1.5603071154361219</v>
      </c>
    </row>
    <row r="20" spans="1:12" ht="14" x14ac:dyDescent="0.15">
      <c r="A20" s="1">
        <v>10019</v>
      </c>
      <c r="B20" s="2">
        <v>44580</v>
      </c>
      <c r="C20" s="1" t="s">
        <v>10</v>
      </c>
      <c r="D20" s="1" t="s">
        <v>14</v>
      </c>
      <c r="E20" s="1" t="s">
        <v>16</v>
      </c>
      <c r="F20" s="1" t="s">
        <v>21</v>
      </c>
      <c r="G20" s="4">
        <v>830.75</v>
      </c>
      <c r="H20" s="1">
        <v>4</v>
      </c>
      <c r="I20" s="1" t="str">
        <f>TEXT(SalesTable[[#This Row],[Order_Date]],"mmm")</f>
        <v>Jan</v>
      </c>
      <c r="J20" s="1">
        <f>YEAR(SalesTable[[#This Row],[Order_Date]])</f>
        <v>2022</v>
      </c>
      <c r="K20" s="4">
        <v>17.600000000000001</v>
      </c>
      <c r="L20" s="9">
        <f>SalesTable[[#This Row],[Profit]]/SalesTable[[#This Row],[Sales]]</f>
        <v>2.1185675594342462E-2</v>
      </c>
    </row>
    <row r="21" spans="1:12" ht="14" x14ac:dyDescent="0.15">
      <c r="A21" s="1">
        <v>10020</v>
      </c>
      <c r="B21" s="2">
        <v>44581</v>
      </c>
      <c r="C21" s="1" t="s">
        <v>9</v>
      </c>
      <c r="D21" s="1" t="s">
        <v>13</v>
      </c>
      <c r="E21" s="1" t="s">
        <v>19</v>
      </c>
      <c r="F21" s="1" t="s">
        <v>21</v>
      </c>
      <c r="G21" s="4">
        <v>663.99</v>
      </c>
      <c r="H21" s="1">
        <v>4</v>
      </c>
      <c r="I21" s="1" t="str">
        <f>TEXT(SalesTable[[#This Row],[Order_Date]],"mmm")</f>
        <v>Jan</v>
      </c>
      <c r="J21" s="1">
        <f>YEAR(SalesTable[[#This Row],[Order_Date]])</f>
        <v>2022</v>
      </c>
      <c r="K21" s="4">
        <v>123.96</v>
      </c>
      <c r="L21" s="9">
        <f>SalesTable[[#This Row],[Profit]]/SalesTable[[#This Row],[Sales]]</f>
        <v>0.1866895585776894</v>
      </c>
    </row>
    <row r="22" spans="1:12" ht="14" x14ac:dyDescent="0.15">
      <c r="A22" s="1">
        <v>10021</v>
      </c>
      <c r="B22" s="2">
        <v>44582</v>
      </c>
      <c r="C22" s="1" t="s">
        <v>12</v>
      </c>
      <c r="D22" s="1" t="s">
        <v>14</v>
      </c>
      <c r="E22" s="1" t="s">
        <v>19</v>
      </c>
      <c r="F22" s="1" t="s">
        <v>21</v>
      </c>
      <c r="G22" s="4">
        <v>664.98</v>
      </c>
      <c r="H22" s="1">
        <v>8</v>
      </c>
      <c r="I22" s="1" t="str">
        <f>TEXT(SalesTable[[#This Row],[Order_Date]],"mmm")</f>
        <v>Jan</v>
      </c>
      <c r="J22" s="1">
        <f>YEAR(SalesTable[[#This Row],[Order_Date]])</f>
        <v>2022</v>
      </c>
      <c r="K22" s="4">
        <v>20.37</v>
      </c>
      <c r="L22" s="9">
        <f>SalesTable[[#This Row],[Profit]]/SalesTable[[#This Row],[Sales]]</f>
        <v>3.0632500225570694E-2</v>
      </c>
    </row>
    <row r="23" spans="1:12" ht="14" x14ac:dyDescent="0.15">
      <c r="A23" s="1">
        <v>10022</v>
      </c>
      <c r="B23" s="2">
        <v>44583</v>
      </c>
      <c r="C23" s="1" t="s">
        <v>11</v>
      </c>
      <c r="D23" s="1" t="s">
        <v>13</v>
      </c>
      <c r="E23" s="1" t="s">
        <v>20</v>
      </c>
      <c r="F23" s="1" t="s">
        <v>25</v>
      </c>
      <c r="G23" s="4">
        <v>171.93</v>
      </c>
      <c r="H23" s="1">
        <v>1</v>
      </c>
      <c r="I23" s="1" t="str">
        <f>TEXT(SalesTable[[#This Row],[Order_Date]],"mmm")</f>
        <v>Jan</v>
      </c>
      <c r="J23" s="1">
        <f>YEAR(SalesTable[[#This Row],[Order_Date]])</f>
        <v>2022</v>
      </c>
      <c r="K23" s="4">
        <v>-33.15</v>
      </c>
      <c r="L23" s="9">
        <f>SalesTable[[#This Row],[Profit]]/SalesTable[[#This Row],[Sales]]</f>
        <v>-0.19281102774384923</v>
      </c>
    </row>
    <row r="24" spans="1:12" ht="14" x14ac:dyDescent="0.15">
      <c r="A24" s="1">
        <v>10023</v>
      </c>
      <c r="B24" s="2">
        <v>44584</v>
      </c>
      <c r="C24" s="1" t="s">
        <v>12</v>
      </c>
      <c r="D24" s="1" t="s">
        <v>15</v>
      </c>
      <c r="E24" s="1" t="s">
        <v>17</v>
      </c>
      <c r="F24" s="1" t="s">
        <v>25</v>
      </c>
      <c r="G24" s="4">
        <v>667.68</v>
      </c>
      <c r="H24" s="1">
        <v>4</v>
      </c>
      <c r="I24" s="1" t="str">
        <f>TEXT(SalesTable[[#This Row],[Order_Date]],"mmm")</f>
        <v>Jan</v>
      </c>
      <c r="J24" s="1">
        <f>YEAR(SalesTable[[#This Row],[Order_Date]])</f>
        <v>2022</v>
      </c>
      <c r="K24" s="4">
        <v>62.87</v>
      </c>
      <c r="L24" s="9">
        <f>SalesTable[[#This Row],[Profit]]/SalesTable[[#This Row],[Sales]]</f>
        <v>9.4161873951593575E-2</v>
      </c>
    </row>
    <row r="25" spans="1:12" ht="14" x14ac:dyDescent="0.15">
      <c r="A25" s="1">
        <v>10024</v>
      </c>
      <c r="B25" s="2">
        <v>44585</v>
      </c>
      <c r="C25" s="1" t="s">
        <v>10</v>
      </c>
      <c r="D25" s="1" t="s">
        <v>13</v>
      </c>
      <c r="E25" s="1" t="s">
        <v>17</v>
      </c>
      <c r="F25" s="1" t="s">
        <v>24</v>
      </c>
      <c r="G25" s="4">
        <v>983.36</v>
      </c>
      <c r="H25" s="1">
        <v>4</v>
      </c>
      <c r="I25" s="1" t="str">
        <f>TEXT(SalesTable[[#This Row],[Order_Date]],"mmm")</f>
        <v>Jan</v>
      </c>
      <c r="J25" s="1">
        <f>YEAR(SalesTable[[#This Row],[Order_Date]])</f>
        <v>2022</v>
      </c>
      <c r="K25" s="4">
        <v>-7.09</v>
      </c>
      <c r="L25" s="9">
        <f>SalesTable[[#This Row],[Profit]]/SalesTable[[#This Row],[Sales]]</f>
        <v>-7.2099739668076797E-3</v>
      </c>
    </row>
    <row r="26" spans="1:12" ht="14" x14ac:dyDescent="0.15">
      <c r="A26" s="1">
        <v>10025</v>
      </c>
      <c r="B26" s="2">
        <v>44586</v>
      </c>
      <c r="C26" s="1" t="s">
        <v>10</v>
      </c>
      <c r="D26" s="1" t="s">
        <v>14</v>
      </c>
      <c r="E26" s="1" t="s">
        <v>19</v>
      </c>
      <c r="F26" s="1" t="s">
        <v>21</v>
      </c>
      <c r="G26" s="4">
        <v>916.23</v>
      </c>
      <c r="H26" s="1">
        <v>1</v>
      </c>
      <c r="I26" s="1" t="str">
        <f>TEXT(SalesTable[[#This Row],[Order_Date]],"mmm")</f>
        <v>Jan</v>
      </c>
      <c r="J26" s="1">
        <f>YEAR(SalesTable[[#This Row],[Order_Date]])</f>
        <v>2022</v>
      </c>
      <c r="K26" s="4">
        <v>113.92</v>
      </c>
      <c r="L26" s="9">
        <f>SalesTable[[#This Row],[Profit]]/SalesTable[[#This Row],[Sales]]</f>
        <v>0.1243355925913799</v>
      </c>
    </row>
    <row r="27" spans="1:12" ht="14" x14ac:dyDescent="0.15">
      <c r="A27" s="1">
        <v>10026</v>
      </c>
      <c r="B27" s="2">
        <v>44587</v>
      </c>
      <c r="C27" s="1" t="s">
        <v>12</v>
      </c>
      <c r="D27" s="1" t="s">
        <v>15</v>
      </c>
      <c r="E27" s="1" t="s">
        <v>18</v>
      </c>
      <c r="F27" s="1" t="s">
        <v>22</v>
      </c>
      <c r="G27" s="4">
        <v>467.17</v>
      </c>
      <c r="H27" s="1">
        <v>3</v>
      </c>
      <c r="I27" s="1" t="str">
        <f>TEXT(SalesTable[[#This Row],[Order_Date]],"mmm")</f>
        <v>Jan</v>
      </c>
      <c r="J27" s="1">
        <f>YEAR(SalesTable[[#This Row],[Order_Date]])</f>
        <v>2022</v>
      </c>
      <c r="K27" s="4">
        <v>-20.47</v>
      </c>
      <c r="L27" s="9">
        <f>SalesTable[[#This Row],[Profit]]/SalesTable[[#This Row],[Sales]]</f>
        <v>-4.3817025922041224E-2</v>
      </c>
    </row>
    <row r="28" spans="1:12" ht="14" x14ac:dyDescent="0.15">
      <c r="A28" s="1">
        <v>10027</v>
      </c>
      <c r="B28" s="2">
        <v>44588</v>
      </c>
      <c r="C28" s="1" t="s">
        <v>12</v>
      </c>
      <c r="D28" s="1" t="s">
        <v>14</v>
      </c>
      <c r="E28" s="1" t="s">
        <v>16</v>
      </c>
      <c r="F28" s="1" t="s">
        <v>24</v>
      </c>
      <c r="G28" s="4">
        <v>87.95</v>
      </c>
      <c r="H28" s="1">
        <v>5</v>
      </c>
      <c r="I28" s="1" t="str">
        <f>TEXT(SalesTable[[#This Row],[Order_Date]],"mmm")</f>
        <v>Jan</v>
      </c>
      <c r="J28" s="1">
        <f>YEAR(SalesTable[[#This Row],[Order_Date]])</f>
        <v>2022</v>
      </c>
      <c r="K28" s="4">
        <v>103.36</v>
      </c>
      <c r="L28" s="9">
        <f>SalesTable[[#This Row],[Profit]]/SalesTable[[#This Row],[Sales]]</f>
        <v>1.1752131893121092</v>
      </c>
    </row>
    <row r="29" spans="1:12" ht="14" x14ac:dyDescent="0.15">
      <c r="A29" s="1">
        <v>10028</v>
      </c>
      <c r="B29" s="2">
        <v>44589</v>
      </c>
      <c r="C29" s="1" t="s">
        <v>12</v>
      </c>
      <c r="D29" s="1" t="s">
        <v>14</v>
      </c>
      <c r="E29" s="1" t="s">
        <v>18</v>
      </c>
      <c r="F29" s="1" t="s">
        <v>22</v>
      </c>
      <c r="G29" s="4">
        <v>394.18</v>
      </c>
      <c r="H29" s="1">
        <v>6</v>
      </c>
      <c r="I29" s="1" t="str">
        <f>TEXT(SalesTable[[#This Row],[Order_Date]],"mmm")</f>
        <v>Jan</v>
      </c>
      <c r="J29" s="1">
        <f>YEAR(SalesTable[[#This Row],[Order_Date]])</f>
        <v>2022</v>
      </c>
      <c r="K29" s="4">
        <v>-37.049999999999997</v>
      </c>
      <c r="L29" s="9">
        <f>SalesTable[[#This Row],[Profit]]/SalesTable[[#This Row],[Sales]]</f>
        <v>-9.3992592216753754E-2</v>
      </c>
    </row>
    <row r="30" spans="1:12" ht="14" x14ac:dyDescent="0.15">
      <c r="A30" s="1">
        <v>10029</v>
      </c>
      <c r="B30" s="2">
        <v>44590</v>
      </c>
      <c r="C30" s="1" t="s">
        <v>10</v>
      </c>
      <c r="D30" s="1" t="s">
        <v>13</v>
      </c>
      <c r="E30" s="1" t="s">
        <v>18</v>
      </c>
      <c r="F30" s="1" t="s">
        <v>25</v>
      </c>
      <c r="G30" s="4">
        <v>835.07</v>
      </c>
      <c r="H30" s="1">
        <v>9</v>
      </c>
      <c r="I30" s="1" t="str">
        <f>TEXT(SalesTable[[#This Row],[Order_Date]],"mmm")</f>
        <v>Jan</v>
      </c>
      <c r="J30" s="1">
        <f>YEAR(SalesTable[[#This Row],[Order_Date]])</f>
        <v>2022</v>
      </c>
      <c r="K30" s="4">
        <v>168.39</v>
      </c>
      <c r="L30" s="9">
        <f>SalesTable[[#This Row],[Profit]]/SalesTable[[#This Row],[Sales]]</f>
        <v>0.20164776605554022</v>
      </c>
    </row>
    <row r="31" spans="1:12" ht="14" x14ac:dyDescent="0.15">
      <c r="A31" s="1">
        <v>10030</v>
      </c>
      <c r="B31" s="2">
        <v>44591</v>
      </c>
      <c r="C31" s="1" t="s">
        <v>10</v>
      </c>
      <c r="D31" s="1" t="s">
        <v>14</v>
      </c>
      <c r="E31" s="1" t="s">
        <v>19</v>
      </c>
      <c r="F31" s="1" t="s">
        <v>24</v>
      </c>
      <c r="G31" s="4">
        <v>716.42</v>
      </c>
      <c r="H31" s="1">
        <v>9</v>
      </c>
      <c r="I31" s="1" t="str">
        <f>TEXT(SalesTable[[#This Row],[Order_Date]],"mmm")</f>
        <v>Jan</v>
      </c>
      <c r="J31" s="1">
        <f>YEAR(SalesTable[[#This Row],[Order_Date]])</f>
        <v>2022</v>
      </c>
      <c r="K31" s="4">
        <v>201.58</v>
      </c>
      <c r="L31" s="9">
        <f>SalesTable[[#This Row],[Profit]]/SalesTable[[#This Row],[Sales]]</f>
        <v>0.28137126266715057</v>
      </c>
    </row>
    <row r="32" spans="1:12" ht="14" x14ac:dyDescent="0.15">
      <c r="A32" s="1">
        <v>10031</v>
      </c>
      <c r="B32" s="2">
        <v>44592</v>
      </c>
      <c r="C32" s="1" t="s">
        <v>11</v>
      </c>
      <c r="D32" s="1" t="s">
        <v>13</v>
      </c>
      <c r="E32" s="1" t="s">
        <v>19</v>
      </c>
      <c r="F32" s="1" t="s">
        <v>24</v>
      </c>
      <c r="G32" s="4">
        <v>486.38</v>
      </c>
      <c r="H32" s="1">
        <v>9</v>
      </c>
      <c r="I32" s="1" t="str">
        <f>TEXT(SalesTable[[#This Row],[Order_Date]],"mmm")</f>
        <v>Jan</v>
      </c>
      <c r="J32" s="1">
        <f>YEAR(SalesTable[[#This Row],[Order_Date]])</f>
        <v>2022</v>
      </c>
      <c r="K32" s="4">
        <v>-55.84</v>
      </c>
      <c r="L32" s="9">
        <f>SalesTable[[#This Row],[Profit]]/SalesTable[[#This Row],[Sales]]</f>
        <v>-0.1148073522759982</v>
      </c>
    </row>
    <row r="33" spans="1:12" ht="14" x14ac:dyDescent="0.15">
      <c r="A33" s="1">
        <v>10032</v>
      </c>
      <c r="B33" s="2">
        <v>44593</v>
      </c>
      <c r="C33" s="1" t="s">
        <v>11</v>
      </c>
      <c r="D33" s="1" t="s">
        <v>15</v>
      </c>
      <c r="E33" s="1" t="s">
        <v>19</v>
      </c>
      <c r="F33" s="1" t="s">
        <v>23</v>
      </c>
      <c r="G33" s="4">
        <v>102.35</v>
      </c>
      <c r="H33" s="1">
        <v>1</v>
      </c>
      <c r="I33" s="1" t="str">
        <f>TEXT(SalesTable[[#This Row],[Order_Date]],"mmm")</f>
        <v>Feb</v>
      </c>
      <c r="J33" s="1">
        <f>YEAR(SalesTable[[#This Row],[Order_Date]])</f>
        <v>2022</v>
      </c>
      <c r="K33" s="4">
        <v>87.12</v>
      </c>
      <c r="L33" s="9">
        <f>SalesTable[[#This Row],[Profit]]/SalesTable[[#This Row],[Sales]]</f>
        <v>0.8511968734733758</v>
      </c>
    </row>
    <row r="34" spans="1:12" ht="14" x14ac:dyDescent="0.15">
      <c r="A34" s="1">
        <v>10033</v>
      </c>
      <c r="B34" s="2">
        <v>44594</v>
      </c>
      <c r="C34" s="1" t="s">
        <v>10</v>
      </c>
      <c r="D34" s="1" t="s">
        <v>13</v>
      </c>
      <c r="E34" s="1" t="s">
        <v>20</v>
      </c>
      <c r="F34" s="1" t="s">
        <v>25</v>
      </c>
      <c r="G34" s="4">
        <v>455.55</v>
      </c>
      <c r="H34" s="1">
        <v>9</v>
      </c>
      <c r="I34" s="1" t="str">
        <f>TEXT(SalesTable[[#This Row],[Order_Date]],"mmm")</f>
        <v>Feb</v>
      </c>
      <c r="J34" s="1">
        <f>YEAR(SalesTable[[#This Row],[Order_Date]])</f>
        <v>2022</v>
      </c>
      <c r="K34" s="4">
        <v>-71.650000000000006</v>
      </c>
      <c r="L34" s="9">
        <f>SalesTable[[#This Row],[Profit]]/SalesTable[[#This Row],[Sales]]</f>
        <v>-0.15728240588299858</v>
      </c>
    </row>
    <row r="35" spans="1:12" ht="14" x14ac:dyDescent="0.15">
      <c r="A35" s="1">
        <v>10034</v>
      </c>
      <c r="B35" s="2">
        <v>44595</v>
      </c>
      <c r="C35" s="1" t="s">
        <v>12</v>
      </c>
      <c r="D35" s="1" t="s">
        <v>15</v>
      </c>
      <c r="E35" s="1" t="s">
        <v>18</v>
      </c>
      <c r="F35" s="1" t="s">
        <v>25</v>
      </c>
      <c r="G35" s="4">
        <v>495.57</v>
      </c>
      <c r="H35" s="1">
        <v>8</v>
      </c>
      <c r="I35" s="1" t="str">
        <f>TEXT(SalesTable[[#This Row],[Order_Date]],"mmm")</f>
        <v>Feb</v>
      </c>
      <c r="J35" s="1">
        <f>YEAR(SalesTable[[#This Row],[Order_Date]])</f>
        <v>2022</v>
      </c>
      <c r="K35" s="4">
        <v>139.27000000000001</v>
      </c>
      <c r="L35" s="9">
        <f>SalesTable[[#This Row],[Profit]]/SalesTable[[#This Row],[Sales]]</f>
        <v>0.28102992513671127</v>
      </c>
    </row>
    <row r="36" spans="1:12" ht="14" x14ac:dyDescent="0.15">
      <c r="A36" s="1">
        <v>10035</v>
      </c>
      <c r="B36" s="2">
        <v>44596</v>
      </c>
      <c r="C36" s="1" t="s">
        <v>12</v>
      </c>
      <c r="D36" s="1" t="s">
        <v>13</v>
      </c>
      <c r="E36" s="1" t="s">
        <v>17</v>
      </c>
      <c r="F36" s="1" t="s">
        <v>24</v>
      </c>
      <c r="G36" s="4">
        <v>932.13</v>
      </c>
      <c r="H36" s="1">
        <v>2</v>
      </c>
      <c r="I36" s="1" t="str">
        <f>TEXT(SalesTable[[#This Row],[Order_Date]],"mmm")</f>
        <v>Feb</v>
      </c>
      <c r="J36" s="1">
        <f>YEAR(SalesTable[[#This Row],[Order_Date]])</f>
        <v>2022</v>
      </c>
      <c r="K36" s="4">
        <v>5.76</v>
      </c>
      <c r="L36" s="9">
        <f>SalesTable[[#This Row],[Profit]]/SalesTable[[#This Row],[Sales]]</f>
        <v>6.179395577870039E-3</v>
      </c>
    </row>
    <row r="37" spans="1:12" ht="14" x14ac:dyDescent="0.15">
      <c r="A37" s="1">
        <v>10036</v>
      </c>
      <c r="B37" s="2">
        <v>44597</v>
      </c>
      <c r="C37" s="1" t="s">
        <v>11</v>
      </c>
      <c r="D37" s="1" t="s">
        <v>14</v>
      </c>
      <c r="E37" s="1" t="s">
        <v>16</v>
      </c>
      <c r="F37" s="1" t="s">
        <v>25</v>
      </c>
      <c r="G37" s="4">
        <v>659.03</v>
      </c>
      <c r="H37" s="1">
        <v>1</v>
      </c>
      <c r="I37" s="1" t="str">
        <f>TEXT(SalesTable[[#This Row],[Order_Date]],"mmm")</f>
        <v>Feb</v>
      </c>
      <c r="J37" s="1">
        <f>YEAR(SalesTable[[#This Row],[Order_Date]])</f>
        <v>2022</v>
      </c>
      <c r="K37" s="4">
        <v>111.05</v>
      </c>
      <c r="L37" s="9">
        <f>SalesTable[[#This Row],[Profit]]/SalesTable[[#This Row],[Sales]]</f>
        <v>0.16850522737963369</v>
      </c>
    </row>
    <row r="38" spans="1:12" ht="14" x14ac:dyDescent="0.15">
      <c r="A38" s="1">
        <v>10037</v>
      </c>
      <c r="B38" s="2">
        <v>44598</v>
      </c>
      <c r="C38" s="1" t="s">
        <v>10</v>
      </c>
      <c r="D38" s="1" t="s">
        <v>13</v>
      </c>
      <c r="E38" s="1" t="s">
        <v>20</v>
      </c>
      <c r="F38" s="1" t="s">
        <v>24</v>
      </c>
      <c r="G38" s="4">
        <v>346.07</v>
      </c>
      <c r="H38" s="1">
        <v>1</v>
      </c>
      <c r="I38" s="1" t="str">
        <f>TEXT(SalesTable[[#This Row],[Order_Date]],"mmm")</f>
        <v>Feb</v>
      </c>
      <c r="J38" s="1">
        <f>YEAR(SalesTable[[#This Row],[Order_Date]])</f>
        <v>2022</v>
      </c>
      <c r="K38" s="4">
        <v>106.98</v>
      </c>
      <c r="L38" s="9">
        <f>SalesTable[[#This Row],[Profit]]/SalesTable[[#This Row],[Sales]]</f>
        <v>0.30912821105556682</v>
      </c>
    </row>
    <row r="39" spans="1:12" ht="14" x14ac:dyDescent="0.15">
      <c r="A39" s="1">
        <v>10038</v>
      </c>
      <c r="B39" s="2">
        <v>44599</v>
      </c>
      <c r="C39" s="1" t="s">
        <v>11</v>
      </c>
      <c r="D39" s="1" t="s">
        <v>13</v>
      </c>
      <c r="E39" s="1" t="s">
        <v>17</v>
      </c>
      <c r="F39" s="1" t="s">
        <v>23</v>
      </c>
      <c r="G39" s="4">
        <v>549.04999999999995</v>
      </c>
      <c r="H39" s="1">
        <v>6</v>
      </c>
      <c r="I39" s="1" t="str">
        <f>TEXT(SalesTable[[#This Row],[Order_Date]],"mmm")</f>
        <v>Feb</v>
      </c>
      <c r="J39" s="1">
        <f>YEAR(SalesTable[[#This Row],[Order_Date]])</f>
        <v>2022</v>
      </c>
      <c r="K39" s="4">
        <v>269.74</v>
      </c>
      <c r="L39" s="9">
        <f>SalesTable[[#This Row],[Profit]]/SalesTable[[#This Row],[Sales]]</f>
        <v>0.49128494672616341</v>
      </c>
    </row>
    <row r="40" spans="1:12" ht="14" x14ac:dyDescent="0.15">
      <c r="A40" s="1">
        <v>10039</v>
      </c>
      <c r="B40" s="2">
        <v>44600</v>
      </c>
      <c r="C40" s="1" t="s">
        <v>11</v>
      </c>
      <c r="D40" s="1" t="s">
        <v>15</v>
      </c>
      <c r="E40" s="1" t="s">
        <v>18</v>
      </c>
      <c r="F40" s="1" t="s">
        <v>24</v>
      </c>
      <c r="G40" s="4">
        <v>112.75</v>
      </c>
      <c r="H40" s="1">
        <v>9</v>
      </c>
      <c r="I40" s="1" t="str">
        <f>TEXT(SalesTable[[#This Row],[Order_Date]],"mmm")</f>
        <v>Feb</v>
      </c>
      <c r="J40" s="1">
        <f>YEAR(SalesTable[[#This Row],[Order_Date]])</f>
        <v>2022</v>
      </c>
      <c r="K40" s="4">
        <v>119.63</v>
      </c>
      <c r="L40" s="9">
        <f>SalesTable[[#This Row],[Profit]]/SalesTable[[#This Row],[Sales]]</f>
        <v>1.061019955654102</v>
      </c>
    </row>
    <row r="41" spans="1:12" ht="14" x14ac:dyDescent="0.15">
      <c r="A41" s="1">
        <v>10040</v>
      </c>
      <c r="B41" s="2">
        <v>44601</v>
      </c>
      <c r="C41" s="1" t="s">
        <v>9</v>
      </c>
      <c r="D41" s="1" t="s">
        <v>14</v>
      </c>
      <c r="E41" s="1" t="s">
        <v>19</v>
      </c>
      <c r="F41" s="1" t="s">
        <v>25</v>
      </c>
      <c r="G41" s="4">
        <v>973.94</v>
      </c>
      <c r="H41" s="1">
        <v>7</v>
      </c>
      <c r="I41" s="1" t="str">
        <f>TEXT(SalesTable[[#This Row],[Order_Date]],"mmm")</f>
        <v>Feb</v>
      </c>
      <c r="J41" s="1">
        <f>YEAR(SalesTable[[#This Row],[Order_Date]])</f>
        <v>2022</v>
      </c>
      <c r="K41" s="4">
        <v>133.19999999999999</v>
      </c>
      <c r="L41" s="9">
        <f>SalesTable[[#This Row],[Profit]]/SalesTable[[#This Row],[Sales]]</f>
        <v>0.13676407170872948</v>
      </c>
    </row>
    <row r="42" spans="1:12" ht="14" x14ac:dyDescent="0.15">
      <c r="A42" s="1">
        <v>10041</v>
      </c>
      <c r="B42" s="2">
        <v>44602</v>
      </c>
      <c r="C42" s="1" t="s">
        <v>9</v>
      </c>
      <c r="D42" s="1" t="s">
        <v>13</v>
      </c>
      <c r="E42" s="1" t="s">
        <v>18</v>
      </c>
      <c r="F42" s="1" t="s">
        <v>25</v>
      </c>
      <c r="G42" s="4">
        <v>392.06</v>
      </c>
      <c r="H42" s="1">
        <v>5</v>
      </c>
      <c r="I42" s="1" t="str">
        <f>TEXT(SalesTable[[#This Row],[Order_Date]],"mmm")</f>
        <v>Feb</v>
      </c>
      <c r="J42" s="1">
        <f>YEAR(SalesTable[[#This Row],[Order_Date]])</f>
        <v>2022</v>
      </c>
      <c r="K42" s="4">
        <v>60.66</v>
      </c>
      <c r="L42" s="9">
        <f>SalesTable[[#This Row],[Profit]]/SalesTable[[#This Row],[Sales]]</f>
        <v>0.15472121614038667</v>
      </c>
    </row>
    <row r="43" spans="1:12" ht="14" x14ac:dyDescent="0.15">
      <c r="A43" s="1">
        <v>10042</v>
      </c>
      <c r="B43" s="2">
        <v>44603</v>
      </c>
      <c r="C43" s="1" t="s">
        <v>9</v>
      </c>
      <c r="D43" s="1" t="s">
        <v>14</v>
      </c>
      <c r="E43" s="1" t="s">
        <v>16</v>
      </c>
      <c r="F43" s="1" t="s">
        <v>24</v>
      </c>
      <c r="G43" s="4">
        <v>503.97</v>
      </c>
      <c r="H43" s="1">
        <v>2</v>
      </c>
      <c r="I43" s="1" t="str">
        <f>TEXT(SalesTable[[#This Row],[Order_Date]],"mmm")</f>
        <v>Feb</v>
      </c>
      <c r="J43" s="1">
        <f>YEAR(SalesTable[[#This Row],[Order_Date]])</f>
        <v>2022</v>
      </c>
      <c r="K43" s="4">
        <v>279.63</v>
      </c>
      <c r="L43" s="9">
        <f>SalesTable[[#This Row],[Profit]]/SalesTable[[#This Row],[Sales]]</f>
        <v>0.55485445562235847</v>
      </c>
    </row>
    <row r="44" spans="1:12" ht="14" x14ac:dyDescent="0.15">
      <c r="A44" s="1">
        <v>10043</v>
      </c>
      <c r="B44" s="2">
        <v>44604</v>
      </c>
      <c r="C44" s="1" t="s">
        <v>12</v>
      </c>
      <c r="D44" s="1" t="s">
        <v>13</v>
      </c>
      <c r="E44" s="1" t="s">
        <v>20</v>
      </c>
      <c r="F44" s="1" t="s">
        <v>24</v>
      </c>
      <c r="G44" s="4">
        <v>387.52</v>
      </c>
      <c r="H44" s="1">
        <v>1</v>
      </c>
      <c r="I44" s="1" t="str">
        <f>TEXT(SalesTable[[#This Row],[Order_Date]],"mmm")</f>
        <v>Feb</v>
      </c>
      <c r="J44" s="1">
        <f>YEAR(SalesTable[[#This Row],[Order_Date]])</f>
        <v>2022</v>
      </c>
      <c r="K44" s="4">
        <v>210.87</v>
      </c>
      <c r="L44" s="9">
        <f>SalesTable[[#This Row],[Profit]]/SalesTable[[#This Row],[Sales]]</f>
        <v>0.54415255986787781</v>
      </c>
    </row>
    <row r="45" spans="1:12" ht="14" x14ac:dyDescent="0.15">
      <c r="A45" s="1">
        <v>10044</v>
      </c>
      <c r="B45" s="2">
        <v>44605</v>
      </c>
      <c r="C45" s="1" t="s">
        <v>10</v>
      </c>
      <c r="D45" s="1" t="s">
        <v>13</v>
      </c>
      <c r="E45" s="1" t="s">
        <v>20</v>
      </c>
      <c r="F45" s="1" t="s">
        <v>24</v>
      </c>
      <c r="G45" s="4">
        <v>698.39</v>
      </c>
      <c r="H45" s="1">
        <v>2</v>
      </c>
      <c r="I45" s="1" t="str">
        <f>TEXT(SalesTable[[#This Row],[Order_Date]],"mmm")</f>
        <v>Feb</v>
      </c>
      <c r="J45" s="1">
        <f>YEAR(SalesTable[[#This Row],[Order_Date]])</f>
        <v>2022</v>
      </c>
      <c r="K45" s="4">
        <v>14.16</v>
      </c>
      <c r="L45" s="9">
        <f>SalesTable[[#This Row],[Profit]]/SalesTable[[#This Row],[Sales]]</f>
        <v>2.0275204398688414E-2</v>
      </c>
    </row>
    <row r="46" spans="1:12" ht="14" x14ac:dyDescent="0.15">
      <c r="A46" s="1">
        <v>10045</v>
      </c>
      <c r="B46" s="2">
        <v>44606</v>
      </c>
      <c r="C46" s="1" t="s">
        <v>10</v>
      </c>
      <c r="D46" s="1" t="s">
        <v>14</v>
      </c>
      <c r="E46" s="1" t="s">
        <v>16</v>
      </c>
      <c r="F46" s="1" t="s">
        <v>21</v>
      </c>
      <c r="G46" s="4">
        <v>679.12</v>
      </c>
      <c r="H46" s="1">
        <v>1</v>
      </c>
      <c r="I46" s="1" t="str">
        <f>TEXT(SalesTable[[#This Row],[Order_Date]],"mmm")</f>
        <v>Feb</v>
      </c>
      <c r="J46" s="1">
        <f>YEAR(SalesTable[[#This Row],[Order_Date]])</f>
        <v>2022</v>
      </c>
      <c r="K46" s="4">
        <v>237.68</v>
      </c>
      <c r="L46" s="9">
        <f>SalesTable[[#This Row],[Profit]]/SalesTable[[#This Row],[Sales]]</f>
        <v>0.3499823300742137</v>
      </c>
    </row>
    <row r="47" spans="1:12" ht="14" x14ac:dyDescent="0.15">
      <c r="A47" s="1">
        <v>10046</v>
      </c>
      <c r="B47" s="2">
        <v>44607</v>
      </c>
      <c r="C47" s="1" t="s">
        <v>10</v>
      </c>
      <c r="D47" s="1" t="s">
        <v>13</v>
      </c>
      <c r="E47" s="1" t="s">
        <v>17</v>
      </c>
      <c r="F47" s="1" t="s">
        <v>25</v>
      </c>
      <c r="G47" s="4">
        <v>729.56</v>
      </c>
      <c r="H47" s="1">
        <v>3</v>
      </c>
      <c r="I47" s="1" t="str">
        <f>TEXT(SalesTable[[#This Row],[Order_Date]],"mmm")</f>
        <v>Feb</v>
      </c>
      <c r="J47" s="1">
        <f>YEAR(SalesTable[[#This Row],[Order_Date]])</f>
        <v>2022</v>
      </c>
      <c r="K47" s="4">
        <v>72.959999999999994</v>
      </c>
      <c r="L47" s="9">
        <f>SalesTable[[#This Row],[Profit]]/SalesTable[[#This Row],[Sales]]</f>
        <v>0.10000548275673009</v>
      </c>
    </row>
    <row r="48" spans="1:12" ht="14" x14ac:dyDescent="0.15">
      <c r="A48" s="1">
        <v>10047</v>
      </c>
      <c r="B48" s="2">
        <v>44608</v>
      </c>
      <c r="C48" s="1" t="s">
        <v>10</v>
      </c>
      <c r="D48" s="1" t="s">
        <v>14</v>
      </c>
      <c r="E48" s="1" t="s">
        <v>17</v>
      </c>
      <c r="F48" s="1" t="s">
        <v>25</v>
      </c>
      <c r="G48" s="4">
        <v>304.74</v>
      </c>
      <c r="H48" s="1">
        <v>6</v>
      </c>
      <c r="I48" s="1" t="str">
        <f>TEXT(SalesTable[[#This Row],[Order_Date]],"mmm")</f>
        <v>Feb</v>
      </c>
      <c r="J48" s="1">
        <f>YEAR(SalesTable[[#This Row],[Order_Date]])</f>
        <v>2022</v>
      </c>
      <c r="K48" s="4">
        <v>231.47</v>
      </c>
      <c r="L48" s="9">
        <f>SalesTable[[#This Row],[Profit]]/SalesTable[[#This Row],[Sales]]</f>
        <v>0.75956553127256021</v>
      </c>
    </row>
    <row r="49" spans="1:12" ht="14" x14ac:dyDescent="0.15">
      <c r="A49" s="1">
        <v>10048</v>
      </c>
      <c r="B49" s="2">
        <v>44609</v>
      </c>
      <c r="C49" s="1" t="s">
        <v>9</v>
      </c>
      <c r="D49" s="1" t="s">
        <v>13</v>
      </c>
      <c r="E49" s="1" t="s">
        <v>20</v>
      </c>
      <c r="F49" s="1" t="s">
        <v>21</v>
      </c>
      <c r="G49" s="4">
        <v>349.89</v>
      </c>
      <c r="H49" s="1">
        <v>8</v>
      </c>
      <c r="I49" s="1" t="str">
        <f>TEXT(SalesTable[[#This Row],[Order_Date]],"mmm")</f>
        <v>Feb</v>
      </c>
      <c r="J49" s="1">
        <f>YEAR(SalesTable[[#This Row],[Order_Date]])</f>
        <v>2022</v>
      </c>
      <c r="K49" s="4">
        <v>229.16</v>
      </c>
      <c r="L49" s="9">
        <f>SalesTable[[#This Row],[Profit]]/SalesTable[[#This Row],[Sales]]</f>
        <v>0.65494869816227963</v>
      </c>
    </row>
    <row r="50" spans="1:12" ht="14" x14ac:dyDescent="0.15">
      <c r="A50" s="1">
        <v>10049</v>
      </c>
      <c r="B50" s="2">
        <v>44610</v>
      </c>
      <c r="C50" s="1" t="s">
        <v>12</v>
      </c>
      <c r="D50" s="1" t="s">
        <v>15</v>
      </c>
      <c r="E50" s="1" t="s">
        <v>20</v>
      </c>
      <c r="F50" s="1" t="s">
        <v>24</v>
      </c>
      <c r="G50" s="4">
        <v>168.99</v>
      </c>
      <c r="H50" s="1">
        <v>3</v>
      </c>
      <c r="I50" s="1" t="str">
        <f>TEXT(SalesTable[[#This Row],[Order_Date]],"mmm")</f>
        <v>Feb</v>
      </c>
      <c r="J50" s="1">
        <f>YEAR(SalesTable[[#This Row],[Order_Date]])</f>
        <v>2022</v>
      </c>
      <c r="K50" s="4">
        <v>-24.45</v>
      </c>
      <c r="L50" s="9">
        <f>SalesTable[[#This Row],[Profit]]/SalesTable[[#This Row],[Sales]]</f>
        <v>-0.14468311734422154</v>
      </c>
    </row>
    <row r="51" spans="1:12" ht="14" x14ac:dyDescent="0.15">
      <c r="A51" s="1">
        <v>10050</v>
      </c>
      <c r="B51" s="2">
        <v>44611</v>
      </c>
      <c r="C51" s="1" t="s">
        <v>12</v>
      </c>
      <c r="D51" s="1" t="s">
        <v>14</v>
      </c>
      <c r="E51" s="1" t="s">
        <v>19</v>
      </c>
      <c r="F51" s="1" t="s">
        <v>23</v>
      </c>
      <c r="G51" s="4">
        <v>672.73</v>
      </c>
      <c r="H51" s="1">
        <v>9</v>
      </c>
      <c r="I51" s="1" t="str">
        <f>TEXT(SalesTable[[#This Row],[Order_Date]],"mmm")</f>
        <v>Feb</v>
      </c>
      <c r="J51" s="1">
        <f>YEAR(SalesTable[[#This Row],[Order_Date]])</f>
        <v>2022</v>
      </c>
      <c r="K51" s="4">
        <v>180.46</v>
      </c>
      <c r="L51" s="9">
        <f>SalesTable[[#This Row],[Profit]]/SalesTable[[#This Row],[Sales]]</f>
        <v>0.26825026385028167</v>
      </c>
    </row>
    <row r="52" spans="1:12" ht="14" x14ac:dyDescent="0.15">
      <c r="A52" s="1">
        <v>10051</v>
      </c>
      <c r="B52" s="2">
        <v>44612</v>
      </c>
      <c r="C52" s="1" t="s">
        <v>9</v>
      </c>
      <c r="D52" s="1" t="s">
        <v>13</v>
      </c>
      <c r="E52" s="1" t="s">
        <v>17</v>
      </c>
      <c r="F52" s="1" t="s">
        <v>24</v>
      </c>
      <c r="G52" s="4">
        <v>87.81</v>
      </c>
      <c r="H52" s="1">
        <v>5</v>
      </c>
      <c r="I52" s="1" t="str">
        <f>TEXT(SalesTable[[#This Row],[Order_Date]],"mmm")</f>
        <v>Feb</v>
      </c>
      <c r="J52" s="1">
        <f>YEAR(SalesTable[[#This Row],[Order_Date]])</f>
        <v>2022</v>
      </c>
      <c r="K52" s="4">
        <v>16.260000000000002</v>
      </c>
      <c r="L52" s="9">
        <f>SalesTable[[#This Row],[Profit]]/SalesTable[[#This Row],[Sales]]</f>
        <v>0.18517253160232322</v>
      </c>
    </row>
    <row r="53" spans="1:12" ht="14" x14ac:dyDescent="0.15">
      <c r="A53" s="1">
        <v>10052</v>
      </c>
      <c r="B53" s="2">
        <v>44613</v>
      </c>
      <c r="C53" s="1" t="s">
        <v>12</v>
      </c>
      <c r="D53" s="1" t="s">
        <v>13</v>
      </c>
      <c r="E53" s="1" t="s">
        <v>16</v>
      </c>
      <c r="F53" s="1" t="s">
        <v>24</v>
      </c>
      <c r="G53" s="4">
        <v>617.79999999999995</v>
      </c>
      <c r="H53" s="1">
        <v>7</v>
      </c>
      <c r="I53" s="1" t="str">
        <f>TEXT(SalesTable[[#This Row],[Order_Date]],"mmm")</f>
        <v>Feb</v>
      </c>
      <c r="J53" s="1">
        <f>YEAR(SalesTable[[#This Row],[Order_Date]])</f>
        <v>2022</v>
      </c>
      <c r="K53" s="4">
        <v>19</v>
      </c>
      <c r="L53" s="9">
        <f>SalesTable[[#This Row],[Profit]]/SalesTable[[#This Row],[Sales]]</f>
        <v>3.0754289414049858E-2</v>
      </c>
    </row>
    <row r="54" spans="1:12" ht="14" x14ac:dyDescent="0.15">
      <c r="A54" s="1">
        <v>10053</v>
      </c>
      <c r="B54" s="2">
        <v>44614</v>
      </c>
      <c r="C54" s="1" t="s">
        <v>9</v>
      </c>
      <c r="D54" s="1" t="s">
        <v>15</v>
      </c>
      <c r="E54" s="1" t="s">
        <v>17</v>
      </c>
      <c r="F54" s="1" t="s">
        <v>21</v>
      </c>
      <c r="G54" s="4">
        <v>876.21</v>
      </c>
      <c r="H54" s="1">
        <v>8</v>
      </c>
      <c r="I54" s="1" t="str">
        <f>TEXT(SalesTable[[#This Row],[Order_Date]],"mmm")</f>
        <v>Feb</v>
      </c>
      <c r="J54" s="1">
        <f>YEAR(SalesTable[[#This Row],[Order_Date]])</f>
        <v>2022</v>
      </c>
      <c r="K54" s="4">
        <v>18.54</v>
      </c>
      <c r="L54" s="9">
        <f>SalesTable[[#This Row],[Profit]]/SalesTable[[#This Row],[Sales]]</f>
        <v>2.1159311124045604E-2</v>
      </c>
    </row>
    <row r="55" spans="1:12" ht="14" x14ac:dyDescent="0.15">
      <c r="A55" s="1">
        <v>10054</v>
      </c>
      <c r="B55" s="2">
        <v>44615</v>
      </c>
      <c r="C55" s="1" t="s">
        <v>10</v>
      </c>
      <c r="D55" s="1" t="s">
        <v>14</v>
      </c>
      <c r="E55" s="1" t="s">
        <v>19</v>
      </c>
      <c r="F55" s="1" t="s">
        <v>25</v>
      </c>
      <c r="G55" s="4">
        <v>896.29</v>
      </c>
      <c r="H55" s="1">
        <v>3</v>
      </c>
      <c r="I55" s="1" t="str">
        <f>TEXT(SalesTable[[#This Row],[Order_Date]],"mmm")</f>
        <v>Feb</v>
      </c>
      <c r="J55" s="1">
        <f>YEAR(SalesTable[[#This Row],[Order_Date]])</f>
        <v>2022</v>
      </c>
      <c r="K55" s="4">
        <v>190.23</v>
      </c>
      <c r="L55" s="9">
        <f>SalesTable[[#This Row],[Profit]]/SalesTable[[#This Row],[Sales]]</f>
        <v>0.21224157359783105</v>
      </c>
    </row>
    <row r="56" spans="1:12" ht="14" x14ac:dyDescent="0.15">
      <c r="A56" s="1">
        <v>10055</v>
      </c>
      <c r="B56" s="2">
        <v>44616</v>
      </c>
      <c r="C56" s="1" t="s">
        <v>9</v>
      </c>
      <c r="D56" s="1" t="s">
        <v>13</v>
      </c>
      <c r="E56" s="1" t="s">
        <v>20</v>
      </c>
      <c r="F56" s="1" t="s">
        <v>24</v>
      </c>
      <c r="G56" s="4">
        <v>476.59</v>
      </c>
      <c r="H56" s="1">
        <v>2</v>
      </c>
      <c r="I56" s="1" t="str">
        <f>TEXT(SalesTable[[#This Row],[Order_Date]],"mmm")</f>
        <v>Feb</v>
      </c>
      <c r="J56" s="1">
        <f>YEAR(SalesTable[[#This Row],[Order_Date]])</f>
        <v>2022</v>
      </c>
      <c r="K56" s="4">
        <v>-8.07</v>
      </c>
      <c r="L56" s="9">
        <f>SalesTable[[#This Row],[Profit]]/SalesTable[[#This Row],[Sales]]</f>
        <v>-1.6932793386348854E-2</v>
      </c>
    </row>
    <row r="57" spans="1:12" ht="14" x14ac:dyDescent="0.15">
      <c r="A57" s="1">
        <v>10056</v>
      </c>
      <c r="B57" s="2">
        <v>44617</v>
      </c>
      <c r="C57" s="1" t="s">
        <v>10</v>
      </c>
      <c r="D57" s="1" t="s">
        <v>15</v>
      </c>
      <c r="E57" s="1" t="s">
        <v>20</v>
      </c>
      <c r="F57" s="1" t="s">
        <v>25</v>
      </c>
      <c r="G57" s="4">
        <v>486.34</v>
      </c>
      <c r="H57" s="1">
        <v>2</v>
      </c>
      <c r="I57" s="1" t="str">
        <f>TEXT(SalesTable[[#This Row],[Order_Date]],"mmm")</f>
        <v>Feb</v>
      </c>
      <c r="J57" s="1">
        <f>YEAR(SalesTable[[#This Row],[Order_Date]])</f>
        <v>2022</v>
      </c>
      <c r="K57" s="4">
        <v>-99.64</v>
      </c>
      <c r="L57" s="9">
        <f>SalesTable[[#This Row],[Profit]]/SalesTable[[#This Row],[Sales]]</f>
        <v>-0.20487724637085167</v>
      </c>
    </row>
    <row r="58" spans="1:12" ht="14" x14ac:dyDescent="0.15">
      <c r="A58" s="1">
        <v>10057</v>
      </c>
      <c r="B58" s="2">
        <v>44618</v>
      </c>
      <c r="C58" s="1" t="s">
        <v>10</v>
      </c>
      <c r="D58" s="1" t="s">
        <v>13</v>
      </c>
      <c r="E58" s="1" t="s">
        <v>19</v>
      </c>
      <c r="F58" s="1" t="s">
        <v>22</v>
      </c>
      <c r="G58" s="4">
        <v>123.12</v>
      </c>
      <c r="H58" s="1">
        <v>5</v>
      </c>
      <c r="I58" s="1" t="str">
        <f>TEXT(SalesTable[[#This Row],[Order_Date]],"mmm")</f>
        <v>Feb</v>
      </c>
      <c r="J58" s="1">
        <f>YEAR(SalesTable[[#This Row],[Order_Date]])</f>
        <v>2022</v>
      </c>
      <c r="K58" s="4">
        <v>186.09</v>
      </c>
      <c r="L58" s="9">
        <f>SalesTable[[#This Row],[Profit]]/SalesTable[[#This Row],[Sales]]</f>
        <v>1.5114522417153995</v>
      </c>
    </row>
    <row r="59" spans="1:12" ht="14" x14ac:dyDescent="0.15">
      <c r="A59" s="1">
        <v>10058</v>
      </c>
      <c r="B59" s="2">
        <v>44619</v>
      </c>
      <c r="C59" s="1" t="s">
        <v>11</v>
      </c>
      <c r="D59" s="1" t="s">
        <v>14</v>
      </c>
      <c r="E59" s="1" t="s">
        <v>16</v>
      </c>
      <c r="F59" s="1" t="s">
        <v>25</v>
      </c>
      <c r="G59" s="4">
        <v>687.23</v>
      </c>
      <c r="H59" s="1">
        <v>1</v>
      </c>
      <c r="I59" s="1" t="str">
        <f>TEXT(SalesTable[[#This Row],[Order_Date]],"mmm")</f>
        <v>Feb</v>
      </c>
      <c r="J59" s="1">
        <f>YEAR(SalesTable[[#This Row],[Order_Date]])</f>
        <v>2022</v>
      </c>
      <c r="K59" s="4">
        <v>-31.53</v>
      </c>
      <c r="L59" s="9">
        <f>SalesTable[[#This Row],[Profit]]/SalesTable[[#This Row],[Sales]]</f>
        <v>-4.5879836444858345E-2</v>
      </c>
    </row>
    <row r="60" spans="1:12" ht="14" x14ac:dyDescent="0.15">
      <c r="A60" s="1">
        <v>10059</v>
      </c>
      <c r="B60" s="2">
        <v>44620</v>
      </c>
      <c r="C60" s="1" t="s">
        <v>9</v>
      </c>
      <c r="D60" s="1" t="s">
        <v>13</v>
      </c>
      <c r="E60" s="1" t="s">
        <v>20</v>
      </c>
      <c r="F60" s="1" t="s">
        <v>23</v>
      </c>
      <c r="G60" s="4">
        <v>830.2</v>
      </c>
      <c r="H60" s="1">
        <v>2</v>
      </c>
      <c r="I60" s="1" t="str">
        <f>TEXT(SalesTable[[#This Row],[Order_Date]],"mmm")</f>
        <v>Feb</v>
      </c>
      <c r="J60" s="1">
        <f>YEAR(SalesTable[[#This Row],[Order_Date]])</f>
        <v>2022</v>
      </c>
      <c r="K60" s="4">
        <v>-58.21</v>
      </c>
      <c r="L60" s="9">
        <f>SalesTable[[#This Row],[Profit]]/SalesTable[[#This Row],[Sales]]</f>
        <v>-7.0115634786798359E-2</v>
      </c>
    </row>
    <row r="61" spans="1:12" ht="14" x14ac:dyDescent="0.15">
      <c r="A61" s="1">
        <v>10060</v>
      </c>
      <c r="B61" s="2">
        <v>44621</v>
      </c>
      <c r="C61" s="1" t="s">
        <v>11</v>
      </c>
      <c r="D61" s="1" t="s">
        <v>13</v>
      </c>
      <c r="E61" s="1" t="s">
        <v>18</v>
      </c>
      <c r="F61" s="1" t="s">
        <v>23</v>
      </c>
      <c r="G61" s="4">
        <v>282.42</v>
      </c>
      <c r="H61" s="1">
        <v>9</v>
      </c>
      <c r="I61" s="1" t="str">
        <f>TEXT(SalesTable[[#This Row],[Order_Date]],"mmm")</f>
        <v>Mar</v>
      </c>
      <c r="J61" s="1">
        <f>YEAR(SalesTable[[#This Row],[Order_Date]])</f>
        <v>2022</v>
      </c>
      <c r="K61" s="4">
        <v>-4.99</v>
      </c>
      <c r="L61" s="9">
        <f>SalesTable[[#This Row],[Profit]]/SalesTable[[#This Row],[Sales]]</f>
        <v>-1.7668720345584591E-2</v>
      </c>
    </row>
    <row r="62" spans="1:12" ht="14" x14ac:dyDescent="0.15">
      <c r="A62" s="1">
        <v>10061</v>
      </c>
      <c r="B62" s="2">
        <v>44622</v>
      </c>
      <c r="C62" s="1" t="s">
        <v>9</v>
      </c>
      <c r="D62" s="1" t="s">
        <v>13</v>
      </c>
      <c r="E62" s="1" t="s">
        <v>20</v>
      </c>
      <c r="F62" s="1" t="s">
        <v>24</v>
      </c>
      <c r="G62" s="4">
        <v>450.24</v>
      </c>
      <c r="H62" s="1">
        <v>7</v>
      </c>
      <c r="I62" s="1" t="str">
        <f>TEXT(SalesTable[[#This Row],[Order_Date]],"mmm")</f>
        <v>Mar</v>
      </c>
      <c r="J62" s="1">
        <f>YEAR(SalesTable[[#This Row],[Order_Date]])</f>
        <v>2022</v>
      </c>
      <c r="K62" s="4">
        <v>51.96</v>
      </c>
      <c r="L62" s="9">
        <f>SalesTable[[#This Row],[Profit]]/SalesTable[[#This Row],[Sales]]</f>
        <v>0.11540511727078891</v>
      </c>
    </row>
    <row r="63" spans="1:12" ht="14" x14ac:dyDescent="0.15">
      <c r="A63" s="1">
        <v>10062</v>
      </c>
      <c r="B63" s="2">
        <v>44623</v>
      </c>
      <c r="C63" s="1" t="s">
        <v>9</v>
      </c>
      <c r="D63" s="1" t="s">
        <v>13</v>
      </c>
      <c r="E63" s="1" t="s">
        <v>18</v>
      </c>
      <c r="F63" s="1" t="s">
        <v>25</v>
      </c>
      <c r="G63" s="4">
        <v>846.9</v>
      </c>
      <c r="H63" s="1">
        <v>6</v>
      </c>
      <c r="I63" s="1" t="str">
        <f>TEXT(SalesTable[[#This Row],[Order_Date]],"mmm")</f>
        <v>Mar</v>
      </c>
      <c r="J63" s="1">
        <f>YEAR(SalesTable[[#This Row],[Order_Date]])</f>
        <v>2022</v>
      </c>
      <c r="K63" s="4">
        <v>90.36</v>
      </c>
      <c r="L63" s="9">
        <f>SalesTable[[#This Row],[Profit]]/SalesTable[[#This Row],[Sales]]</f>
        <v>0.10669500531349628</v>
      </c>
    </row>
    <row r="64" spans="1:12" ht="14" x14ac:dyDescent="0.15">
      <c r="A64" s="1">
        <v>10063</v>
      </c>
      <c r="B64" s="2">
        <v>44624</v>
      </c>
      <c r="C64" s="1" t="s">
        <v>11</v>
      </c>
      <c r="D64" s="1" t="s">
        <v>15</v>
      </c>
      <c r="E64" s="1" t="s">
        <v>19</v>
      </c>
      <c r="F64" s="1" t="s">
        <v>24</v>
      </c>
      <c r="G64" s="4">
        <v>883.26</v>
      </c>
      <c r="H64" s="1">
        <v>9</v>
      </c>
      <c r="I64" s="1" t="str">
        <f>TEXT(SalesTable[[#This Row],[Order_Date]],"mmm")</f>
        <v>Mar</v>
      </c>
      <c r="J64" s="1">
        <f>YEAR(SalesTable[[#This Row],[Order_Date]])</f>
        <v>2022</v>
      </c>
      <c r="K64" s="4">
        <v>-82.17</v>
      </c>
      <c r="L64" s="9">
        <f>SalesTable[[#This Row],[Profit]]/SalesTable[[#This Row],[Sales]]</f>
        <v>-9.3030364785001027E-2</v>
      </c>
    </row>
    <row r="65" spans="1:12" ht="14" x14ac:dyDescent="0.15">
      <c r="A65" s="1">
        <v>10064</v>
      </c>
      <c r="B65" s="2">
        <v>44625</v>
      </c>
      <c r="C65" s="1" t="s">
        <v>11</v>
      </c>
      <c r="D65" s="1" t="s">
        <v>15</v>
      </c>
      <c r="E65" s="1" t="s">
        <v>19</v>
      </c>
      <c r="F65" s="1" t="s">
        <v>21</v>
      </c>
      <c r="G65" s="4">
        <v>281.02</v>
      </c>
      <c r="H65" s="1">
        <v>7</v>
      </c>
      <c r="I65" s="1" t="str">
        <f>TEXT(SalesTable[[#This Row],[Order_Date]],"mmm")</f>
        <v>Mar</v>
      </c>
      <c r="J65" s="1">
        <f>YEAR(SalesTable[[#This Row],[Order_Date]])</f>
        <v>2022</v>
      </c>
      <c r="K65" s="4">
        <v>288.23</v>
      </c>
      <c r="L65" s="9">
        <f>SalesTable[[#This Row],[Profit]]/SalesTable[[#This Row],[Sales]]</f>
        <v>1.0256565369012882</v>
      </c>
    </row>
    <row r="66" spans="1:12" ht="14" x14ac:dyDescent="0.15">
      <c r="A66" s="1">
        <v>10065</v>
      </c>
      <c r="B66" s="2">
        <v>44626</v>
      </c>
      <c r="C66" s="1" t="s">
        <v>9</v>
      </c>
      <c r="D66" s="1" t="s">
        <v>14</v>
      </c>
      <c r="E66" s="1" t="s">
        <v>20</v>
      </c>
      <c r="F66" s="1" t="s">
        <v>23</v>
      </c>
      <c r="G66" s="4">
        <v>573.04</v>
      </c>
      <c r="H66" s="1">
        <v>5</v>
      </c>
      <c r="I66" s="1" t="str">
        <f>TEXT(SalesTable[[#This Row],[Order_Date]],"mmm")</f>
        <v>Mar</v>
      </c>
      <c r="J66" s="1">
        <f>YEAR(SalesTable[[#This Row],[Order_Date]])</f>
        <v>2022</v>
      </c>
      <c r="K66" s="4">
        <v>186.43</v>
      </c>
      <c r="L66" s="9">
        <f>SalesTable[[#This Row],[Profit]]/SalesTable[[#This Row],[Sales]]</f>
        <v>0.32533505514449257</v>
      </c>
    </row>
    <row r="67" spans="1:12" ht="14" x14ac:dyDescent="0.15">
      <c r="A67" s="1">
        <v>10066</v>
      </c>
      <c r="B67" s="2">
        <v>44627</v>
      </c>
      <c r="C67" s="1" t="s">
        <v>12</v>
      </c>
      <c r="D67" s="1" t="s">
        <v>15</v>
      </c>
      <c r="E67" s="1" t="s">
        <v>17</v>
      </c>
      <c r="F67" s="1" t="s">
        <v>24</v>
      </c>
      <c r="G67" s="4">
        <v>232.87</v>
      </c>
      <c r="H67" s="1">
        <v>9</v>
      </c>
      <c r="I67" s="1" t="str">
        <f>TEXT(SalesTable[[#This Row],[Order_Date]],"mmm")</f>
        <v>Mar</v>
      </c>
      <c r="J67" s="1">
        <f>YEAR(SalesTable[[#This Row],[Order_Date]])</f>
        <v>2022</v>
      </c>
      <c r="K67" s="4">
        <v>29.28</v>
      </c>
      <c r="L67" s="9">
        <f>SalesTable[[#This Row],[Profit]]/SalesTable[[#This Row],[Sales]]</f>
        <v>0.12573538884356078</v>
      </c>
    </row>
    <row r="68" spans="1:12" ht="14" x14ac:dyDescent="0.15">
      <c r="A68" s="1">
        <v>10067</v>
      </c>
      <c r="B68" s="2">
        <v>44628</v>
      </c>
      <c r="C68" s="1" t="s">
        <v>10</v>
      </c>
      <c r="D68" s="1" t="s">
        <v>15</v>
      </c>
      <c r="E68" s="1" t="s">
        <v>18</v>
      </c>
      <c r="F68" s="1" t="s">
        <v>21</v>
      </c>
      <c r="G68" s="4">
        <v>146.78</v>
      </c>
      <c r="H68" s="1">
        <v>6</v>
      </c>
      <c r="I68" s="1" t="str">
        <f>TEXT(SalesTable[[#This Row],[Order_Date]],"mmm")</f>
        <v>Mar</v>
      </c>
      <c r="J68" s="1">
        <f>YEAR(SalesTable[[#This Row],[Order_Date]])</f>
        <v>2022</v>
      </c>
      <c r="K68" s="4">
        <v>27.48</v>
      </c>
      <c r="L68" s="9">
        <f>SalesTable[[#This Row],[Profit]]/SalesTable[[#This Row],[Sales]]</f>
        <v>0.18721896716173866</v>
      </c>
    </row>
    <row r="69" spans="1:12" ht="14" x14ac:dyDescent="0.15">
      <c r="A69" s="1">
        <v>10068</v>
      </c>
      <c r="B69" s="2">
        <v>44629</v>
      </c>
      <c r="C69" s="1" t="s">
        <v>11</v>
      </c>
      <c r="D69" s="1" t="s">
        <v>14</v>
      </c>
      <c r="E69" s="1" t="s">
        <v>16</v>
      </c>
      <c r="F69" s="1" t="s">
        <v>24</v>
      </c>
      <c r="G69" s="4">
        <v>915.56</v>
      </c>
      <c r="H69" s="1">
        <v>6</v>
      </c>
      <c r="I69" s="1" t="str">
        <f>TEXT(SalesTable[[#This Row],[Order_Date]],"mmm")</f>
        <v>Mar</v>
      </c>
      <c r="J69" s="1">
        <f>YEAR(SalesTable[[#This Row],[Order_Date]])</f>
        <v>2022</v>
      </c>
      <c r="K69" s="4">
        <v>79.42</v>
      </c>
      <c r="L69" s="9">
        <f>SalesTable[[#This Row],[Profit]]/SalesTable[[#This Row],[Sales]]</f>
        <v>8.6744724540172138E-2</v>
      </c>
    </row>
    <row r="70" spans="1:12" ht="14" x14ac:dyDescent="0.15">
      <c r="A70" s="1">
        <v>10069</v>
      </c>
      <c r="B70" s="2">
        <v>44630</v>
      </c>
      <c r="C70" s="1" t="s">
        <v>10</v>
      </c>
      <c r="D70" s="1" t="s">
        <v>15</v>
      </c>
      <c r="E70" s="1" t="s">
        <v>20</v>
      </c>
      <c r="F70" s="1" t="s">
        <v>25</v>
      </c>
      <c r="G70" s="4">
        <v>829.48</v>
      </c>
      <c r="H70" s="1">
        <v>4</v>
      </c>
      <c r="I70" s="1" t="str">
        <f>TEXT(SalesTable[[#This Row],[Order_Date]],"mmm")</f>
        <v>Mar</v>
      </c>
      <c r="J70" s="1">
        <f>YEAR(SalesTable[[#This Row],[Order_Date]])</f>
        <v>2022</v>
      </c>
      <c r="K70" s="4">
        <v>150.5</v>
      </c>
      <c r="L70" s="9">
        <f>SalesTable[[#This Row],[Profit]]/SalesTable[[#This Row],[Sales]]</f>
        <v>0.18143897381492019</v>
      </c>
    </row>
    <row r="71" spans="1:12" ht="14" x14ac:dyDescent="0.15">
      <c r="A71" s="1">
        <v>10070</v>
      </c>
      <c r="B71" s="2">
        <v>44631</v>
      </c>
      <c r="C71" s="1" t="s">
        <v>12</v>
      </c>
      <c r="D71" s="1" t="s">
        <v>15</v>
      </c>
      <c r="E71" s="1" t="s">
        <v>16</v>
      </c>
      <c r="F71" s="1" t="s">
        <v>25</v>
      </c>
      <c r="G71" s="4">
        <v>772.03</v>
      </c>
      <c r="H71" s="1">
        <v>1</v>
      </c>
      <c r="I71" s="1" t="str">
        <f>TEXT(SalesTable[[#This Row],[Order_Date]],"mmm")</f>
        <v>Mar</v>
      </c>
      <c r="J71" s="1">
        <f>YEAR(SalesTable[[#This Row],[Order_Date]])</f>
        <v>2022</v>
      </c>
      <c r="K71" s="4">
        <v>-41.45</v>
      </c>
      <c r="L71" s="9">
        <f>SalesTable[[#This Row],[Profit]]/SalesTable[[#This Row],[Sales]]</f>
        <v>-5.3689623460228236E-2</v>
      </c>
    </row>
    <row r="72" spans="1:12" ht="14" x14ac:dyDescent="0.15">
      <c r="A72" s="1">
        <v>10071</v>
      </c>
      <c r="B72" s="2">
        <v>44632</v>
      </c>
      <c r="C72" s="1" t="s">
        <v>12</v>
      </c>
      <c r="D72" s="1" t="s">
        <v>14</v>
      </c>
      <c r="E72" s="1" t="s">
        <v>20</v>
      </c>
      <c r="F72" s="1" t="s">
        <v>25</v>
      </c>
      <c r="G72" s="4">
        <v>96.33</v>
      </c>
      <c r="H72" s="1">
        <v>5</v>
      </c>
      <c r="I72" s="1" t="str">
        <f>TEXT(SalesTable[[#This Row],[Order_Date]],"mmm")</f>
        <v>Mar</v>
      </c>
      <c r="J72" s="1">
        <f>YEAR(SalesTable[[#This Row],[Order_Date]])</f>
        <v>2022</v>
      </c>
      <c r="K72" s="4">
        <v>-24.43</v>
      </c>
      <c r="L72" s="9">
        <f>SalesTable[[#This Row],[Profit]]/SalesTable[[#This Row],[Sales]]</f>
        <v>-0.25360739125921311</v>
      </c>
    </row>
    <row r="73" spans="1:12" ht="14" x14ac:dyDescent="0.15">
      <c r="A73" s="1">
        <v>10072</v>
      </c>
      <c r="B73" s="2">
        <v>44633</v>
      </c>
      <c r="C73" s="1" t="s">
        <v>12</v>
      </c>
      <c r="D73" s="1" t="s">
        <v>14</v>
      </c>
      <c r="E73" s="1" t="s">
        <v>17</v>
      </c>
      <c r="F73" s="1" t="s">
        <v>25</v>
      </c>
      <c r="G73" s="4">
        <v>851.54</v>
      </c>
      <c r="H73" s="1">
        <v>9</v>
      </c>
      <c r="I73" s="1" t="str">
        <f>TEXT(SalesTable[[#This Row],[Order_Date]],"mmm")</f>
        <v>Mar</v>
      </c>
      <c r="J73" s="1">
        <f>YEAR(SalesTable[[#This Row],[Order_Date]])</f>
        <v>2022</v>
      </c>
      <c r="K73" s="4">
        <v>243.77</v>
      </c>
      <c r="L73" s="9">
        <f>SalesTable[[#This Row],[Profit]]/SalesTable[[#This Row],[Sales]]</f>
        <v>0.28626958216877657</v>
      </c>
    </row>
    <row r="74" spans="1:12" ht="14" x14ac:dyDescent="0.15">
      <c r="A74" s="1">
        <v>10073</v>
      </c>
      <c r="B74" s="2">
        <v>44634</v>
      </c>
      <c r="C74" s="1" t="s">
        <v>11</v>
      </c>
      <c r="D74" s="1" t="s">
        <v>14</v>
      </c>
      <c r="E74" s="1" t="s">
        <v>17</v>
      </c>
      <c r="F74" s="1" t="s">
        <v>22</v>
      </c>
      <c r="G74" s="4">
        <v>466.14</v>
      </c>
      <c r="H74" s="1">
        <v>8</v>
      </c>
      <c r="I74" s="1" t="str">
        <f>TEXT(SalesTable[[#This Row],[Order_Date]],"mmm")</f>
        <v>Mar</v>
      </c>
      <c r="J74" s="1">
        <f>YEAR(SalesTable[[#This Row],[Order_Date]])</f>
        <v>2022</v>
      </c>
      <c r="K74" s="4">
        <v>2.5</v>
      </c>
      <c r="L74" s="9">
        <f>SalesTable[[#This Row],[Profit]]/SalesTable[[#This Row],[Sales]]</f>
        <v>5.3631956064701591E-3</v>
      </c>
    </row>
    <row r="75" spans="1:12" ht="14" x14ac:dyDescent="0.15">
      <c r="A75" s="1">
        <v>10074</v>
      </c>
      <c r="B75" s="2">
        <v>44635</v>
      </c>
      <c r="C75" s="1" t="s">
        <v>12</v>
      </c>
      <c r="D75" s="1" t="s">
        <v>13</v>
      </c>
      <c r="E75" s="1" t="s">
        <v>17</v>
      </c>
      <c r="F75" s="1" t="s">
        <v>21</v>
      </c>
      <c r="G75" s="4">
        <v>375.28</v>
      </c>
      <c r="H75" s="1">
        <v>8</v>
      </c>
      <c r="I75" s="1" t="str">
        <f>TEXT(SalesTable[[#This Row],[Order_Date]],"mmm")</f>
        <v>Mar</v>
      </c>
      <c r="J75" s="1">
        <f>YEAR(SalesTable[[#This Row],[Order_Date]])</f>
        <v>2022</v>
      </c>
      <c r="K75" s="4">
        <v>52.08</v>
      </c>
      <c r="L75" s="9">
        <f>SalesTable[[#This Row],[Profit]]/SalesTable[[#This Row],[Sales]]</f>
        <v>0.13877638030270731</v>
      </c>
    </row>
    <row r="76" spans="1:12" ht="14" x14ac:dyDescent="0.15">
      <c r="A76" s="1">
        <v>10075</v>
      </c>
      <c r="B76" s="2">
        <v>44636</v>
      </c>
      <c r="C76" s="1" t="s">
        <v>11</v>
      </c>
      <c r="D76" s="1" t="s">
        <v>13</v>
      </c>
      <c r="E76" s="1" t="s">
        <v>17</v>
      </c>
      <c r="F76" s="1" t="s">
        <v>21</v>
      </c>
      <c r="G76" s="4">
        <v>569.15</v>
      </c>
      <c r="H76" s="1">
        <v>5</v>
      </c>
      <c r="I76" s="1" t="str">
        <f>TEXT(SalesTable[[#This Row],[Order_Date]],"mmm")</f>
        <v>Mar</v>
      </c>
      <c r="J76" s="1">
        <f>YEAR(SalesTable[[#This Row],[Order_Date]])</f>
        <v>2022</v>
      </c>
      <c r="K76" s="4">
        <v>248.51</v>
      </c>
      <c r="L76" s="9">
        <f>SalesTable[[#This Row],[Profit]]/SalesTable[[#This Row],[Sales]]</f>
        <v>0.43663357638583855</v>
      </c>
    </row>
    <row r="77" spans="1:12" ht="14" x14ac:dyDescent="0.15">
      <c r="A77" s="1">
        <v>10076</v>
      </c>
      <c r="B77" s="2">
        <v>44637</v>
      </c>
      <c r="C77" s="1" t="s">
        <v>12</v>
      </c>
      <c r="D77" s="1" t="s">
        <v>14</v>
      </c>
      <c r="E77" s="1" t="s">
        <v>19</v>
      </c>
      <c r="F77" s="1" t="s">
        <v>25</v>
      </c>
      <c r="G77" s="4">
        <v>136.79</v>
      </c>
      <c r="H77" s="1">
        <v>9</v>
      </c>
      <c r="I77" s="1" t="str">
        <f>TEXT(SalesTable[[#This Row],[Order_Date]],"mmm")</f>
        <v>Mar</v>
      </c>
      <c r="J77" s="1">
        <f>YEAR(SalesTable[[#This Row],[Order_Date]])</f>
        <v>2022</v>
      </c>
      <c r="K77" s="4">
        <v>165.26</v>
      </c>
      <c r="L77" s="9">
        <f>SalesTable[[#This Row],[Profit]]/SalesTable[[#This Row],[Sales]]</f>
        <v>1.2081292492141238</v>
      </c>
    </row>
    <row r="78" spans="1:12" ht="14" x14ac:dyDescent="0.15">
      <c r="A78" s="1">
        <v>10077</v>
      </c>
      <c r="B78" s="2">
        <v>44638</v>
      </c>
      <c r="C78" s="1" t="s">
        <v>10</v>
      </c>
      <c r="D78" s="1" t="s">
        <v>14</v>
      </c>
      <c r="E78" s="1" t="s">
        <v>19</v>
      </c>
      <c r="F78" s="1" t="s">
        <v>22</v>
      </c>
      <c r="G78" s="4">
        <v>768.81</v>
      </c>
      <c r="H78" s="1">
        <v>3</v>
      </c>
      <c r="I78" s="1" t="str">
        <f>TEXT(SalesTable[[#This Row],[Order_Date]],"mmm")</f>
        <v>Mar</v>
      </c>
      <c r="J78" s="1">
        <f>YEAR(SalesTable[[#This Row],[Order_Date]])</f>
        <v>2022</v>
      </c>
      <c r="K78" s="4">
        <v>36.68</v>
      </c>
      <c r="L78" s="9">
        <f>SalesTable[[#This Row],[Profit]]/SalesTable[[#This Row],[Sales]]</f>
        <v>4.7710097423290541E-2</v>
      </c>
    </row>
    <row r="79" spans="1:12" ht="14" x14ac:dyDescent="0.15">
      <c r="A79" s="1">
        <v>10078</v>
      </c>
      <c r="B79" s="2">
        <v>44639</v>
      </c>
      <c r="C79" s="1" t="s">
        <v>10</v>
      </c>
      <c r="D79" s="1" t="s">
        <v>14</v>
      </c>
      <c r="E79" s="1" t="s">
        <v>18</v>
      </c>
      <c r="F79" s="1" t="s">
        <v>25</v>
      </c>
      <c r="G79" s="4">
        <v>603.30999999999995</v>
      </c>
      <c r="H79" s="1">
        <v>3</v>
      </c>
      <c r="I79" s="1" t="str">
        <f>TEXT(SalesTable[[#This Row],[Order_Date]],"mmm")</f>
        <v>Mar</v>
      </c>
      <c r="J79" s="1">
        <f>YEAR(SalesTable[[#This Row],[Order_Date]])</f>
        <v>2022</v>
      </c>
      <c r="K79" s="4">
        <v>173.48</v>
      </c>
      <c r="L79" s="9">
        <f>SalesTable[[#This Row],[Profit]]/SalesTable[[#This Row],[Sales]]</f>
        <v>0.28754703220566541</v>
      </c>
    </row>
    <row r="80" spans="1:12" ht="14" x14ac:dyDescent="0.15">
      <c r="A80" s="1">
        <v>10079</v>
      </c>
      <c r="B80" s="2">
        <v>44640</v>
      </c>
      <c r="C80" s="1" t="s">
        <v>9</v>
      </c>
      <c r="D80" s="1" t="s">
        <v>13</v>
      </c>
      <c r="E80" s="1" t="s">
        <v>16</v>
      </c>
      <c r="F80" s="1" t="s">
        <v>22</v>
      </c>
      <c r="G80" s="4">
        <v>227.26</v>
      </c>
      <c r="H80" s="1">
        <v>1</v>
      </c>
      <c r="I80" s="1" t="str">
        <f>TEXT(SalesTable[[#This Row],[Order_Date]],"mmm")</f>
        <v>Mar</v>
      </c>
      <c r="J80" s="1">
        <f>YEAR(SalesTable[[#This Row],[Order_Date]])</f>
        <v>2022</v>
      </c>
      <c r="K80" s="4">
        <v>-92.13</v>
      </c>
      <c r="L80" s="9">
        <f>SalesTable[[#This Row],[Profit]]/SalesTable[[#This Row],[Sales]]</f>
        <v>-0.40539470210331779</v>
      </c>
    </row>
    <row r="81" spans="1:12" ht="14" x14ac:dyDescent="0.15">
      <c r="A81" s="1">
        <v>10080</v>
      </c>
      <c r="B81" s="2">
        <v>44641</v>
      </c>
      <c r="C81" s="1" t="s">
        <v>10</v>
      </c>
      <c r="D81" s="1" t="s">
        <v>13</v>
      </c>
      <c r="E81" s="1" t="s">
        <v>20</v>
      </c>
      <c r="F81" s="1" t="s">
        <v>25</v>
      </c>
      <c r="G81" s="4">
        <v>228.82</v>
      </c>
      <c r="H81" s="1">
        <v>9</v>
      </c>
      <c r="I81" s="1" t="str">
        <f>TEXT(SalesTable[[#This Row],[Order_Date]],"mmm")</f>
        <v>Mar</v>
      </c>
      <c r="J81" s="1">
        <f>YEAR(SalesTable[[#This Row],[Order_Date]])</f>
        <v>2022</v>
      </c>
      <c r="K81" s="4">
        <v>194.26</v>
      </c>
      <c r="L81" s="9">
        <f>SalesTable[[#This Row],[Profit]]/SalesTable[[#This Row],[Sales]]</f>
        <v>0.8489642513766279</v>
      </c>
    </row>
    <row r="82" spans="1:12" ht="14" x14ac:dyDescent="0.15">
      <c r="A82" s="1">
        <v>10081</v>
      </c>
      <c r="B82" s="2">
        <v>44642</v>
      </c>
      <c r="C82" s="1" t="s">
        <v>9</v>
      </c>
      <c r="D82" s="1" t="s">
        <v>15</v>
      </c>
      <c r="E82" s="1" t="s">
        <v>20</v>
      </c>
      <c r="F82" s="1" t="s">
        <v>23</v>
      </c>
      <c r="G82" s="4">
        <v>225.04</v>
      </c>
      <c r="H82" s="1">
        <v>6</v>
      </c>
      <c r="I82" s="1" t="str">
        <f>TEXT(SalesTable[[#This Row],[Order_Date]],"mmm")</f>
        <v>Mar</v>
      </c>
      <c r="J82" s="1">
        <f>YEAR(SalesTable[[#This Row],[Order_Date]])</f>
        <v>2022</v>
      </c>
      <c r="K82" s="4">
        <v>94.81</v>
      </c>
      <c r="L82" s="9">
        <f>SalesTable[[#This Row],[Profit]]/SalesTable[[#This Row],[Sales]]</f>
        <v>0.42130287948809103</v>
      </c>
    </row>
    <row r="83" spans="1:12" ht="14" x14ac:dyDescent="0.15">
      <c r="A83" s="1">
        <v>10082</v>
      </c>
      <c r="B83" s="2">
        <v>44643</v>
      </c>
      <c r="C83" s="1" t="s">
        <v>10</v>
      </c>
      <c r="D83" s="1" t="s">
        <v>15</v>
      </c>
      <c r="E83" s="1" t="s">
        <v>19</v>
      </c>
      <c r="F83" s="1" t="s">
        <v>23</v>
      </c>
      <c r="G83" s="4">
        <v>104.15</v>
      </c>
      <c r="H83" s="1">
        <v>2</v>
      </c>
      <c r="I83" s="1" t="str">
        <f>TEXT(SalesTable[[#This Row],[Order_Date]],"mmm")</f>
        <v>Mar</v>
      </c>
      <c r="J83" s="1">
        <f>YEAR(SalesTable[[#This Row],[Order_Date]])</f>
        <v>2022</v>
      </c>
      <c r="K83" s="4">
        <v>225.27</v>
      </c>
      <c r="L83" s="9">
        <f>SalesTable[[#This Row],[Profit]]/SalesTable[[#This Row],[Sales]]</f>
        <v>2.1629380700912146</v>
      </c>
    </row>
    <row r="84" spans="1:12" ht="14" x14ac:dyDescent="0.15">
      <c r="A84" s="1">
        <v>10083</v>
      </c>
      <c r="B84" s="2">
        <v>44644</v>
      </c>
      <c r="C84" s="1" t="s">
        <v>11</v>
      </c>
      <c r="D84" s="1" t="s">
        <v>14</v>
      </c>
      <c r="E84" s="1" t="s">
        <v>20</v>
      </c>
      <c r="F84" s="1" t="s">
        <v>24</v>
      </c>
      <c r="G84" s="4">
        <v>608.41</v>
      </c>
      <c r="H84" s="1">
        <v>8</v>
      </c>
      <c r="I84" s="1" t="str">
        <f>TEXT(SalesTable[[#This Row],[Order_Date]],"mmm")</f>
        <v>Mar</v>
      </c>
      <c r="J84" s="1">
        <f>YEAR(SalesTable[[#This Row],[Order_Date]])</f>
        <v>2022</v>
      </c>
      <c r="K84" s="4">
        <v>281.86</v>
      </c>
      <c r="L84" s="9">
        <f>SalesTable[[#This Row],[Profit]]/SalesTable[[#This Row],[Sales]]</f>
        <v>0.46327312174356111</v>
      </c>
    </row>
    <row r="85" spans="1:12" ht="14" x14ac:dyDescent="0.15">
      <c r="A85" s="1">
        <v>10084</v>
      </c>
      <c r="B85" s="2">
        <v>44645</v>
      </c>
      <c r="C85" s="1" t="s">
        <v>10</v>
      </c>
      <c r="D85" s="1" t="s">
        <v>13</v>
      </c>
      <c r="E85" s="1" t="s">
        <v>19</v>
      </c>
      <c r="F85" s="1" t="s">
        <v>25</v>
      </c>
      <c r="G85" s="4">
        <v>848.33</v>
      </c>
      <c r="H85" s="1">
        <v>9</v>
      </c>
      <c r="I85" s="1" t="str">
        <f>TEXT(SalesTable[[#This Row],[Order_Date]],"mmm")</f>
        <v>Mar</v>
      </c>
      <c r="J85" s="1">
        <f>YEAR(SalesTable[[#This Row],[Order_Date]])</f>
        <v>2022</v>
      </c>
      <c r="K85" s="4">
        <v>270.32</v>
      </c>
      <c r="L85" s="9">
        <f>SalesTable[[#This Row],[Profit]]/SalesTable[[#This Row],[Sales]]</f>
        <v>0.31864958212016548</v>
      </c>
    </row>
    <row r="86" spans="1:12" ht="14" x14ac:dyDescent="0.15">
      <c r="A86" s="1">
        <v>10085</v>
      </c>
      <c r="B86" s="2">
        <v>44646</v>
      </c>
      <c r="C86" s="1" t="s">
        <v>9</v>
      </c>
      <c r="D86" s="1" t="s">
        <v>13</v>
      </c>
      <c r="E86" s="1" t="s">
        <v>18</v>
      </c>
      <c r="F86" s="1" t="s">
        <v>21</v>
      </c>
      <c r="G86" s="4">
        <v>66.62</v>
      </c>
      <c r="H86" s="1">
        <v>9</v>
      </c>
      <c r="I86" s="1" t="str">
        <f>TEXT(SalesTable[[#This Row],[Order_Date]],"mmm")</f>
        <v>Mar</v>
      </c>
      <c r="J86" s="1">
        <f>YEAR(SalesTable[[#This Row],[Order_Date]])</f>
        <v>2022</v>
      </c>
      <c r="K86" s="4">
        <v>263.70999999999998</v>
      </c>
      <c r="L86" s="9">
        <f>SalesTable[[#This Row],[Profit]]/SalesTable[[#This Row],[Sales]]</f>
        <v>3.9584208946262378</v>
      </c>
    </row>
    <row r="87" spans="1:12" ht="14" x14ac:dyDescent="0.15">
      <c r="A87" s="1">
        <v>10086</v>
      </c>
      <c r="B87" s="2">
        <v>44647</v>
      </c>
      <c r="C87" s="1" t="s">
        <v>9</v>
      </c>
      <c r="D87" s="1" t="s">
        <v>13</v>
      </c>
      <c r="E87" s="1" t="s">
        <v>16</v>
      </c>
      <c r="F87" s="1" t="s">
        <v>24</v>
      </c>
      <c r="G87" s="4">
        <v>96.55</v>
      </c>
      <c r="H87" s="1">
        <v>2</v>
      </c>
      <c r="I87" s="1" t="str">
        <f>TEXT(SalesTable[[#This Row],[Order_Date]],"mmm")</f>
        <v>Mar</v>
      </c>
      <c r="J87" s="1">
        <f>YEAR(SalesTable[[#This Row],[Order_Date]])</f>
        <v>2022</v>
      </c>
      <c r="K87" s="4">
        <v>104.87</v>
      </c>
      <c r="L87" s="9">
        <f>SalesTable[[#This Row],[Profit]]/SalesTable[[#This Row],[Sales]]</f>
        <v>1.0861729673744174</v>
      </c>
    </row>
    <row r="88" spans="1:12" ht="14" x14ac:dyDescent="0.15">
      <c r="A88" s="1">
        <v>10087</v>
      </c>
      <c r="B88" s="2">
        <v>44648</v>
      </c>
      <c r="C88" s="1" t="s">
        <v>12</v>
      </c>
      <c r="D88" s="1" t="s">
        <v>14</v>
      </c>
      <c r="E88" s="1" t="s">
        <v>18</v>
      </c>
      <c r="F88" s="1" t="s">
        <v>23</v>
      </c>
      <c r="G88" s="4">
        <v>594.13</v>
      </c>
      <c r="H88" s="1">
        <v>2</v>
      </c>
      <c r="I88" s="1" t="str">
        <f>TEXT(SalesTable[[#This Row],[Order_Date]],"mmm")</f>
        <v>Mar</v>
      </c>
      <c r="J88" s="1">
        <f>YEAR(SalesTable[[#This Row],[Order_Date]])</f>
        <v>2022</v>
      </c>
      <c r="K88" s="4">
        <v>44.06</v>
      </c>
      <c r="L88" s="9">
        <f>SalesTable[[#This Row],[Profit]]/SalesTable[[#This Row],[Sales]]</f>
        <v>7.4158854122835072E-2</v>
      </c>
    </row>
    <row r="89" spans="1:12" ht="14" x14ac:dyDescent="0.15">
      <c r="A89" s="1">
        <v>10088</v>
      </c>
      <c r="B89" s="2">
        <v>44649</v>
      </c>
      <c r="C89" s="1" t="s">
        <v>11</v>
      </c>
      <c r="D89" s="1" t="s">
        <v>15</v>
      </c>
      <c r="E89" s="1" t="s">
        <v>17</v>
      </c>
      <c r="F89" s="1" t="s">
        <v>25</v>
      </c>
      <c r="G89" s="4">
        <v>828.52</v>
      </c>
      <c r="H89" s="1">
        <v>7</v>
      </c>
      <c r="I89" s="1" t="str">
        <f>TEXT(SalesTable[[#This Row],[Order_Date]],"mmm")</f>
        <v>Mar</v>
      </c>
      <c r="J89" s="1">
        <f>YEAR(SalesTable[[#This Row],[Order_Date]])</f>
        <v>2022</v>
      </c>
      <c r="K89" s="4">
        <v>86.01</v>
      </c>
      <c r="L89" s="9">
        <f>SalesTable[[#This Row],[Profit]]/SalesTable[[#This Row],[Sales]]</f>
        <v>0.10381161589340029</v>
      </c>
    </row>
    <row r="90" spans="1:12" ht="14" x14ac:dyDescent="0.15">
      <c r="A90" s="1">
        <v>10089</v>
      </c>
      <c r="B90" s="2">
        <v>44650</v>
      </c>
      <c r="C90" s="1" t="s">
        <v>10</v>
      </c>
      <c r="D90" s="1" t="s">
        <v>14</v>
      </c>
      <c r="E90" s="1" t="s">
        <v>17</v>
      </c>
      <c r="F90" s="1" t="s">
        <v>24</v>
      </c>
      <c r="G90" s="4">
        <v>360.4</v>
      </c>
      <c r="H90" s="1">
        <v>4</v>
      </c>
      <c r="I90" s="1" t="str">
        <f>TEXT(SalesTable[[#This Row],[Order_Date]],"mmm")</f>
        <v>Mar</v>
      </c>
      <c r="J90" s="1">
        <f>YEAR(SalesTable[[#This Row],[Order_Date]])</f>
        <v>2022</v>
      </c>
      <c r="K90" s="4">
        <v>175.96</v>
      </c>
      <c r="L90" s="9">
        <f>SalesTable[[#This Row],[Profit]]/SalesTable[[#This Row],[Sales]]</f>
        <v>0.4882352941176471</v>
      </c>
    </row>
    <row r="91" spans="1:12" ht="14" x14ac:dyDescent="0.15">
      <c r="A91" s="1">
        <v>10090</v>
      </c>
      <c r="B91" s="2">
        <v>44651</v>
      </c>
      <c r="C91" s="1" t="s">
        <v>12</v>
      </c>
      <c r="D91" s="1" t="s">
        <v>15</v>
      </c>
      <c r="E91" s="1" t="s">
        <v>17</v>
      </c>
      <c r="F91" s="1" t="s">
        <v>25</v>
      </c>
      <c r="G91" s="4">
        <v>382.13</v>
      </c>
      <c r="H91" s="1">
        <v>1</v>
      </c>
      <c r="I91" s="1" t="str">
        <f>TEXT(SalesTable[[#This Row],[Order_Date]],"mmm")</f>
        <v>Mar</v>
      </c>
      <c r="J91" s="1">
        <f>YEAR(SalesTable[[#This Row],[Order_Date]])</f>
        <v>2022</v>
      </c>
      <c r="K91" s="4">
        <v>253.6</v>
      </c>
      <c r="L91" s="9">
        <f>SalesTable[[#This Row],[Profit]]/SalesTable[[#This Row],[Sales]]</f>
        <v>0.66364849658493186</v>
      </c>
    </row>
    <row r="92" spans="1:12" ht="14" x14ac:dyDescent="0.15">
      <c r="A92" s="1">
        <v>10091</v>
      </c>
      <c r="B92" s="2">
        <v>44652</v>
      </c>
      <c r="C92" s="1" t="s">
        <v>10</v>
      </c>
      <c r="D92" s="1" t="s">
        <v>15</v>
      </c>
      <c r="E92" s="1" t="s">
        <v>18</v>
      </c>
      <c r="F92" s="1" t="s">
        <v>23</v>
      </c>
      <c r="G92" s="4">
        <v>616.53</v>
      </c>
      <c r="H92" s="1">
        <v>8</v>
      </c>
      <c r="I92" s="1" t="str">
        <f>TEXT(SalesTable[[#This Row],[Order_Date]],"mmm")</f>
        <v>Apr</v>
      </c>
      <c r="J92" s="1">
        <f>YEAR(SalesTable[[#This Row],[Order_Date]])</f>
        <v>2022</v>
      </c>
      <c r="K92" s="4">
        <v>-17.21</v>
      </c>
      <c r="L92" s="9">
        <f>SalesTable[[#This Row],[Profit]]/SalesTable[[#This Row],[Sales]]</f>
        <v>-2.7914294519325908E-2</v>
      </c>
    </row>
    <row r="93" spans="1:12" ht="14" x14ac:dyDescent="0.15">
      <c r="A93" s="1">
        <v>10092</v>
      </c>
      <c r="B93" s="2">
        <v>44653</v>
      </c>
      <c r="C93" s="1" t="s">
        <v>10</v>
      </c>
      <c r="D93" s="1" t="s">
        <v>14</v>
      </c>
      <c r="E93" s="1" t="s">
        <v>20</v>
      </c>
      <c r="F93" s="1" t="s">
        <v>24</v>
      </c>
      <c r="G93" s="4">
        <v>310.5</v>
      </c>
      <c r="H93" s="1">
        <v>2</v>
      </c>
      <c r="I93" s="1" t="str">
        <f>TEXT(SalesTable[[#This Row],[Order_Date]],"mmm")</f>
        <v>Apr</v>
      </c>
      <c r="J93" s="1">
        <f>YEAR(SalesTable[[#This Row],[Order_Date]])</f>
        <v>2022</v>
      </c>
      <c r="K93" s="4">
        <v>267.27999999999997</v>
      </c>
      <c r="L93" s="9">
        <f>SalesTable[[#This Row],[Profit]]/SalesTable[[#This Row],[Sales]]</f>
        <v>0.8608051529790659</v>
      </c>
    </row>
    <row r="94" spans="1:12" ht="14" x14ac:dyDescent="0.15">
      <c r="A94" s="1">
        <v>10093</v>
      </c>
      <c r="B94" s="2">
        <v>44654</v>
      </c>
      <c r="C94" s="1" t="s">
        <v>12</v>
      </c>
      <c r="D94" s="1" t="s">
        <v>15</v>
      </c>
      <c r="E94" s="1" t="s">
        <v>16</v>
      </c>
      <c r="F94" s="1" t="s">
        <v>23</v>
      </c>
      <c r="G94" s="4">
        <v>75.28</v>
      </c>
      <c r="H94" s="1">
        <v>3</v>
      </c>
      <c r="I94" s="1" t="str">
        <f>TEXT(SalesTable[[#This Row],[Order_Date]],"mmm")</f>
        <v>Apr</v>
      </c>
      <c r="J94" s="1">
        <f>YEAR(SalesTable[[#This Row],[Order_Date]])</f>
        <v>2022</v>
      </c>
      <c r="K94" s="4">
        <v>226.07</v>
      </c>
      <c r="L94" s="9">
        <f>SalesTable[[#This Row],[Profit]]/SalesTable[[#This Row],[Sales]]</f>
        <v>3.0030552603613176</v>
      </c>
    </row>
    <row r="95" spans="1:12" ht="14" x14ac:dyDescent="0.15">
      <c r="A95" s="1">
        <v>10094</v>
      </c>
      <c r="B95" s="2">
        <v>44655</v>
      </c>
      <c r="C95" s="1" t="s">
        <v>12</v>
      </c>
      <c r="D95" s="1" t="s">
        <v>15</v>
      </c>
      <c r="E95" s="1" t="s">
        <v>17</v>
      </c>
      <c r="F95" s="1" t="s">
        <v>22</v>
      </c>
      <c r="G95" s="4">
        <v>748.47</v>
      </c>
      <c r="H95" s="1">
        <v>5</v>
      </c>
      <c r="I95" s="1" t="str">
        <f>TEXT(SalesTable[[#This Row],[Order_Date]],"mmm")</f>
        <v>Apr</v>
      </c>
      <c r="J95" s="1">
        <f>YEAR(SalesTable[[#This Row],[Order_Date]])</f>
        <v>2022</v>
      </c>
      <c r="K95" s="4">
        <v>291.54000000000002</v>
      </c>
      <c r="L95" s="9">
        <f>SalesTable[[#This Row],[Profit]]/SalesTable[[#This Row],[Sales]]</f>
        <v>0.38951460980400016</v>
      </c>
    </row>
    <row r="96" spans="1:12" ht="14" x14ac:dyDescent="0.15">
      <c r="A96" s="1">
        <v>10095</v>
      </c>
      <c r="B96" s="2">
        <v>44656</v>
      </c>
      <c r="C96" s="1" t="s">
        <v>12</v>
      </c>
      <c r="D96" s="1" t="s">
        <v>13</v>
      </c>
      <c r="E96" s="1" t="s">
        <v>17</v>
      </c>
      <c r="F96" s="1" t="s">
        <v>23</v>
      </c>
      <c r="G96" s="4">
        <v>644.37</v>
      </c>
      <c r="H96" s="1">
        <v>3</v>
      </c>
      <c r="I96" s="1" t="str">
        <f>TEXT(SalesTable[[#This Row],[Order_Date]],"mmm")</f>
        <v>Apr</v>
      </c>
      <c r="J96" s="1">
        <f>YEAR(SalesTable[[#This Row],[Order_Date]])</f>
        <v>2022</v>
      </c>
      <c r="K96" s="4">
        <v>252.1</v>
      </c>
      <c r="L96" s="9">
        <f>SalesTable[[#This Row],[Profit]]/SalesTable[[#This Row],[Sales]]</f>
        <v>0.39123484954296445</v>
      </c>
    </row>
    <row r="97" spans="1:12" ht="14" x14ac:dyDescent="0.15">
      <c r="A97" s="1">
        <v>10096</v>
      </c>
      <c r="B97" s="2">
        <v>44657</v>
      </c>
      <c r="C97" s="1" t="s">
        <v>12</v>
      </c>
      <c r="D97" s="1" t="s">
        <v>15</v>
      </c>
      <c r="E97" s="1" t="s">
        <v>17</v>
      </c>
      <c r="F97" s="1" t="s">
        <v>25</v>
      </c>
      <c r="G97" s="4">
        <v>601.72</v>
      </c>
      <c r="H97" s="1">
        <v>7</v>
      </c>
      <c r="I97" s="1" t="str">
        <f>TEXT(SalesTable[[#This Row],[Order_Date]],"mmm")</f>
        <v>Apr</v>
      </c>
      <c r="J97" s="1">
        <f>YEAR(SalesTable[[#This Row],[Order_Date]])</f>
        <v>2022</v>
      </c>
      <c r="K97" s="4">
        <v>11.97</v>
      </c>
      <c r="L97" s="9">
        <f>SalesTable[[#This Row],[Profit]]/SalesTable[[#This Row],[Sales]]</f>
        <v>1.9892973476035365E-2</v>
      </c>
    </row>
    <row r="98" spans="1:12" ht="14" x14ac:dyDescent="0.15">
      <c r="A98" s="1">
        <v>10097</v>
      </c>
      <c r="B98" s="2">
        <v>44658</v>
      </c>
      <c r="C98" s="1" t="s">
        <v>12</v>
      </c>
      <c r="D98" s="1" t="s">
        <v>14</v>
      </c>
      <c r="E98" s="1" t="s">
        <v>16</v>
      </c>
      <c r="F98" s="1" t="s">
        <v>21</v>
      </c>
      <c r="G98" s="4">
        <v>754.6</v>
      </c>
      <c r="H98" s="1">
        <v>7</v>
      </c>
      <c r="I98" s="1" t="str">
        <f>TEXT(SalesTable[[#This Row],[Order_Date]],"mmm")</f>
        <v>Apr</v>
      </c>
      <c r="J98" s="1">
        <f>YEAR(SalesTable[[#This Row],[Order_Date]])</f>
        <v>2022</v>
      </c>
      <c r="K98" s="4">
        <v>-57.62</v>
      </c>
      <c r="L98" s="9">
        <f>SalesTable[[#This Row],[Profit]]/SalesTable[[#This Row],[Sales]]</f>
        <v>-7.6358335542009007E-2</v>
      </c>
    </row>
    <row r="99" spans="1:12" ht="14" x14ac:dyDescent="0.15">
      <c r="A99" s="1">
        <v>10098</v>
      </c>
      <c r="B99" s="2">
        <v>44659</v>
      </c>
      <c r="C99" s="1" t="s">
        <v>10</v>
      </c>
      <c r="D99" s="1" t="s">
        <v>14</v>
      </c>
      <c r="E99" s="1" t="s">
        <v>17</v>
      </c>
      <c r="F99" s="1" t="s">
        <v>23</v>
      </c>
      <c r="G99" s="4">
        <v>691.47</v>
      </c>
      <c r="H99" s="1">
        <v>2</v>
      </c>
      <c r="I99" s="1" t="str">
        <f>TEXT(SalesTable[[#This Row],[Order_Date]],"mmm")</f>
        <v>Apr</v>
      </c>
      <c r="J99" s="1">
        <f>YEAR(SalesTable[[#This Row],[Order_Date]])</f>
        <v>2022</v>
      </c>
      <c r="K99" s="4">
        <v>-55.1</v>
      </c>
      <c r="L99" s="9">
        <f>SalesTable[[#This Row],[Profit]]/SalesTable[[#This Row],[Sales]]</f>
        <v>-7.9685308111704045E-2</v>
      </c>
    </row>
    <row r="100" spans="1:12" ht="14" x14ac:dyDescent="0.15">
      <c r="A100" s="1">
        <v>10099</v>
      </c>
      <c r="B100" s="2">
        <v>44660</v>
      </c>
      <c r="C100" s="1" t="s">
        <v>12</v>
      </c>
      <c r="D100" s="1" t="s">
        <v>15</v>
      </c>
      <c r="E100" s="1" t="s">
        <v>16</v>
      </c>
      <c r="F100" s="1" t="s">
        <v>21</v>
      </c>
      <c r="G100" s="4">
        <v>245.59</v>
      </c>
      <c r="H100" s="1">
        <v>7</v>
      </c>
      <c r="I100" s="1" t="str">
        <f>TEXT(SalesTable[[#This Row],[Order_Date]],"mmm")</f>
        <v>Apr</v>
      </c>
      <c r="J100" s="1">
        <f>YEAR(SalesTable[[#This Row],[Order_Date]])</f>
        <v>2022</v>
      </c>
      <c r="K100" s="4">
        <v>16.489999999999998</v>
      </c>
      <c r="L100" s="9">
        <f>SalesTable[[#This Row],[Profit]]/SalesTable[[#This Row],[Sales]]</f>
        <v>6.7144427704711102E-2</v>
      </c>
    </row>
    <row r="101" spans="1:12" ht="14" x14ac:dyDescent="0.15">
      <c r="A101" s="1">
        <v>10100</v>
      </c>
      <c r="B101" s="2">
        <v>44661</v>
      </c>
      <c r="C101" s="1" t="s">
        <v>11</v>
      </c>
      <c r="D101" s="1" t="s">
        <v>13</v>
      </c>
      <c r="E101" s="1" t="s">
        <v>17</v>
      </c>
      <c r="F101" s="1" t="s">
        <v>22</v>
      </c>
      <c r="G101" s="4">
        <v>384.86</v>
      </c>
      <c r="H101" s="1">
        <v>6</v>
      </c>
      <c r="I101" s="1" t="str">
        <f>TEXT(SalesTable[[#This Row],[Order_Date]],"mmm")</f>
        <v>Apr</v>
      </c>
      <c r="J101" s="1">
        <f>YEAR(SalesTable[[#This Row],[Order_Date]])</f>
        <v>2022</v>
      </c>
      <c r="K101" s="4">
        <v>145.66999999999999</v>
      </c>
      <c r="L101" s="9">
        <f>SalesTable[[#This Row],[Profit]]/SalesTable[[#This Row],[Sales]]</f>
        <v>0.37850127319025095</v>
      </c>
    </row>
    <row r="102" spans="1:12" ht="14" x14ac:dyDescent="0.15">
      <c r="A102" s="1">
        <v>10101</v>
      </c>
      <c r="B102" s="2">
        <v>44662</v>
      </c>
      <c r="C102" s="1" t="s">
        <v>9</v>
      </c>
      <c r="D102" s="1" t="s">
        <v>13</v>
      </c>
      <c r="E102" s="1" t="s">
        <v>18</v>
      </c>
      <c r="F102" s="1" t="s">
        <v>24</v>
      </c>
      <c r="G102" s="4">
        <v>169.8</v>
      </c>
      <c r="H102" s="1">
        <v>9</v>
      </c>
      <c r="I102" s="1" t="str">
        <f>TEXT(SalesTable[[#This Row],[Order_Date]],"mmm")</f>
        <v>Apr</v>
      </c>
      <c r="J102" s="1">
        <f>YEAR(SalesTable[[#This Row],[Order_Date]])</f>
        <v>2022</v>
      </c>
      <c r="K102" s="4">
        <v>221.73</v>
      </c>
      <c r="L102" s="9">
        <f>SalesTable[[#This Row],[Profit]]/SalesTable[[#This Row],[Sales]]</f>
        <v>1.3058303886925793</v>
      </c>
    </row>
    <row r="103" spans="1:12" ht="14" x14ac:dyDescent="0.15">
      <c r="A103" s="1">
        <v>10102</v>
      </c>
      <c r="B103" s="2">
        <v>44663</v>
      </c>
      <c r="C103" s="1" t="s">
        <v>12</v>
      </c>
      <c r="D103" s="1" t="s">
        <v>15</v>
      </c>
      <c r="E103" s="1" t="s">
        <v>18</v>
      </c>
      <c r="F103" s="1" t="s">
        <v>24</v>
      </c>
      <c r="G103" s="4">
        <v>173.36</v>
      </c>
      <c r="H103" s="1">
        <v>9</v>
      </c>
      <c r="I103" s="1" t="str">
        <f>TEXT(SalesTable[[#This Row],[Order_Date]],"mmm")</f>
        <v>Apr</v>
      </c>
      <c r="J103" s="1">
        <f>YEAR(SalesTable[[#This Row],[Order_Date]])</f>
        <v>2022</v>
      </c>
      <c r="K103" s="4">
        <v>259.7</v>
      </c>
      <c r="L103" s="9">
        <f>SalesTable[[#This Row],[Profit]]/SalesTable[[#This Row],[Sales]]</f>
        <v>1.4980387632671894</v>
      </c>
    </row>
    <row r="104" spans="1:12" ht="14" x14ac:dyDescent="0.15">
      <c r="A104" s="1">
        <v>10103</v>
      </c>
      <c r="B104" s="2">
        <v>44664</v>
      </c>
      <c r="C104" s="1" t="s">
        <v>12</v>
      </c>
      <c r="D104" s="1" t="s">
        <v>15</v>
      </c>
      <c r="E104" s="1" t="s">
        <v>16</v>
      </c>
      <c r="F104" s="1" t="s">
        <v>21</v>
      </c>
      <c r="G104" s="4">
        <v>692.39</v>
      </c>
      <c r="H104" s="1">
        <v>2</v>
      </c>
      <c r="I104" s="1" t="str">
        <f>TEXT(SalesTable[[#This Row],[Order_Date]],"mmm")</f>
        <v>Apr</v>
      </c>
      <c r="J104" s="1">
        <f>YEAR(SalesTable[[#This Row],[Order_Date]])</f>
        <v>2022</v>
      </c>
      <c r="K104" s="4">
        <v>149.5</v>
      </c>
      <c r="L104" s="9">
        <f>SalesTable[[#This Row],[Profit]]/SalesTable[[#This Row],[Sales]]</f>
        <v>0.21591877410130128</v>
      </c>
    </row>
    <row r="105" spans="1:12" ht="14" x14ac:dyDescent="0.15">
      <c r="A105" s="1">
        <v>10104</v>
      </c>
      <c r="B105" s="2">
        <v>44665</v>
      </c>
      <c r="C105" s="1" t="s">
        <v>10</v>
      </c>
      <c r="D105" s="1" t="s">
        <v>14</v>
      </c>
      <c r="E105" s="1" t="s">
        <v>18</v>
      </c>
      <c r="F105" s="1" t="s">
        <v>24</v>
      </c>
      <c r="G105" s="4">
        <v>865.67</v>
      </c>
      <c r="H105" s="1">
        <v>7</v>
      </c>
      <c r="I105" s="1" t="str">
        <f>TEXT(SalesTable[[#This Row],[Order_Date]],"mmm")</f>
        <v>Apr</v>
      </c>
      <c r="J105" s="1">
        <f>YEAR(SalesTable[[#This Row],[Order_Date]])</f>
        <v>2022</v>
      </c>
      <c r="K105" s="4">
        <v>-97.75</v>
      </c>
      <c r="L105" s="9">
        <f>SalesTable[[#This Row],[Profit]]/SalesTable[[#This Row],[Sales]]</f>
        <v>-0.11291831760370581</v>
      </c>
    </row>
    <row r="106" spans="1:12" ht="14" x14ac:dyDescent="0.15">
      <c r="A106" s="1">
        <v>10105</v>
      </c>
      <c r="B106" s="2">
        <v>44666</v>
      </c>
      <c r="C106" s="1" t="s">
        <v>12</v>
      </c>
      <c r="D106" s="1" t="s">
        <v>15</v>
      </c>
      <c r="E106" s="1" t="s">
        <v>16</v>
      </c>
      <c r="F106" s="1" t="s">
        <v>23</v>
      </c>
      <c r="G106" s="4">
        <v>964.6</v>
      </c>
      <c r="H106" s="1">
        <v>5</v>
      </c>
      <c r="I106" s="1" t="str">
        <f>TEXT(SalesTable[[#This Row],[Order_Date]],"mmm")</f>
        <v>Apr</v>
      </c>
      <c r="J106" s="1">
        <f>YEAR(SalesTable[[#This Row],[Order_Date]])</f>
        <v>2022</v>
      </c>
      <c r="K106" s="4">
        <v>-25.47</v>
      </c>
      <c r="L106" s="9">
        <f>SalesTable[[#This Row],[Profit]]/SalesTable[[#This Row],[Sales]]</f>
        <v>-2.6404727348123574E-2</v>
      </c>
    </row>
    <row r="107" spans="1:12" ht="14" x14ac:dyDescent="0.15">
      <c r="A107" s="1">
        <v>10106</v>
      </c>
      <c r="B107" s="2">
        <v>44667</v>
      </c>
      <c r="C107" s="1" t="s">
        <v>12</v>
      </c>
      <c r="D107" s="1" t="s">
        <v>13</v>
      </c>
      <c r="E107" s="1" t="s">
        <v>18</v>
      </c>
      <c r="F107" s="1" t="s">
        <v>21</v>
      </c>
      <c r="G107" s="4">
        <v>646.92999999999995</v>
      </c>
      <c r="H107" s="1">
        <v>6</v>
      </c>
      <c r="I107" s="1" t="str">
        <f>TEXT(SalesTable[[#This Row],[Order_Date]],"mmm")</f>
        <v>Apr</v>
      </c>
      <c r="J107" s="1">
        <f>YEAR(SalesTable[[#This Row],[Order_Date]])</f>
        <v>2022</v>
      </c>
      <c r="K107" s="4">
        <v>-60.11</v>
      </c>
      <c r="L107" s="9">
        <f>SalesTable[[#This Row],[Profit]]/SalesTable[[#This Row],[Sales]]</f>
        <v>-9.2915771412672168E-2</v>
      </c>
    </row>
    <row r="108" spans="1:12" ht="14" x14ac:dyDescent="0.15">
      <c r="A108" s="1">
        <v>10107</v>
      </c>
      <c r="B108" s="2">
        <v>44668</v>
      </c>
      <c r="C108" s="1" t="s">
        <v>12</v>
      </c>
      <c r="D108" s="1" t="s">
        <v>15</v>
      </c>
      <c r="E108" s="1" t="s">
        <v>18</v>
      </c>
      <c r="F108" s="1" t="s">
        <v>25</v>
      </c>
      <c r="G108" s="4">
        <v>224.9</v>
      </c>
      <c r="H108" s="1">
        <v>1</v>
      </c>
      <c r="I108" s="1" t="str">
        <f>TEXT(SalesTable[[#This Row],[Order_Date]],"mmm")</f>
        <v>Apr</v>
      </c>
      <c r="J108" s="1">
        <f>YEAR(SalesTable[[#This Row],[Order_Date]])</f>
        <v>2022</v>
      </c>
      <c r="K108" s="4">
        <v>45.33</v>
      </c>
      <c r="L108" s="9">
        <f>SalesTable[[#This Row],[Profit]]/SalesTable[[#This Row],[Sales]]</f>
        <v>0.20155624722098708</v>
      </c>
    </row>
    <row r="109" spans="1:12" ht="14" x14ac:dyDescent="0.15">
      <c r="A109" s="1">
        <v>10108</v>
      </c>
      <c r="B109" s="2">
        <v>44669</v>
      </c>
      <c r="C109" s="1" t="s">
        <v>10</v>
      </c>
      <c r="D109" s="1" t="s">
        <v>14</v>
      </c>
      <c r="E109" s="1" t="s">
        <v>16</v>
      </c>
      <c r="F109" s="1" t="s">
        <v>23</v>
      </c>
      <c r="G109" s="4">
        <v>150.37</v>
      </c>
      <c r="H109" s="1">
        <v>7</v>
      </c>
      <c r="I109" s="1" t="str">
        <f>TEXT(SalesTable[[#This Row],[Order_Date]],"mmm")</f>
        <v>Apr</v>
      </c>
      <c r="J109" s="1">
        <f>YEAR(SalesTable[[#This Row],[Order_Date]])</f>
        <v>2022</v>
      </c>
      <c r="K109" s="4">
        <v>100.54</v>
      </c>
      <c r="L109" s="9">
        <f>SalesTable[[#This Row],[Profit]]/SalesTable[[#This Row],[Sales]]</f>
        <v>0.66861741038771039</v>
      </c>
    </row>
    <row r="110" spans="1:12" ht="14" x14ac:dyDescent="0.15">
      <c r="A110" s="1">
        <v>10109</v>
      </c>
      <c r="B110" s="2">
        <v>44670</v>
      </c>
      <c r="C110" s="1" t="s">
        <v>12</v>
      </c>
      <c r="D110" s="1" t="s">
        <v>14</v>
      </c>
      <c r="E110" s="1" t="s">
        <v>20</v>
      </c>
      <c r="F110" s="1" t="s">
        <v>23</v>
      </c>
      <c r="G110" s="4">
        <v>822.21</v>
      </c>
      <c r="H110" s="1">
        <v>6</v>
      </c>
      <c r="I110" s="1" t="str">
        <f>TEXT(SalesTable[[#This Row],[Order_Date]],"mmm")</f>
        <v>Apr</v>
      </c>
      <c r="J110" s="1">
        <f>YEAR(SalesTable[[#This Row],[Order_Date]])</f>
        <v>2022</v>
      </c>
      <c r="K110" s="4">
        <v>-82.64</v>
      </c>
      <c r="L110" s="9">
        <f>SalesTable[[#This Row],[Profit]]/SalesTable[[#This Row],[Sales]]</f>
        <v>-0.10050960216976199</v>
      </c>
    </row>
    <row r="111" spans="1:12" ht="14" x14ac:dyDescent="0.15">
      <c r="A111" s="1">
        <v>10110</v>
      </c>
      <c r="B111" s="2">
        <v>44671</v>
      </c>
      <c r="C111" s="1" t="s">
        <v>9</v>
      </c>
      <c r="D111" s="1" t="s">
        <v>14</v>
      </c>
      <c r="E111" s="1" t="s">
        <v>18</v>
      </c>
      <c r="F111" s="1" t="s">
        <v>23</v>
      </c>
      <c r="G111" s="4">
        <v>599.82000000000005</v>
      </c>
      <c r="H111" s="1">
        <v>4</v>
      </c>
      <c r="I111" s="1" t="str">
        <f>TEXT(SalesTable[[#This Row],[Order_Date]],"mmm")</f>
        <v>Apr</v>
      </c>
      <c r="J111" s="1">
        <f>YEAR(SalesTable[[#This Row],[Order_Date]])</f>
        <v>2022</v>
      </c>
      <c r="K111" s="4">
        <v>39.39</v>
      </c>
      <c r="L111" s="9">
        <f>SalesTable[[#This Row],[Profit]]/SalesTable[[#This Row],[Sales]]</f>
        <v>6.5669700910273077E-2</v>
      </c>
    </row>
    <row r="112" spans="1:12" ht="14" x14ac:dyDescent="0.15">
      <c r="A112" s="1">
        <v>10111</v>
      </c>
      <c r="B112" s="2">
        <v>44672</v>
      </c>
      <c r="C112" s="1" t="s">
        <v>10</v>
      </c>
      <c r="D112" s="1" t="s">
        <v>14</v>
      </c>
      <c r="E112" s="1" t="s">
        <v>17</v>
      </c>
      <c r="F112" s="1" t="s">
        <v>25</v>
      </c>
      <c r="G112" s="4">
        <v>637.37</v>
      </c>
      <c r="H112" s="1">
        <v>1</v>
      </c>
      <c r="I112" s="1" t="str">
        <f>TEXT(SalesTable[[#This Row],[Order_Date]],"mmm")</f>
        <v>Apr</v>
      </c>
      <c r="J112" s="1">
        <f>YEAR(SalesTable[[#This Row],[Order_Date]])</f>
        <v>2022</v>
      </c>
      <c r="K112" s="4">
        <v>-28.33</v>
      </c>
      <c r="L112" s="9">
        <f>SalesTable[[#This Row],[Profit]]/SalesTable[[#This Row],[Sales]]</f>
        <v>-4.444827964918336E-2</v>
      </c>
    </row>
    <row r="113" spans="1:12" ht="14" x14ac:dyDescent="0.15">
      <c r="A113" s="1">
        <v>10112</v>
      </c>
      <c r="B113" s="2">
        <v>44673</v>
      </c>
      <c r="C113" s="1" t="s">
        <v>9</v>
      </c>
      <c r="D113" s="1" t="s">
        <v>14</v>
      </c>
      <c r="E113" s="1" t="s">
        <v>20</v>
      </c>
      <c r="F113" s="1" t="s">
        <v>22</v>
      </c>
      <c r="G113" s="4">
        <v>792.39</v>
      </c>
      <c r="H113" s="1">
        <v>9</v>
      </c>
      <c r="I113" s="1" t="str">
        <f>TEXT(SalesTable[[#This Row],[Order_Date]],"mmm")</f>
        <v>Apr</v>
      </c>
      <c r="J113" s="1">
        <f>YEAR(SalesTable[[#This Row],[Order_Date]])</f>
        <v>2022</v>
      </c>
      <c r="K113" s="4">
        <v>158.83000000000001</v>
      </c>
      <c r="L113" s="9">
        <f>SalesTable[[#This Row],[Profit]]/SalesTable[[#This Row],[Sales]]</f>
        <v>0.20044422569694217</v>
      </c>
    </row>
    <row r="114" spans="1:12" ht="14" x14ac:dyDescent="0.15">
      <c r="A114" s="1">
        <v>10113</v>
      </c>
      <c r="B114" s="2">
        <v>44674</v>
      </c>
      <c r="C114" s="1" t="s">
        <v>10</v>
      </c>
      <c r="D114" s="1" t="s">
        <v>15</v>
      </c>
      <c r="E114" s="1" t="s">
        <v>16</v>
      </c>
      <c r="F114" s="1" t="s">
        <v>24</v>
      </c>
      <c r="G114" s="4">
        <v>718.11</v>
      </c>
      <c r="H114" s="1">
        <v>4</v>
      </c>
      <c r="I114" s="1" t="str">
        <f>TEXT(SalesTable[[#This Row],[Order_Date]],"mmm")</f>
        <v>Apr</v>
      </c>
      <c r="J114" s="1">
        <f>YEAR(SalesTable[[#This Row],[Order_Date]])</f>
        <v>2022</v>
      </c>
      <c r="K114" s="4">
        <v>85.71</v>
      </c>
      <c r="L114" s="9">
        <f>SalesTable[[#This Row],[Profit]]/SalesTable[[#This Row],[Sales]]</f>
        <v>0.11935497347203074</v>
      </c>
    </row>
    <row r="115" spans="1:12" ht="14" x14ac:dyDescent="0.15">
      <c r="A115" s="1">
        <v>10114</v>
      </c>
      <c r="B115" s="2">
        <v>44675</v>
      </c>
      <c r="C115" s="1" t="s">
        <v>12</v>
      </c>
      <c r="D115" s="1" t="s">
        <v>15</v>
      </c>
      <c r="E115" s="1" t="s">
        <v>20</v>
      </c>
      <c r="F115" s="1" t="s">
        <v>21</v>
      </c>
      <c r="G115" s="4">
        <v>842.74</v>
      </c>
      <c r="H115" s="1">
        <v>2</v>
      </c>
      <c r="I115" s="1" t="str">
        <f>TEXT(SalesTable[[#This Row],[Order_Date]],"mmm")</f>
        <v>Apr</v>
      </c>
      <c r="J115" s="1">
        <f>YEAR(SalesTable[[#This Row],[Order_Date]])</f>
        <v>2022</v>
      </c>
      <c r="K115" s="4">
        <v>98.13</v>
      </c>
      <c r="L115" s="9">
        <f>SalesTable[[#This Row],[Profit]]/SalesTable[[#This Row],[Sales]]</f>
        <v>0.11644160713861926</v>
      </c>
    </row>
    <row r="116" spans="1:12" ht="14" x14ac:dyDescent="0.15">
      <c r="A116" s="1">
        <v>10115</v>
      </c>
      <c r="B116" s="2">
        <v>44676</v>
      </c>
      <c r="C116" s="1" t="s">
        <v>9</v>
      </c>
      <c r="D116" s="1" t="s">
        <v>15</v>
      </c>
      <c r="E116" s="1" t="s">
        <v>19</v>
      </c>
      <c r="F116" s="1" t="s">
        <v>22</v>
      </c>
      <c r="G116" s="4">
        <v>103.4</v>
      </c>
      <c r="H116" s="1">
        <v>8</v>
      </c>
      <c r="I116" s="1" t="str">
        <f>TEXT(SalesTable[[#This Row],[Order_Date]],"mmm")</f>
        <v>Apr</v>
      </c>
      <c r="J116" s="1">
        <f>YEAR(SalesTable[[#This Row],[Order_Date]])</f>
        <v>2022</v>
      </c>
      <c r="K116" s="4">
        <v>71.08</v>
      </c>
      <c r="L116" s="9">
        <f>SalesTable[[#This Row],[Profit]]/SalesTable[[#This Row],[Sales]]</f>
        <v>0.68742746615087036</v>
      </c>
    </row>
    <row r="117" spans="1:12" ht="14" x14ac:dyDescent="0.15">
      <c r="A117" s="1">
        <v>10116</v>
      </c>
      <c r="B117" s="2">
        <v>44677</v>
      </c>
      <c r="C117" s="1" t="s">
        <v>10</v>
      </c>
      <c r="D117" s="1" t="s">
        <v>15</v>
      </c>
      <c r="E117" s="1" t="s">
        <v>19</v>
      </c>
      <c r="F117" s="1" t="s">
        <v>21</v>
      </c>
      <c r="G117" s="4">
        <v>760.14</v>
      </c>
      <c r="H117" s="1">
        <v>2</v>
      </c>
      <c r="I117" s="1" t="str">
        <f>TEXT(SalesTable[[#This Row],[Order_Date]],"mmm")</f>
        <v>Apr</v>
      </c>
      <c r="J117" s="1">
        <f>YEAR(SalesTable[[#This Row],[Order_Date]])</f>
        <v>2022</v>
      </c>
      <c r="K117" s="4">
        <v>282.41000000000003</v>
      </c>
      <c r="L117" s="9">
        <f>SalesTable[[#This Row],[Profit]]/SalesTable[[#This Row],[Sales]]</f>
        <v>0.37152366669297765</v>
      </c>
    </row>
    <row r="118" spans="1:12" ht="14" x14ac:dyDescent="0.15">
      <c r="A118" s="1">
        <v>10117</v>
      </c>
      <c r="B118" s="2">
        <v>44678</v>
      </c>
      <c r="C118" s="1" t="s">
        <v>11</v>
      </c>
      <c r="D118" s="1" t="s">
        <v>14</v>
      </c>
      <c r="E118" s="1" t="s">
        <v>18</v>
      </c>
      <c r="F118" s="1" t="s">
        <v>24</v>
      </c>
      <c r="G118" s="4">
        <v>858.31</v>
      </c>
      <c r="H118" s="1">
        <v>5</v>
      </c>
      <c r="I118" s="1" t="str">
        <f>TEXT(SalesTable[[#This Row],[Order_Date]],"mmm")</f>
        <v>Apr</v>
      </c>
      <c r="J118" s="1">
        <f>YEAR(SalesTable[[#This Row],[Order_Date]])</f>
        <v>2022</v>
      </c>
      <c r="K118" s="4">
        <v>-14.11</v>
      </c>
      <c r="L118" s="9">
        <f>SalesTable[[#This Row],[Profit]]/SalesTable[[#This Row],[Sales]]</f>
        <v>-1.6439281844554999E-2</v>
      </c>
    </row>
    <row r="119" spans="1:12" ht="14" x14ac:dyDescent="0.15">
      <c r="A119" s="1">
        <v>10118</v>
      </c>
      <c r="B119" s="2">
        <v>44679</v>
      </c>
      <c r="C119" s="1" t="s">
        <v>12</v>
      </c>
      <c r="D119" s="1" t="s">
        <v>13</v>
      </c>
      <c r="E119" s="1" t="s">
        <v>18</v>
      </c>
      <c r="F119" s="1" t="s">
        <v>25</v>
      </c>
      <c r="G119" s="4">
        <v>321.83</v>
      </c>
      <c r="H119" s="1">
        <v>6</v>
      </c>
      <c r="I119" s="1" t="str">
        <f>TEXT(SalesTable[[#This Row],[Order_Date]],"mmm")</f>
        <v>Apr</v>
      </c>
      <c r="J119" s="1">
        <f>YEAR(SalesTable[[#This Row],[Order_Date]])</f>
        <v>2022</v>
      </c>
      <c r="K119" s="4">
        <v>106.67</v>
      </c>
      <c r="L119" s="9">
        <f>SalesTable[[#This Row],[Profit]]/SalesTable[[#This Row],[Sales]]</f>
        <v>0.33144828014790417</v>
      </c>
    </row>
    <row r="120" spans="1:12" ht="14" x14ac:dyDescent="0.15">
      <c r="A120" s="1">
        <v>10119</v>
      </c>
      <c r="B120" s="2">
        <v>44680</v>
      </c>
      <c r="C120" s="1" t="s">
        <v>10</v>
      </c>
      <c r="D120" s="1" t="s">
        <v>15</v>
      </c>
      <c r="E120" s="1" t="s">
        <v>17</v>
      </c>
      <c r="F120" s="1" t="s">
        <v>23</v>
      </c>
      <c r="G120" s="4">
        <v>658.42</v>
      </c>
      <c r="H120" s="1">
        <v>8</v>
      </c>
      <c r="I120" s="1" t="str">
        <f>TEXT(SalesTable[[#This Row],[Order_Date]],"mmm")</f>
        <v>Apr</v>
      </c>
      <c r="J120" s="1">
        <f>YEAR(SalesTable[[#This Row],[Order_Date]])</f>
        <v>2022</v>
      </c>
      <c r="K120" s="4">
        <v>194.41</v>
      </c>
      <c r="L120" s="9">
        <f>SalesTable[[#This Row],[Profit]]/SalesTable[[#This Row],[Sales]]</f>
        <v>0.29526745846116464</v>
      </c>
    </row>
    <row r="121" spans="1:12" ht="14" x14ac:dyDescent="0.15">
      <c r="A121" s="1">
        <v>10120</v>
      </c>
      <c r="B121" s="2">
        <v>44681</v>
      </c>
      <c r="C121" s="1" t="s">
        <v>11</v>
      </c>
      <c r="D121" s="1" t="s">
        <v>13</v>
      </c>
      <c r="E121" s="1" t="s">
        <v>20</v>
      </c>
      <c r="F121" s="1" t="s">
        <v>23</v>
      </c>
      <c r="G121" s="4">
        <v>348.45</v>
      </c>
      <c r="H121" s="1">
        <v>1</v>
      </c>
      <c r="I121" s="1" t="str">
        <f>TEXT(SalesTable[[#This Row],[Order_Date]],"mmm")</f>
        <v>Apr</v>
      </c>
      <c r="J121" s="1">
        <f>YEAR(SalesTable[[#This Row],[Order_Date]])</f>
        <v>2022</v>
      </c>
      <c r="K121" s="4">
        <v>122.74</v>
      </c>
      <c r="L121" s="9">
        <f>SalesTable[[#This Row],[Profit]]/SalesTable[[#This Row],[Sales]]</f>
        <v>0.35224565934854357</v>
      </c>
    </row>
    <row r="122" spans="1:12" ht="14" x14ac:dyDescent="0.15">
      <c r="A122" s="1">
        <v>10121</v>
      </c>
      <c r="B122" s="2">
        <v>44682</v>
      </c>
      <c r="C122" s="1" t="s">
        <v>10</v>
      </c>
      <c r="D122" s="1" t="s">
        <v>15</v>
      </c>
      <c r="E122" s="1" t="s">
        <v>19</v>
      </c>
      <c r="F122" s="1" t="s">
        <v>25</v>
      </c>
      <c r="G122" s="4">
        <v>960.07</v>
      </c>
      <c r="H122" s="1">
        <v>1</v>
      </c>
      <c r="I122" s="1" t="str">
        <f>TEXT(SalesTable[[#This Row],[Order_Date]],"mmm")</f>
        <v>May</v>
      </c>
      <c r="J122" s="1">
        <f>YEAR(SalesTable[[#This Row],[Order_Date]])</f>
        <v>2022</v>
      </c>
      <c r="K122" s="4">
        <v>271.61</v>
      </c>
      <c r="L122" s="9">
        <f>SalesTable[[#This Row],[Profit]]/SalesTable[[#This Row],[Sales]]</f>
        <v>0.28290645473767539</v>
      </c>
    </row>
    <row r="123" spans="1:12" ht="14" x14ac:dyDescent="0.15">
      <c r="A123" s="1">
        <v>10122</v>
      </c>
      <c r="B123" s="2">
        <v>44683</v>
      </c>
      <c r="C123" s="1" t="s">
        <v>11</v>
      </c>
      <c r="D123" s="1" t="s">
        <v>15</v>
      </c>
      <c r="E123" s="1" t="s">
        <v>18</v>
      </c>
      <c r="F123" s="1" t="s">
        <v>22</v>
      </c>
      <c r="G123" s="4">
        <v>81.75</v>
      </c>
      <c r="H123" s="1">
        <v>4</v>
      </c>
      <c r="I123" s="1" t="str">
        <f>TEXT(SalesTable[[#This Row],[Order_Date]],"mmm")</f>
        <v>May</v>
      </c>
      <c r="J123" s="1">
        <f>YEAR(SalesTable[[#This Row],[Order_Date]])</f>
        <v>2022</v>
      </c>
      <c r="K123" s="4">
        <v>51.19</v>
      </c>
      <c r="L123" s="9">
        <f>SalesTable[[#This Row],[Profit]]/SalesTable[[#This Row],[Sales]]</f>
        <v>0.62617737003058105</v>
      </c>
    </row>
    <row r="124" spans="1:12" ht="14" x14ac:dyDescent="0.15">
      <c r="A124" s="1">
        <v>10123</v>
      </c>
      <c r="B124" s="2">
        <v>44684</v>
      </c>
      <c r="C124" s="1" t="s">
        <v>12</v>
      </c>
      <c r="D124" s="1" t="s">
        <v>13</v>
      </c>
      <c r="E124" s="1" t="s">
        <v>20</v>
      </c>
      <c r="F124" s="1" t="s">
        <v>22</v>
      </c>
      <c r="G124" s="4">
        <v>600.79999999999995</v>
      </c>
      <c r="H124" s="1">
        <v>5</v>
      </c>
      <c r="I124" s="1" t="str">
        <f>TEXT(SalesTable[[#This Row],[Order_Date]],"mmm")</f>
        <v>May</v>
      </c>
      <c r="J124" s="1">
        <f>YEAR(SalesTable[[#This Row],[Order_Date]])</f>
        <v>2022</v>
      </c>
      <c r="K124" s="4">
        <v>85.47</v>
      </c>
      <c r="L124" s="9">
        <f>SalesTable[[#This Row],[Profit]]/SalesTable[[#This Row],[Sales]]</f>
        <v>0.14226031957390148</v>
      </c>
    </row>
    <row r="125" spans="1:12" ht="14" x14ac:dyDescent="0.15">
      <c r="A125" s="1">
        <v>10124</v>
      </c>
      <c r="B125" s="2">
        <v>44685</v>
      </c>
      <c r="C125" s="1" t="s">
        <v>9</v>
      </c>
      <c r="D125" s="1" t="s">
        <v>14</v>
      </c>
      <c r="E125" s="1" t="s">
        <v>18</v>
      </c>
      <c r="F125" s="1" t="s">
        <v>21</v>
      </c>
      <c r="G125" s="4">
        <v>208.18</v>
      </c>
      <c r="H125" s="1">
        <v>9</v>
      </c>
      <c r="I125" s="1" t="str">
        <f>TEXT(SalesTable[[#This Row],[Order_Date]],"mmm")</f>
        <v>May</v>
      </c>
      <c r="J125" s="1">
        <f>YEAR(SalesTable[[#This Row],[Order_Date]])</f>
        <v>2022</v>
      </c>
      <c r="K125" s="4">
        <v>-64.59</v>
      </c>
      <c r="L125" s="9">
        <f>SalesTable[[#This Row],[Profit]]/SalesTable[[#This Row],[Sales]]</f>
        <v>-0.31026035161879145</v>
      </c>
    </row>
    <row r="126" spans="1:12" ht="14" x14ac:dyDescent="0.15">
      <c r="A126" s="1">
        <v>10125</v>
      </c>
      <c r="B126" s="2">
        <v>44686</v>
      </c>
      <c r="C126" s="1" t="s">
        <v>11</v>
      </c>
      <c r="D126" s="1" t="s">
        <v>15</v>
      </c>
      <c r="E126" s="1" t="s">
        <v>18</v>
      </c>
      <c r="F126" s="1" t="s">
        <v>25</v>
      </c>
      <c r="G126" s="4">
        <v>726.61</v>
      </c>
      <c r="H126" s="1">
        <v>7</v>
      </c>
      <c r="I126" s="1" t="str">
        <f>TEXT(SalesTable[[#This Row],[Order_Date]],"mmm")</f>
        <v>May</v>
      </c>
      <c r="J126" s="1">
        <f>YEAR(SalesTable[[#This Row],[Order_Date]])</f>
        <v>2022</v>
      </c>
      <c r="K126" s="4">
        <v>143.6</v>
      </c>
      <c r="L126" s="9">
        <f>SalesTable[[#This Row],[Profit]]/SalesTable[[#This Row],[Sales]]</f>
        <v>0.19763009041989513</v>
      </c>
    </row>
    <row r="127" spans="1:12" ht="14" x14ac:dyDescent="0.15">
      <c r="A127" s="1">
        <v>10126</v>
      </c>
      <c r="B127" s="2">
        <v>44687</v>
      </c>
      <c r="C127" s="1" t="s">
        <v>10</v>
      </c>
      <c r="D127" s="1" t="s">
        <v>15</v>
      </c>
      <c r="E127" s="1" t="s">
        <v>19</v>
      </c>
      <c r="F127" s="1" t="s">
        <v>22</v>
      </c>
      <c r="G127" s="4">
        <v>217.1</v>
      </c>
      <c r="H127" s="1">
        <v>7</v>
      </c>
      <c r="I127" s="1" t="str">
        <f>TEXT(SalesTable[[#This Row],[Order_Date]],"mmm")</f>
        <v>May</v>
      </c>
      <c r="J127" s="1">
        <f>YEAR(SalesTable[[#This Row],[Order_Date]])</f>
        <v>2022</v>
      </c>
      <c r="K127" s="4">
        <v>15.28</v>
      </c>
      <c r="L127" s="9">
        <f>SalesTable[[#This Row],[Profit]]/SalesTable[[#This Row],[Sales]]</f>
        <v>7.0382312298479965E-2</v>
      </c>
    </row>
    <row r="128" spans="1:12" ht="14" x14ac:dyDescent="0.15">
      <c r="A128" s="1">
        <v>10127</v>
      </c>
      <c r="B128" s="2">
        <v>44688</v>
      </c>
      <c r="C128" s="1" t="s">
        <v>12</v>
      </c>
      <c r="D128" s="1" t="s">
        <v>15</v>
      </c>
      <c r="E128" s="1" t="s">
        <v>19</v>
      </c>
      <c r="F128" s="1" t="s">
        <v>25</v>
      </c>
      <c r="G128" s="4">
        <v>273.61</v>
      </c>
      <c r="H128" s="1">
        <v>8</v>
      </c>
      <c r="I128" s="1" t="str">
        <f>TEXT(SalesTable[[#This Row],[Order_Date]],"mmm")</f>
        <v>May</v>
      </c>
      <c r="J128" s="1">
        <f>YEAR(SalesTable[[#This Row],[Order_Date]])</f>
        <v>2022</v>
      </c>
      <c r="K128" s="4">
        <v>-35.880000000000003</v>
      </c>
      <c r="L128" s="9">
        <f>SalesTable[[#This Row],[Profit]]/SalesTable[[#This Row],[Sales]]</f>
        <v>-0.13113555791089507</v>
      </c>
    </row>
    <row r="129" spans="1:12" ht="14" x14ac:dyDescent="0.15">
      <c r="A129" s="1">
        <v>10128</v>
      </c>
      <c r="B129" s="2">
        <v>44689</v>
      </c>
      <c r="C129" s="1" t="s">
        <v>11</v>
      </c>
      <c r="D129" s="1" t="s">
        <v>13</v>
      </c>
      <c r="E129" s="1" t="s">
        <v>18</v>
      </c>
      <c r="F129" s="1" t="s">
        <v>24</v>
      </c>
      <c r="G129" s="4">
        <v>519.65</v>
      </c>
      <c r="H129" s="1">
        <v>5</v>
      </c>
      <c r="I129" s="1" t="str">
        <f>TEXT(SalesTable[[#This Row],[Order_Date]],"mmm")</f>
        <v>May</v>
      </c>
      <c r="J129" s="1">
        <f>YEAR(SalesTable[[#This Row],[Order_Date]])</f>
        <v>2022</v>
      </c>
      <c r="K129" s="4">
        <v>117.81</v>
      </c>
      <c r="L129" s="9">
        <f>SalesTable[[#This Row],[Profit]]/SalesTable[[#This Row],[Sales]]</f>
        <v>0.2267102857692678</v>
      </c>
    </row>
    <row r="130" spans="1:12" ht="14" x14ac:dyDescent="0.15">
      <c r="A130" s="1">
        <v>10129</v>
      </c>
      <c r="B130" s="2">
        <v>44690</v>
      </c>
      <c r="C130" s="1" t="s">
        <v>10</v>
      </c>
      <c r="D130" s="1" t="s">
        <v>14</v>
      </c>
      <c r="E130" s="1" t="s">
        <v>16</v>
      </c>
      <c r="F130" s="1" t="s">
        <v>23</v>
      </c>
      <c r="G130" s="4">
        <v>919.09</v>
      </c>
      <c r="H130" s="1">
        <v>5</v>
      </c>
      <c r="I130" s="1" t="str">
        <f>TEXT(SalesTable[[#This Row],[Order_Date]],"mmm")</f>
        <v>May</v>
      </c>
      <c r="J130" s="1">
        <f>YEAR(SalesTable[[#This Row],[Order_Date]])</f>
        <v>2022</v>
      </c>
      <c r="K130" s="4">
        <v>112.92</v>
      </c>
      <c r="L130" s="9">
        <f>SalesTable[[#This Row],[Profit]]/SalesTable[[#This Row],[Sales]]</f>
        <v>0.1228606556485219</v>
      </c>
    </row>
    <row r="131" spans="1:12" ht="14" x14ac:dyDescent="0.15">
      <c r="A131" s="1">
        <v>10130</v>
      </c>
      <c r="B131" s="2">
        <v>44691</v>
      </c>
      <c r="C131" s="1" t="s">
        <v>10</v>
      </c>
      <c r="D131" s="1" t="s">
        <v>13</v>
      </c>
      <c r="E131" s="1" t="s">
        <v>18</v>
      </c>
      <c r="F131" s="1" t="s">
        <v>23</v>
      </c>
      <c r="G131" s="4">
        <v>251.13</v>
      </c>
      <c r="H131" s="1">
        <v>1</v>
      </c>
      <c r="I131" s="1" t="str">
        <f>TEXT(SalesTable[[#This Row],[Order_Date]],"mmm")</f>
        <v>May</v>
      </c>
      <c r="J131" s="1">
        <f>YEAR(SalesTable[[#This Row],[Order_Date]])</f>
        <v>2022</v>
      </c>
      <c r="K131" s="4">
        <v>-69.650000000000006</v>
      </c>
      <c r="L131" s="9">
        <f>SalesTable[[#This Row],[Profit]]/SalesTable[[#This Row],[Sales]]</f>
        <v>-0.27734639429777408</v>
      </c>
    </row>
    <row r="132" spans="1:12" ht="14" x14ac:dyDescent="0.15">
      <c r="A132" s="1">
        <v>10131</v>
      </c>
      <c r="B132" s="2">
        <v>44692</v>
      </c>
      <c r="C132" s="1" t="s">
        <v>10</v>
      </c>
      <c r="D132" s="1" t="s">
        <v>13</v>
      </c>
      <c r="E132" s="1" t="s">
        <v>18</v>
      </c>
      <c r="F132" s="1" t="s">
        <v>23</v>
      </c>
      <c r="G132" s="4">
        <v>187.03</v>
      </c>
      <c r="H132" s="1">
        <v>9</v>
      </c>
      <c r="I132" s="1" t="str">
        <f>TEXT(SalesTable[[#This Row],[Order_Date]],"mmm")</f>
        <v>May</v>
      </c>
      <c r="J132" s="1">
        <f>YEAR(SalesTable[[#This Row],[Order_Date]])</f>
        <v>2022</v>
      </c>
      <c r="K132" s="4">
        <v>179.29</v>
      </c>
      <c r="L132" s="9">
        <f>SalesTable[[#This Row],[Profit]]/SalesTable[[#This Row],[Sales]]</f>
        <v>0.95861626477035766</v>
      </c>
    </row>
    <row r="133" spans="1:12" ht="14" x14ac:dyDescent="0.15">
      <c r="A133" s="1">
        <v>10132</v>
      </c>
      <c r="B133" s="2">
        <v>44693</v>
      </c>
      <c r="C133" s="1" t="s">
        <v>11</v>
      </c>
      <c r="D133" s="1" t="s">
        <v>14</v>
      </c>
      <c r="E133" s="1" t="s">
        <v>17</v>
      </c>
      <c r="F133" s="1" t="s">
        <v>25</v>
      </c>
      <c r="G133" s="4">
        <v>771.03</v>
      </c>
      <c r="H133" s="1">
        <v>6</v>
      </c>
      <c r="I133" s="1" t="str">
        <f>TEXT(SalesTable[[#This Row],[Order_Date]],"mmm")</f>
        <v>May</v>
      </c>
      <c r="J133" s="1">
        <f>YEAR(SalesTable[[#This Row],[Order_Date]])</f>
        <v>2022</v>
      </c>
      <c r="K133" s="4">
        <v>149.51</v>
      </c>
      <c r="L133" s="9">
        <f>SalesTable[[#This Row],[Profit]]/SalesTable[[#This Row],[Sales]]</f>
        <v>0.19390944580625916</v>
      </c>
    </row>
    <row r="134" spans="1:12" ht="14" x14ac:dyDescent="0.15">
      <c r="A134" s="1">
        <v>10133</v>
      </c>
      <c r="B134" s="2">
        <v>44694</v>
      </c>
      <c r="C134" s="1" t="s">
        <v>11</v>
      </c>
      <c r="D134" s="1" t="s">
        <v>13</v>
      </c>
      <c r="E134" s="1" t="s">
        <v>17</v>
      </c>
      <c r="F134" s="1" t="s">
        <v>25</v>
      </c>
      <c r="G134" s="4">
        <v>525.59</v>
      </c>
      <c r="H134" s="1">
        <v>9</v>
      </c>
      <c r="I134" s="1" t="str">
        <f>TEXT(SalesTable[[#This Row],[Order_Date]],"mmm")</f>
        <v>May</v>
      </c>
      <c r="J134" s="1">
        <f>YEAR(SalesTable[[#This Row],[Order_Date]])</f>
        <v>2022</v>
      </c>
      <c r="K134" s="4">
        <v>-24.39</v>
      </c>
      <c r="L134" s="9">
        <f>SalesTable[[#This Row],[Profit]]/SalesTable[[#This Row],[Sales]]</f>
        <v>-4.6404992484636309E-2</v>
      </c>
    </row>
    <row r="135" spans="1:12" ht="14" x14ac:dyDescent="0.15">
      <c r="A135" s="1">
        <v>10134</v>
      </c>
      <c r="B135" s="2">
        <v>44695</v>
      </c>
      <c r="C135" s="1" t="s">
        <v>11</v>
      </c>
      <c r="D135" s="1" t="s">
        <v>14</v>
      </c>
      <c r="E135" s="1" t="s">
        <v>17</v>
      </c>
      <c r="F135" s="1" t="s">
        <v>21</v>
      </c>
      <c r="G135" s="4">
        <v>916.2</v>
      </c>
      <c r="H135" s="1">
        <v>3</v>
      </c>
      <c r="I135" s="1" t="str">
        <f>TEXT(SalesTable[[#This Row],[Order_Date]],"mmm")</f>
        <v>May</v>
      </c>
      <c r="J135" s="1">
        <f>YEAR(SalesTable[[#This Row],[Order_Date]])</f>
        <v>2022</v>
      </c>
      <c r="K135" s="4">
        <v>87.77</v>
      </c>
      <c r="L135" s="9">
        <f>SalesTable[[#This Row],[Profit]]/SalesTable[[#This Row],[Sales]]</f>
        <v>9.5797860729098447E-2</v>
      </c>
    </row>
    <row r="136" spans="1:12" ht="14" x14ac:dyDescent="0.15">
      <c r="A136" s="1">
        <v>10135</v>
      </c>
      <c r="B136" s="2">
        <v>44696</v>
      </c>
      <c r="C136" s="1" t="s">
        <v>9</v>
      </c>
      <c r="D136" s="1" t="s">
        <v>15</v>
      </c>
      <c r="E136" s="1" t="s">
        <v>16</v>
      </c>
      <c r="F136" s="1" t="s">
        <v>23</v>
      </c>
      <c r="G136" s="4">
        <v>189.28</v>
      </c>
      <c r="H136" s="1">
        <v>5</v>
      </c>
      <c r="I136" s="1" t="str">
        <f>TEXT(SalesTable[[#This Row],[Order_Date]],"mmm")</f>
        <v>May</v>
      </c>
      <c r="J136" s="1">
        <f>YEAR(SalesTable[[#This Row],[Order_Date]])</f>
        <v>2022</v>
      </c>
      <c r="K136" s="4">
        <v>188.13</v>
      </c>
      <c r="L136" s="9">
        <f>SalesTable[[#This Row],[Profit]]/SalesTable[[#This Row],[Sales]]</f>
        <v>0.99392434488588333</v>
      </c>
    </row>
    <row r="137" spans="1:12" ht="14" x14ac:dyDescent="0.15">
      <c r="A137" s="1">
        <v>10136</v>
      </c>
      <c r="B137" s="2">
        <v>44697</v>
      </c>
      <c r="C137" s="1" t="s">
        <v>11</v>
      </c>
      <c r="D137" s="1" t="s">
        <v>14</v>
      </c>
      <c r="E137" s="1" t="s">
        <v>16</v>
      </c>
      <c r="F137" s="1" t="s">
        <v>21</v>
      </c>
      <c r="G137" s="4">
        <v>663.63</v>
      </c>
      <c r="H137" s="1">
        <v>2</v>
      </c>
      <c r="I137" s="1" t="str">
        <f>TEXT(SalesTable[[#This Row],[Order_Date]],"mmm")</f>
        <v>May</v>
      </c>
      <c r="J137" s="1">
        <f>YEAR(SalesTable[[#This Row],[Order_Date]])</f>
        <v>2022</v>
      </c>
      <c r="K137" s="4">
        <v>111.77</v>
      </c>
      <c r="L137" s="9">
        <f>SalesTable[[#This Row],[Profit]]/SalesTable[[#This Row],[Sales]]</f>
        <v>0.16842216295224749</v>
      </c>
    </row>
    <row r="138" spans="1:12" ht="14" x14ac:dyDescent="0.15">
      <c r="A138" s="1">
        <v>10137</v>
      </c>
      <c r="B138" s="2">
        <v>44698</v>
      </c>
      <c r="C138" s="1" t="s">
        <v>11</v>
      </c>
      <c r="D138" s="1" t="s">
        <v>15</v>
      </c>
      <c r="E138" s="1" t="s">
        <v>18</v>
      </c>
      <c r="F138" s="1" t="s">
        <v>23</v>
      </c>
      <c r="G138" s="4">
        <v>271.24</v>
      </c>
      <c r="H138" s="1">
        <v>5</v>
      </c>
      <c r="I138" s="1" t="str">
        <f>TEXT(SalesTable[[#This Row],[Order_Date]],"mmm")</f>
        <v>May</v>
      </c>
      <c r="J138" s="1">
        <f>YEAR(SalesTable[[#This Row],[Order_Date]])</f>
        <v>2022</v>
      </c>
      <c r="K138" s="4">
        <v>58.2</v>
      </c>
      <c r="L138" s="9">
        <f>SalesTable[[#This Row],[Profit]]/SalesTable[[#This Row],[Sales]]</f>
        <v>0.21457012240082585</v>
      </c>
    </row>
    <row r="139" spans="1:12" ht="14" x14ac:dyDescent="0.15">
      <c r="A139" s="1">
        <v>10138</v>
      </c>
      <c r="B139" s="2">
        <v>44699</v>
      </c>
      <c r="C139" s="1" t="s">
        <v>11</v>
      </c>
      <c r="D139" s="1" t="s">
        <v>13</v>
      </c>
      <c r="E139" s="1" t="s">
        <v>17</v>
      </c>
      <c r="F139" s="1" t="s">
        <v>21</v>
      </c>
      <c r="G139" s="4">
        <v>198.92</v>
      </c>
      <c r="H139" s="1">
        <v>8</v>
      </c>
      <c r="I139" s="1" t="str">
        <f>TEXT(SalesTable[[#This Row],[Order_Date]],"mmm")</f>
        <v>May</v>
      </c>
      <c r="J139" s="1">
        <f>YEAR(SalesTable[[#This Row],[Order_Date]])</f>
        <v>2022</v>
      </c>
      <c r="K139" s="4">
        <v>28.94</v>
      </c>
      <c r="L139" s="9">
        <f>SalesTable[[#This Row],[Profit]]/SalesTable[[#This Row],[Sales]]</f>
        <v>0.14548562236074805</v>
      </c>
    </row>
    <row r="140" spans="1:12" ht="14" x14ac:dyDescent="0.15">
      <c r="A140" s="1">
        <v>10139</v>
      </c>
      <c r="B140" s="2">
        <v>44700</v>
      </c>
      <c r="C140" s="1" t="s">
        <v>9</v>
      </c>
      <c r="D140" s="1" t="s">
        <v>13</v>
      </c>
      <c r="E140" s="1" t="s">
        <v>16</v>
      </c>
      <c r="F140" s="1" t="s">
        <v>21</v>
      </c>
      <c r="G140" s="4">
        <v>699.26</v>
      </c>
      <c r="H140" s="1">
        <v>2</v>
      </c>
      <c r="I140" s="1" t="str">
        <f>TEXT(SalesTable[[#This Row],[Order_Date]],"mmm")</f>
        <v>May</v>
      </c>
      <c r="J140" s="1">
        <f>YEAR(SalesTable[[#This Row],[Order_Date]])</f>
        <v>2022</v>
      </c>
      <c r="K140" s="4">
        <v>144.16</v>
      </c>
      <c r="L140" s="9">
        <f>SalesTable[[#This Row],[Profit]]/SalesTable[[#This Row],[Sales]]</f>
        <v>0.2061607985584761</v>
      </c>
    </row>
    <row r="141" spans="1:12" ht="14" x14ac:dyDescent="0.15">
      <c r="A141" s="1">
        <v>10140</v>
      </c>
      <c r="B141" s="2">
        <v>44701</v>
      </c>
      <c r="C141" s="1" t="s">
        <v>11</v>
      </c>
      <c r="D141" s="1" t="s">
        <v>15</v>
      </c>
      <c r="E141" s="1" t="s">
        <v>19</v>
      </c>
      <c r="F141" s="1" t="s">
        <v>24</v>
      </c>
      <c r="G141" s="4">
        <v>614</v>
      </c>
      <c r="H141" s="1">
        <v>8</v>
      </c>
      <c r="I141" s="1" t="str">
        <f>TEXT(SalesTable[[#This Row],[Order_Date]],"mmm")</f>
        <v>May</v>
      </c>
      <c r="J141" s="1">
        <f>YEAR(SalesTable[[#This Row],[Order_Date]])</f>
        <v>2022</v>
      </c>
      <c r="K141" s="4">
        <v>275.64</v>
      </c>
      <c r="L141" s="9">
        <f>SalesTable[[#This Row],[Profit]]/SalesTable[[#This Row],[Sales]]</f>
        <v>0.44892508143322474</v>
      </c>
    </row>
    <row r="142" spans="1:12" ht="14" x14ac:dyDescent="0.15">
      <c r="A142" s="1">
        <v>10141</v>
      </c>
      <c r="B142" s="2">
        <v>44702</v>
      </c>
      <c r="C142" s="1" t="s">
        <v>10</v>
      </c>
      <c r="D142" s="1" t="s">
        <v>13</v>
      </c>
      <c r="E142" s="1" t="s">
        <v>18</v>
      </c>
      <c r="F142" s="1" t="s">
        <v>21</v>
      </c>
      <c r="G142" s="4">
        <v>767.09</v>
      </c>
      <c r="H142" s="1">
        <v>4</v>
      </c>
      <c r="I142" s="1" t="str">
        <f>TEXT(SalesTable[[#This Row],[Order_Date]],"mmm")</f>
        <v>May</v>
      </c>
      <c r="J142" s="1">
        <f>YEAR(SalesTable[[#This Row],[Order_Date]])</f>
        <v>2022</v>
      </c>
      <c r="K142" s="4">
        <v>168.7</v>
      </c>
      <c r="L142" s="9">
        <f>SalesTable[[#This Row],[Profit]]/SalesTable[[#This Row],[Sales]]</f>
        <v>0.21992204304579643</v>
      </c>
    </row>
    <row r="143" spans="1:12" ht="14" x14ac:dyDescent="0.15">
      <c r="A143" s="1">
        <v>10142</v>
      </c>
      <c r="B143" s="2">
        <v>44703</v>
      </c>
      <c r="C143" s="1" t="s">
        <v>11</v>
      </c>
      <c r="D143" s="1" t="s">
        <v>14</v>
      </c>
      <c r="E143" s="1" t="s">
        <v>20</v>
      </c>
      <c r="F143" s="1" t="s">
        <v>25</v>
      </c>
      <c r="G143" s="4">
        <v>343.99</v>
      </c>
      <c r="H143" s="1">
        <v>1</v>
      </c>
      <c r="I143" s="1" t="str">
        <f>TEXT(SalesTable[[#This Row],[Order_Date]],"mmm")</f>
        <v>May</v>
      </c>
      <c r="J143" s="1">
        <f>YEAR(SalesTable[[#This Row],[Order_Date]])</f>
        <v>2022</v>
      </c>
      <c r="K143" s="4">
        <v>-70.099999999999994</v>
      </c>
      <c r="L143" s="9">
        <f>SalesTable[[#This Row],[Profit]]/SalesTable[[#This Row],[Sales]]</f>
        <v>-0.20378499374981829</v>
      </c>
    </row>
    <row r="144" spans="1:12" ht="14" x14ac:dyDescent="0.15">
      <c r="A144" s="1">
        <v>10143</v>
      </c>
      <c r="B144" s="2">
        <v>44704</v>
      </c>
      <c r="C144" s="1" t="s">
        <v>10</v>
      </c>
      <c r="D144" s="1" t="s">
        <v>15</v>
      </c>
      <c r="E144" s="1" t="s">
        <v>18</v>
      </c>
      <c r="F144" s="1" t="s">
        <v>21</v>
      </c>
      <c r="G144" s="4">
        <v>475.57</v>
      </c>
      <c r="H144" s="1">
        <v>5</v>
      </c>
      <c r="I144" s="1" t="str">
        <f>TEXT(SalesTable[[#This Row],[Order_Date]],"mmm")</f>
        <v>May</v>
      </c>
      <c r="J144" s="1">
        <f>YEAR(SalesTable[[#This Row],[Order_Date]])</f>
        <v>2022</v>
      </c>
      <c r="K144" s="4">
        <v>84.27</v>
      </c>
      <c r="L144" s="9">
        <f>SalesTable[[#This Row],[Profit]]/SalesTable[[#This Row],[Sales]]</f>
        <v>0.17719788884917045</v>
      </c>
    </row>
    <row r="145" spans="1:12" ht="14" x14ac:dyDescent="0.15">
      <c r="A145" s="1">
        <v>10144</v>
      </c>
      <c r="B145" s="2">
        <v>44705</v>
      </c>
      <c r="C145" s="1" t="s">
        <v>10</v>
      </c>
      <c r="D145" s="1" t="s">
        <v>13</v>
      </c>
      <c r="E145" s="1" t="s">
        <v>20</v>
      </c>
      <c r="F145" s="1" t="s">
        <v>23</v>
      </c>
      <c r="G145" s="4">
        <v>435.2</v>
      </c>
      <c r="H145" s="1">
        <v>1</v>
      </c>
      <c r="I145" s="1" t="str">
        <f>TEXT(SalesTable[[#This Row],[Order_Date]],"mmm")</f>
        <v>May</v>
      </c>
      <c r="J145" s="1">
        <f>YEAR(SalesTable[[#This Row],[Order_Date]])</f>
        <v>2022</v>
      </c>
      <c r="K145" s="4">
        <v>256.33</v>
      </c>
      <c r="L145" s="9">
        <f>SalesTable[[#This Row],[Profit]]/SalesTable[[#This Row],[Sales]]</f>
        <v>0.58899356617647058</v>
      </c>
    </row>
    <row r="146" spans="1:12" ht="14" x14ac:dyDescent="0.15">
      <c r="A146" s="1">
        <v>10145</v>
      </c>
      <c r="B146" s="2">
        <v>44706</v>
      </c>
      <c r="C146" s="1" t="s">
        <v>10</v>
      </c>
      <c r="D146" s="1" t="s">
        <v>15</v>
      </c>
      <c r="E146" s="1" t="s">
        <v>17</v>
      </c>
      <c r="F146" s="1" t="s">
        <v>21</v>
      </c>
      <c r="G146" s="4">
        <v>984.88</v>
      </c>
      <c r="H146" s="1">
        <v>7</v>
      </c>
      <c r="I146" s="1" t="str">
        <f>TEXT(SalesTable[[#This Row],[Order_Date]],"mmm")</f>
        <v>May</v>
      </c>
      <c r="J146" s="1">
        <f>YEAR(SalesTable[[#This Row],[Order_Date]])</f>
        <v>2022</v>
      </c>
      <c r="K146" s="4">
        <v>-62.22</v>
      </c>
      <c r="L146" s="9">
        <f>SalesTable[[#This Row],[Profit]]/SalesTable[[#This Row],[Sales]]</f>
        <v>-6.3175209162537563E-2</v>
      </c>
    </row>
    <row r="147" spans="1:12" ht="14" x14ac:dyDescent="0.15">
      <c r="A147" s="1">
        <v>10146</v>
      </c>
      <c r="B147" s="2">
        <v>44707</v>
      </c>
      <c r="C147" s="1" t="s">
        <v>9</v>
      </c>
      <c r="D147" s="1" t="s">
        <v>14</v>
      </c>
      <c r="E147" s="1" t="s">
        <v>20</v>
      </c>
      <c r="F147" s="1" t="s">
        <v>22</v>
      </c>
      <c r="G147" s="4">
        <v>327.64</v>
      </c>
      <c r="H147" s="1">
        <v>8</v>
      </c>
      <c r="I147" s="1" t="str">
        <f>TEXT(SalesTable[[#This Row],[Order_Date]],"mmm")</f>
        <v>May</v>
      </c>
      <c r="J147" s="1">
        <f>YEAR(SalesTable[[#This Row],[Order_Date]])</f>
        <v>2022</v>
      </c>
      <c r="K147" s="4">
        <v>295.55</v>
      </c>
      <c r="L147" s="9">
        <f>SalesTable[[#This Row],[Profit]]/SalesTable[[#This Row],[Sales]]</f>
        <v>0.90205713588084491</v>
      </c>
    </row>
    <row r="148" spans="1:12" ht="14" x14ac:dyDescent="0.15">
      <c r="A148" s="1">
        <v>10147</v>
      </c>
      <c r="B148" s="2">
        <v>44708</v>
      </c>
      <c r="C148" s="1" t="s">
        <v>9</v>
      </c>
      <c r="D148" s="1" t="s">
        <v>14</v>
      </c>
      <c r="E148" s="1" t="s">
        <v>17</v>
      </c>
      <c r="F148" s="1" t="s">
        <v>23</v>
      </c>
      <c r="G148" s="4">
        <v>330.08</v>
      </c>
      <c r="H148" s="1">
        <v>3</v>
      </c>
      <c r="I148" s="1" t="str">
        <f>TEXT(SalesTable[[#This Row],[Order_Date]],"mmm")</f>
        <v>May</v>
      </c>
      <c r="J148" s="1">
        <f>YEAR(SalesTable[[#This Row],[Order_Date]])</f>
        <v>2022</v>
      </c>
      <c r="K148" s="4">
        <v>279.63</v>
      </c>
      <c r="L148" s="9">
        <f>SalesTable[[#This Row],[Profit]]/SalesTable[[#This Row],[Sales]]</f>
        <v>0.84715826466311195</v>
      </c>
    </row>
    <row r="149" spans="1:12" ht="14" x14ac:dyDescent="0.15">
      <c r="A149" s="1">
        <v>10148</v>
      </c>
      <c r="B149" s="2">
        <v>44709</v>
      </c>
      <c r="C149" s="1" t="s">
        <v>9</v>
      </c>
      <c r="D149" s="1" t="s">
        <v>13</v>
      </c>
      <c r="E149" s="1" t="s">
        <v>19</v>
      </c>
      <c r="F149" s="1" t="s">
        <v>22</v>
      </c>
      <c r="G149" s="4">
        <v>386.82</v>
      </c>
      <c r="H149" s="1">
        <v>3</v>
      </c>
      <c r="I149" s="1" t="str">
        <f>TEXT(SalesTable[[#This Row],[Order_Date]],"mmm")</f>
        <v>May</v>
      </c>
      <c r="J149" s="1">
        <f>YEAR(SalesTable[[#This Row],[Order_Date]])</f>
        <v>2022</v>
      </c>
      <c r="K149" s="4">
        <v>-68.69</v>
      </c>
      <c r="L149" s="9">
        <f>SalesTable[[#This Row],[Profit]]/SalesTable[[#This Row],[Sales]]</f>
        <v>-0.17757613360219224</v>
      </c>
    </row>
    <row r="150" spans="1:12" ht="14" x14ac:dyDescent="0.15">
      <c r="A150" s="1">
        <v>10149</v>
      </c>
      <c r="B150" s="2">
        <v>44710</v>
      </c>
      <c r="C150" s="1" t="s">
        <v>11</v>
      </c>
      <c r="D150" s="1" t="s">
        <v>14</v>
      </c>
      <c r="E150" s="1" t="s">
        <v>20</v>
      </c>
      <c r="F150" s="1" t="s">
        <v>23</v>
      </c>
      <c r="G150" s="4">
        <v>586.36</v>
      </c>
      <c r="H150" s="1">
        <v>7</v>
      </c>
      <c r="I150" s="1" t="str">
        <f>TEXT(SalesTable[[#This Row],[Order_Date]],"mmm")</f>
        <v>May</v>
      </c>
      <c r="J150" s="1">
        <f>YEAR(SalesTable[[#This Row],[Order_Date]])</f>
        <v>2022</v>
      </c>
      <c r="K150" s="4">
        <v>273.37</v>
      </c>
      <c r="L150" s="9">
        <f>SalesTable[[#This Row],[Profit]]/SalesTable[[#This Row],[Sales]]</f>
        <v>0.46621529435841463</v>
      </c>
    </row>
    <row r="151" spans="1:12" ht="14" x14ac:dyDescent="0.15">
      <c r="A151" s="1">
        <v>10150</v>
      </c>
      <c r="B151" s="2">
        <v>44711</v>
      </c>
      <c r="C151" s="1" t="s">
        <v>10</v>
      </c>
      <c r="D151" s="1" t="s">
        <v>15</v>
      </c>
      <c r="E151" s="1" t="s">
        <v>18</v>
      </c>
      <c r="F151" s="1" t="s">
        <v>25</v>
      </c>
      <c r="G151" s="4">
        <v>289.70999999999998</v>
      </c>
      <c r="H151" s="1">
        <v>4</v>
      </c>
      <c r="I151" s="1" t="str">
        <f>TEXT(SalesTable[[#This Row],[Order_Date]],"mmm")</f>
        <v>May</v>
      </c>
      <c r="J151" s="1">
        <f>YEAR(SalesTable[[#This Row],[Order_Date]])</f>
        <v>2022</v>
      </c>
      <c r="K151" s="4">
        <v>45.25</v>
      </c>
      <c r="L151" s="9">
        <f>SalesTable[[#This Row],[Profit]]/SalesTable[[#This Row],[Sales]]</f>
        <v>0.15619067343205276</v>
      </c>
    </row>
    <row r="152" spans="1:12" ht="14" x14ac:dyDescent="0.15">
      <c r="A152" s="1">
        <v>10151</v>
      </c>
      <c r="B152" s="2">
        <v>44712</v>
      </c>
      <c r="C152" s="1" t="s">
        <v>9</v>
      </c>
      <c r="D152" s="1" t="s">
        <v>14</v>
      </c>
      <c r="E152" s="1" t="s">
        <v>17</v>
      </c>
      <c r="F152" s="1" t="s">
        <v>25</v>
      </c>
      <c r="G152" s="4">
        <v>919.53</v>
      </c>
      <c r="H152" s="1">
        <v>3</v>
      </c>
      <c r="I152" s="1" t="str">
        <f>TEXT(SalesTable[[#This Row],[Order_Date]],"mmm")</f>
        <v>May</v>
      </c>
      <c r="J152" s="1">
        <f>YEAR(SalesTable[[#This Row],[Order_Date]])</f>
        <v>2022</v>
      </c>
      <c r="K152" s="4">
        <v>237.88</v>
      </c>
      <c r="L152" s="9">
        <f>SalesTable[[#This Row],[Profit]]/SalesTable[[#This Row],[Sales]]</f>
        <v>0.25869737800833037</v>
      </c>
    </row>
    <row r="153" spans="1:12" ht="14" x14ac:dyDescent="0.15">
      <c r="A153" s="1">
        <v>10152</v>
      </c>
      <c r="B153" s="2">
        <v>44713</v>
      </c>
      <c r="C153" s="1" t="s">
        <v>9</v>
      </c>
      <c r="D153" s="1" t="s">
        <v>15</v>
      </c>
      <c r="E153" s="1" t="s">
        <v>18</v>
      </c>
      <c r="F153" s="1" t="s">
        <v>25</v>
      </c>
      <c r="G153" s="4">
        <v>302.39999999999998</v>
      </c>
      <c r="H153" s="1">
        <v>8</v>
      </c>
      <c r="I153" s="1" t="str">
        <f>TEXT(SalesTable[[#This Row],[Order_Date]],"mmm")</f>
        <v>Jun</v>
      </c>
      <c r="J153" s="1">
        <f>YEAR(SalesTable[[#This Row],[Order_Date]])</f>
        <v>2022</v>
      </c>
      <c r="K153" s="4">
        <v>67.349999999999994</v>
      </c>
      <c r="L153" s="9">
        <f>SalesTable[[#This Row],[Profit]]/SalesTable[[#This Row],[Sales]]</f>
        <v>0.22271825396825395</v>
      </c>
    </row>
    <row r="154" spans="1:12" ht="14" x14ac:dyDescent="0.15">
      <c r="A154" s="1">
        <v>10153</v>
      </c>
      <c r="B154" s="2">
        <v>44714</v>
      </c>
      <c r="C154" s="1" t="s">
        <v>11</v>
      </c>
      <c r="D154" s="1" t="s">
        <v>15</v>
      </c>
      <c r="E154" s="1" t="s">
        <v>16</v>
      </c>
      <c r="F154" s="1" t="s">
        <v>22</v>
      </c>
      <c r="G154" s="4">
        <v>901.02</v>
      </c>
      <c r="H154" s="1">
        <v>3</v>
      </c>
      <c r="I154" s="1" t="str">
        <f>TEXT(SalesTable[[#This Row],[Order_Date]],"mmm")</f>
        <v>Jun</v>
      </c>
      <c r="J154" s="1">
        <f>YEAR(SalesTable[[#This Row],[Order_Date]])</f>
        <v>2022</v>
      </c>
      <c r="K154" s="4">
        <v>76.34</v>
      </c>
      <c r="L154" s="9">
        <f>SalesTable[[#This Row],[Profit]]/SalesTable[[#This Row],[Sales]]</f>
        <v>8.4726199196466234E-2</v>
      </c>
    </row>
    <row r="155" spans="1:12" ht="14" x14ac:dyDescent="0.15">
      <c r="A155" s="1">
        <v>10154</v>
      </c>
      <c r="B155" s="2">
        <v>44715</v>
      </c>
      <c r="C155" s="1" t="s">
        <v>9</v>
      </c>
      <c r="D155" s="1" t="s">
        <v>14</v>
      </c>
      <c r="E155" s="1" t="s">
        <v>17</v>
      </c>
      <c r="F155" s="1" t="s">
        <v>24</v>
      </c>
      <c r="G155" s="4">
        <v>148.30000000000001</v>
      </c>
      <c r="H155" s="1">
        <v>7</v>
      </c>
      <c r="I155" s="1" t="str">
        <f>TEXT(SalesTable[[#This Row],[Order_Date]],"mmm")</f>
        <v>Jun</v>
      </c>
      <c r="J155" s="1">
        <f>YEAR(SalesTable[[#This Row],[Order_Date]])</f>
        <v>2022</v>
      </c>
      <c r="K155" s="4">
        <v>153.69999999999999</v>
      </c>
      <c r="L155" s="9">
        <f>SalesTable[[#This Row],[Profit]]/SalesTable[[#This Row],[Sales]]</f>
        <v>1.0364126770060686</v>
      </c>
    </row>
    <row r="156" spans="1:12" ht="14" x14ac:dyDescent="0.15">
      <c r="A156" s="1">
        <v>10155</v>
      </c>
      <c r="B156" s="2">
        <v>44716</v>
      </c>
      <c r="C156" s="1" t="s">
        <v>11</v>
      </c>
      <c r="D156" s="1" t="s">
        <v>13</v>
      </c>
      <c r="E156" s="1" t="s">
        <v>20</v>
      </c>
      <c r="F156" s="1" t="s">
        <v>23</v>
      </c>
      <c r="G156" s="4">
        <v>673.73</v>
      </c>
      <c r="H156" s="1">
        <v>2</v>
      </c>
      <c r="I156" s="1" t="str">
        <f>TEXT(SalesTable[[#This Row],[Order_Date]],"mmm")</f>
        <v>Jun</v>
      </c>
      <c r="J156" s="1">
        <f>YEAR(SalesTable[[#This Row],[Order_Date]])</f>
        <v>2022</v>
      </c>
      <c r="K156" s="4">
        <v>209.79</v>
      </c>
      <c r="L156" s="9">
        <f>SalesTable[[#This Row],[Profit]]/SalesTable[[#This Row],[Sales]]</f>
        <v>0.31138586674186985</v>
      </c>
    </row>
    <row r="157" spans="1:12" ht="14" x14ac:dyDescent="0.15">
      <c r="A157" s="1">
        <v>10156</v>
      </c>
      <c r="B157" s="2">
        <v>44717</v>
      </c>
      <c r="C157" s="1" t="s">
        <v>12</v>
      </c>
      <c r="D157" s="1" t="s">
        <v>14</v>
      </c>
      <c r="E157" s="1" t="s">
        <v>17</v>
      </c>
      <c r="F157" s="1" t="s">
        <v>25</v>
      </c>
      <c r="G157" s="4">
        <v>911.64</v>
      </c>
      <c r="H157" s="1">
        <v>1</v>
      </c>
      <c r="I157" s="1" t="str">
        <f>TEXT(SalesTable[[#This Row],[Order_Date]],"mmm")</f>
        <v>Jun</v>
      </c>
      <c r="J157" s="1">
        <f>YEAR(SalesTable[[#This Row],[Order_Date]])</f>
        <v>2022</v>
      </c>
      <c r="K157" s="4">
        <v>-86.48</v>
      </c>
      <c r="L157" s="9">
        <f>SalesTable[[#This Row],[Profit]]/SalesTable[[#This Row],[Sales]]</f>
        <v>-9.486200693256111E-2</v>
      </c>
    </row>
    <row r="158" spans="1:12" ht="14" x14ac:dyDescent="0.15">
      <c r="A158" s="1">
        <v>10157</v>
      </c>
      <c r="B158" s="2">
        <v>44718</v>
      </c>
      <c r="C158" s="1" t="s">
        <v>9</v>
      </c>
      <c r="D158" s="1" t="s">
        <v>15</v>
      </c>
      <c r="E158" s="1" t="s">
        <v>18</v>
      </c>
      <c r="F158" s="1" t="s">
        <v>23</v>
      </c>
      <c r="G158" s="4">
        <v>210.31</v>
      </c>
      <c r="H158" s="1">
        <v>6</v>
      </c>
      <c r="I158" s="1" t="str">
        <f>TEXT(SalesTable[[#This Row],[Order_Date]],"mmm")</f>
        <v>Jun</v>
      </c>
      <c r="J158" s="1">
        <f>YEAR(SalesTable[[#This Row],[Order_Date]])</f>
        <v>2022</v>
      </c>
      <c r="K158" s="4">
        <v>137.26</v>
      </c>
      <c r="L158" s="9">
        <f>SalesTable[[#This Row],[Profit]]/SalesTable[[#This Row],[Sales]]</f>
        <v>0.65265560363273256</v>
      </c>
    </row>
    <row r="159" spans="1:12" ht="14" x14ac:dyDescent="0.15">
      <c r="A159" s="1">
        <v>10158</v>
      </c>
      <c r="B159" s="2">
        <v>44719</v>
      </c>
      <c r="C159" s="1" t="s">
        <v>12</v>
      </c>
      <c r="D159" s="1" t="s">
        <v>15</v>
      </c>
      <c r="E159" s="1" t="s">
        <v>19</v>
      </c>
      <c r="F159" s="1" t="s">
        <v>22</v>
      </c>
      <c r="G159" s="4">
        <v>969.91</v>
      </c>
      <c r="H159" s="1">
        <v>8</v>
      </c>
      <c r="I159" s="1" t="str">
        <f>TEXT(SalesTable[[#This Row],[Order_Date]],"mmm")</f>
        <v>Jun</v>
      </c>
      <c r="J159" s="1">
        <f>YEAR(SalesTable[[#This Row],[Order_Date]])</f>
        <v>2022</v>
      </c>
      <c r="K159" s="4">
        <v>-25.31</v>
      </c>
      <c r="L159" s="9">
        <f>SalesTable[[#This Row],[Profit]]/SalesTable[[#This Row],[Sales]]</f>
        <v>-2.6095204709715335E-2</v>
      </c>
    </row>
    <row r="160" spans="1:12" ht="14" x14ac:dyDescent="0.15">
      <c r="A160" s="1">
        <v>10159</v>
      </c>
      <c r="B160" s="2">
        <v>44720</v>
      </c>
      <c r="C160" s="1" t="s">
        <v>11</v>
      </c>
      <c r="D160" s="1" t="s">
        <v>14</v>
      </c>
      <c r="E160" s="1" t="s">
        <v>17</v>
      </c>
      <c r="F160" s="1" t="s">
        <v>24</v>
      </c>
      <c r="G160" s="4">
        <v>480.24</v>
      </c>
      <c r="H160" s="1">
        <v>1</v>
      </c>
      <c r="I160" s="1" t="str">
        <f>TEXT(SalesTable[[#This Row],[Order_Date]],"mmm")</f>
        <v>Jun</v>
      </c>
      <c r="J160" s="1">
        <f>YEAR(SalesTable[[#This Row],[Order_Date]])</f>
        <v>2022</v>
      </c>
      <c r="K160" s="4">
        <v>38.380000000000003</v>
      </c>
      <c r="L160" s="9">
        <f>SalesTable[[#This Row],[Profit]]/SalesTable[[#This Row],[Sales]]</f>
        <v>7.9918374146260213E-2</v>
      </c>
    </row>
    <row r="161" spans="1:12" ht="14" x14ac:dyDescent="0.15">
      <c r="A161" s="1">
        <v>10160</v>
      </c>
      <c r="B161" s="2">
        <v>44721</v>
      </c>
      <c r="C161" s="1" t="s">
        <v>10</v>
      </c>
      <c r="D161" s="1" t="s">
        <v>13</v>
      </c>
      <c r="E161" s="1" t="s">
        <v>20</v>
      </c>
      <c r="F161" s="1" t="s">
        <v>22</v>
      </c>
      <c r="G161" s="4">
        <v>948.43</v>
      </c>
      <c r="H161" s="1">
        <v>9</v>
      </c>
      <c r="I161" s="1" t="str">
        <f>TEXT(SalesTable[[#This Row],[Order_Date]],"mmm")</f>
        <v>Jun</v>
      </c>
      <c r="J161" s="1">
        <f>YEAR(SalesTable[[#This Row],[Order_Date]])</f>
        <v>2022</v>
      </c>
      <c r="K161" s="4">
        <v>39.19</v>
      </c>
      <c r="L161" s="9">
        <f>SalesTable[[#This Row],[Profit]]/SalesTable[[#This Row],[Sales]]</f>
        <v>4.1320919835939392E-2</v>
      </c>
    </row>
    <row r="162" spans="1:12" ht="14" x14ac:dyDescent="0.15">
      <c r="A162" s="1">
        <v>10161</v>
      </c>
      <c r="B162" s="2">
        <v>44722</v>
      </c>
      <c r="C162" s="1" t="s">
        <v>9</v>
      </c>
      <c r="D162" s="1" t="s">
        <v>13</v>
      </c>
      <c r="E162" s="1" t="s">
        <v>16</v>
      </c>
      <c r="F162" s="1" t="s">
        <v>23</v>
      </c>
      <c r="G162" s="4">
        <v>692.98</v>
      </c>
      <c r="H162" s="1">
        <v>3</v>
      </c>
      <c r="I162" s="1" t="str">
        <f>TEXT(SalesTable[[#This Row],[Order_Date]],"mmm")</f>
        <v>Jun</v>
      </c>
      <c r="J162" s="1">
        <f>YEAR(SalesTable[[#This Row],[Order_Date]])</f>
        <v>2022</v>
      </c>
      <c r="K162" s="4">
        <v>87.62</v>
      </c>
      <c r="L162" s="9">
        <f>SalesTable[[#This Row],[Profit]]/SalesTable[[#This Row],[Sales]]</f>
        <v>0.12643943548154349</v>
      </c>
    </row>
    <row r="163" spans="1:12" ht="14" x14ac:dyDescent="0.15">
      <c r="A163" s="1">
        <v>10162</v>
      </c>
      <c r="B163" s="2">
        <v>44723</v>
      </c>
      <c r="C163" s="1" t="s">
        <v>11</v>
      </c>
      <c r="D163" s="1" t="s">
        <v>15</v>
      </c>
      <c r="E163" s="1" t="s">
        <v>19</v>
      </c>
      <c r="F163" s="1" t="s">
        <v>24</v>
      </c>
      <c r="G163" s="4">
        <v>336.51</v>
      </c>
      <c r="H163" s="1">
        <v>3</v>
      </c>
      <c r="I163" s="1" t="str">
        <f>TEXT(SalesTable[[#This Row],[Order_Date]],"mmm")</f>
        <v>Jun</v>
      </c>
      <c r="J163" s="1">
        <f>YEAR(SalesTable[[#This Row],[Order_Date]])</f>
        <v>2022</v>
      </c>
      <c r="K163" s="4">
        <v>33.65</v>
      </c>
      <c r="L163" s="9">
        <f>SalesTable[[#This Row],[Profit]]/SalesTable[[#This Row],[Sales]]</f>
        <v>9.9997028320109357E-2</v>
      </c>
    </row>
    <row r="164" spans="1:12" ht="14" x14ac:dyDescent="0.15">
      <c r="A164" s="1">
        <v>10163</v>
      </c>
      <c r="B164" s="2">
        <v>44724</v>
      </c>
      <c r="C164" s="1" t="s">
        <v>10</v>
      </c>
      <c r="D164" s="1" t="s">
        <v>15</v>
      </c>
      <c r="E164" s="1" t="s">
        <v>16</v>
      </c>
      <c r="F164" s="1" t="s">
        <v>24</v>
      </c>
      <c r="G164" s="4">
        <v>228.89</v>
      </c>
      <c r="H164" s="1">
        <v>4</v>
      </c>
      <c r="I164" s="1" t="str">
        <f>TEXT(SalesTable[[#This Row],[Order_Date]],"mmm")</f>
        <v>Jun</v>
      </c>
      <c r="J164" s="1">
        <f>YEAR(SalesTable[[#This Row],[Order_Date]])</f>
        <v>2022</v>
      </c>
      <c r="K164" s="4">
        <v>-57.06</v>
      </c>
      <c r="L164" s="9">
        <f>SalesTable[[#This Row],[Profit]]/SalesTable[[#This Row],[Sales]]</f>
        <v>-0.2492900519900389</v>
      </c>
    </row>
    <row r="165" spans="1:12" ht="14" x14ac:dyDescent="0.15">
      <c r="A165" s="1">
        <v>10164</v>
      </c>
      <c r="B165" s="2">
        <v>44725</v>
      </c>
      <c r="C165" s="1" t="s">
        <v>10</v>
      </c>
      <c r="D165" s="1" t="s">
        <v>13</v>
      </c>
      <c r="E165" s="1" t="s">
        <v>17</v>
      </c>
      <c r="F165" s="1" t="s">
        <v>22</v>
      </c>
      <c r="G165" s="4">
        <v>338.55</v>
      </c>
      <c r="H165" s="1">
        <v>1</v>
      </c>
      <c r="I165" s="1" t="str">
        <f>TEXT(SalesTable[[#This Row],[Order_Date]],"mmm")</f>
        <v>Jun</v>
      </c>
      <c r="J165" s="1">
        <f>YEAR(SalesTable[[#This Row],[Order_Date]])</f>
        <v>2022</v>
      </c>
      <c r="K165" s="4">
        <v>-41.75</v>
      </c>
      <c r="L165" s="9">
        <f>SalesTable[[#This Row],[Profit]]/SalesTable[[#This Row],[Sales]]</f>
        <v>-0.12332004135282823</v>
      </c>
    </row>
    <row r="166" spans="1:12" ht="14" x14ac:dyDescent="0.15">
      <c r="A166" s="1">
        <v>10165</v>
      </c>
      <c r="B166" s="2">
        <v>44726</v>
      </c>
      <c r="C166" s="1" t="s">
        <v>12</v>
      </c>
      <c r="D166" s="1" t="s">
        <v>14</v>
      </c>
      <c r="E166" s="1" t="s">
        <v>18</v>
      </c>
      <c r="F166" s="1" t="s">
        <v>25</v>
      </c>
      <c r="G166" s="4">
        <v>138.37</v>
      </c>
      <c r="H166" s="1">
        <v>9</v>
      </c>
      <c r="I166" s="1" t="str">
        <f>TEXT(SalesTable[[#This Row],[Order_Date]],"mmm")</f>
        <v>Jun</v>
      </c>
      <c r="J166" s="1">
        <f>YEAR(SalesTable[[#This Row],[Order_Date]])</f>
        <v>2022</v>
      </c>
      <c r="K166" s="4">
        <v>-86.62</v>
      </c>
      <c r="L166" s="9">
        <f>SalesTable[[#This Row],[Profit]]/SalesTable[[#This Row],[Sales]]</f>
        <v>-0.6260027462600275</v>
      </c>
    </row>
    <row r="167" spans="1:12" ht="14" x14ac:dyDescent="0.15">
      <c r="A167" s="1">
        <v>10166</v>
      </c>
      <c r="B167" s="2">
        <v>44727</v>
      </c>
      <c r="C167" s="1" t="s">
        <v>11</v>
      </c>
      <c r="D167" s="1" t="s">
        <v>15</v>
      </c>
      <c r="E167" s="1" t="s">
        <v>18</v>
      </c>
      <c r="F167" s="1" t="s">
        <v>23</v>
      </c>
      <c r="G167" s="4">
        <v>186.67</v>
      </c>
      <c r="H167" s="1">
        <v>3</v>
      </c>
      <c r="I167" s="1" t="str">
        <f>TEXT(SalesTable[[#This Row],[Order_Date]],"mmm")</f>
        <v>Jun</v>
      </c>
      <c r="J167" s="1">
        <f>YEAR(SalesTable[[#This Row],[Order_Date]])</f>
        <v>2022</v>
      </c>
      <c r="K167" s="4">
        <v>88.1</v>
      </c>
      <c r="L167" s="9">
        <f>SalesTable[[#This Row],[Profit]]/SalesTable[[#This Row],[Sales]]</f>
        <v>0.47195585793110839</v>
      </c>
    </row>
    <row r="168" spans="1:12" ht="14" x14ac:dyDescent="0.15">
      <c r="A168" s="1">
        <v>10167</v>
      </c>
      <c r="B168" s="2">
        <v>44728</v>
      </c>
      <c r="C168" s="1" t="s">
        <v>10</v>
      </c>
      <c r="D168" s="1" t="s">
        <v>15</v>
      </c>
      <c r="E168" s="1" t="s">
        <v>20</v>
      </c>
      <c r="F168" s="1" t="s">
        <v>21</v>
      </c>
      <c r="G168" s="4">
        <v>149.43</v>
      </c>
      <c r="H168" s="1">
        <v>4</v>
      </c>
      <c r="I168" s="1" t="str">
        <f>TEXT(SalesTable[[#This Row],[Order_Date]],"mmm")</f>
        <v>Jun</v>
      </c>
      <c r="J168" s="1">
        <f>YEAR(SalesTable[[#This Row],[Order_Date]])</f>
        <v>2022</v>
      </c>
      <c r="K168" s="4">
        <v>281.77999999999997</v>
      </c>
      <c r="L168" s="9">
        <f>SalesTable[[#This Row],[Profit]]/SalesTable[[#This Row],[Sales]]</f>
        <v>1.885698989493408</v>
      </c>
    </row>
    <row r="169" spans="1:12" ht="14" x14ac:dyDescent="0.15">
      <c r="A169" s="1">
        <v>10168</v>
      </c>
      <c r="B169" s="2">
        <v>44729</v>
      </c>
      <c r="C169" s="1" t="s">
        <v>9</v>
      </c>
      <c r="D169" s="1" t="s">
        <v>13</v>
      </c>
      <c r="E169" s="1" t="s">
        <v>18</v>
      </c>
      <c r="F169" s="1" t="s">
        <v>21</v>
      </c>
      <c r="G169" s="4">
        <v>451.8</v>
      </c>
      <c r="H169" s="1">
        <v>1</v>
      </c>
      <c r="I169" s="1" t="str">
        <f>TEXT(SalesTable[[#This Row],[Order_Date]],"mmm")</f>
        <v>Jun</v>
      </c>
      <c r="J169" s="1">
        <f>YEAR(SalesTable[[#This Row],[Order_Date]])</f>
        <v>2022</v>
      </c>
      <c r="K169" s="4">
        <v>-53.73</v>
      </c>
      <c r="L169" s="9">
        <f>SalesTable[[#This Row],[Profit]]/SalesTable[[#This Row],[Sales]]</f>
        <v>-0.11892430278884461</v>
      </c>
    </row>
    <row r="170" spans="1:12" ht="14" x14ac:dyDescent="0.15">
      <c r="A170" s="1">
        <v>10169</v>
      </c>
      <c r="B170" s="2">
        <v>44730</v>
      </c>
      <c r="C170" s="1" t="s">
        <v>9</v>
      </c>
      <c r="D170" s="1" t="s">
        <v>14</v>
      </c>
      <c r="E170" s="1" t="s">
        <v>19</v>
      </c>
      <c r="F170" s="1" t="s">
        <v>22</v>
      </c>
      <c r="G170" s="4">
        <v>805.8</v>
      </c>
      <c r="H170" s="1">
        <v>4</v>
      </c>
      <c r="I170" s="1" t="str">
        <f>TEXT(SalesTable[[#This Row],[Order_Date]],"mmm")</f>
        <v>Jun</v>
      </c>
      <c r="J170" s="1">
        <f>YEAR(SalesTable[[#This Row],[Order_Date]])</f>
        <v>2022</v>
      </c>
      <c r="K170" s="4">
        <v>278.51</v>
      </c>
      <c r="L170" s="9">
        <f>SalesTable[[#This Row],[Profit]]/SalesTable[[#This Row],[Sales]]</f>
        <v>0.34563167038967485</v>
      </c>
    </row>
    <row r="171" spans="1:12" ht="14" x14ac:dyDescent="0.15">
      <c r="A171" s="1">
        <v>10170</v>
      </c>
      <c r="B171" s="2">
        <v>44731</v>
      </c>
      <c r="C171" s="1" t="s">
        <v>12</v>
      </c>
      <c r="D171" s="1" t="s">
        <v>13</v>
      </c>
      <c r="E171" s="1" t="s">
        <v>18</v>
      </c>
      <c r="F171" s="1" t="s">
        <v>23</v>
      </c>
      <c r="G171" s="4">
        <v>184.31</v>
      </c>
      <c r="H171" s="1">
        <v>1</v>
      </c>
      <c r="I171" s="1" t="str">
        <f>TEXT(SalesTable[[#This Row],[Order_Date]],"mmm")</f>
        <v>Jun</v>
      </c>
      <c r="J171" s="1">
        <f>YEAR(SalesTable[[#This Row],[Order_Date]])</f>
        <v>2022</v>
      </c>
      <c r="K171" s="4">
        <v>193.34</v>
      </c>
      <c r="L171" s="9">
        <f>SalesTable[[#This Row],[Profit]]/SalesTable[[#This Row],[Sales]]</f>
        <v>1.0489935434865172</v>
      </c>
    </row>
    <row r="172" spans="1:12" ht="14" x14ac:dyDescent="0.15">
      <c r="A172" s="1">
        <v>10171</v>
      </c>
      <c r="B172" s="2">
        <v>44732</v>
      </c>
      <c r="C172" s="1" t="s">
        <v>10</v>
      </c>
      <c r="D172" s="1" t="s">
        <v>14</v>
      </c>
      <c r="E172" s="1" t="s">
        <v>20</v>
      </c>
      <c r="F172" s="1" t="s">
        <v>23</v>
      </c>
      <c r="G172" s="4">
        <v>173.8</v>
      </c>
      <c r="H172" s="1">
        <v>5</v>
      </c>
      <c r="I172" s="1" t="str">
        <f>TEXT(SalesTable[[#This Row],[Order_Date]],"mmm")</f>
        <v>Jun</v>
      </c>
      <c r="J172" s="1">
        <f>YEAR(SalesTable[[#This Row],[Order_Date]])</f>
        <v>2022</v>
      </c>
      <c r="K172" s="4">
        <v>155</v>
      </c>
      <c r="L172" s="9">
        <f>SalesTable[[#This Row],[Profit]]/SalesTable[[#This Row],[Sales]]</f>
        <v>0.89182968929804363</v>
      </c>
    </row>
    <row r="173" spans="1:12" ht="14" x14ac:dyDescent="0.15">
      <c r="A173" s="1">
        <v>10172</v>
      </c>
      <c r="B173" s="2">
        <v>44733</v>
      </c>
      <c r="C173" s="1" t="s">
        <v>11</v>
      </c>
      <c r="D173" s="1" t="s">
        <v>14</v>
      </c>
      <c r="E173" s="1" t="s">
        <v>17</v>
      </c>
      <c r="F173" s="1" t="s">
        <v>22</v>
      </c>
      <c r="G173" s="4">
        <v>661.26</v>
      </c>
      <c r="H173" s="1">
        <v>5</v>
      </c>
      <c r="I173" s="1" t="str">
        <f>TEXT(SalesTable[[#This Row],[Order_Date]],"mmm")</f>
        <v>Jun</v>
      </c>
      <c r="J173" s="1">
        <f>YEAR(SalesTable[[#This Row],[Order_Date]])</f>
        <v>2022</v>
      </c>
      <c r="K173" s="4">
        <v>158.11000000000001</v>
      </c>
      <c r="L173" s="9">
        <f>SalesTable[[#This Row],[Profit]]/SalesTable[[#This Row],[Sales]]</f>
        <v>0.23910413453104681</v>
      </c>
    </row>
    <row r="174" spans="1:12" ht="14" x14ac:dyDescent="0.15">
      <c r="A174" s="1">
        <v>10173</v>
      </c>
      <c r="B174" s="2">
        <v>44734</v>
      </c>
      <c r="C174" s="1" t="s">
        <v>9</v>
      </c>
      <c r="D174" s="1" t="s">
        <v>14</v>
      </c>
      <c r="E174" s="1" t="s">
        <v>17</v>
      </c>
      <c r="F174" s="1" t="s">
        <v>23</v>
      </c>
      <c r="G174" s="4">
        <v>237.32</v>
      </c>
      <c r="H174" s="1">
        <v>7</v>
      </c>
      <c r="I174" s="1" t="str">
        <f>TEXT(SalesTable[[#This Row],[Order_Date]],"mmm")</f>
        <v>Jun</v>
      </c>
      <c r="J174" s="1">
        <f>YEAR(SalesTable[[#This Row],[Order_Date]])</f>
        <v>2022</v>
      </c>
      <c r="K174" s="4">
        <v>230.69</v>
      </c>
      <c r="L174" s="9">
        <f>SalesTable[[#This Row],[Profit]]/SalesTable[[#This Row],[Sales]]</f>
        <v>0.97206303724928367</v>
      </c>
    </row>
    <row r="175" spans="1:12" ht="14" x14ac:dyDescent="0.15">
      <c r="A175" s="1">
        <v>10174</v>
      </c>
      <c r="B175" s="2">
        <v>44735</v>
      </c>
      <c r="C175" s="1" t="s">
        <v>10</v>
      </c>
      <c r="D175" s="1" t="s">
        <v>15</v>
      </c>
      <c r="E175" s="1" t="s">
        <v>18</v>
      </c>
      <c r="F175" s="1" t="s">
        <v>25</v>
      </c>
      <c r="G175" s="4">
        <v>142.72999999999999</v>
      </c>
      <c r="H175" s="1">
        <v>8</v>
      </c>
      <c r="I175" s="1" t="str">
        <f>TEXT(SalesTable[[#This Row],[Order_Date]],"mmm")</f>
        <v>Jun</v>
      </c>
      <c r="J175" s="1">
        <f>YEAR(SalesTable[[#This Row],[Order_Date]])</f>
        <v>2022</v>
      </c>
      <c r="K175" s="4">
        <v>-57.23</v>
      </c>
      <c r="L175" s="9">
        <f>SalesTable[[#This Row],[Profit]]/SalesTable[[#This Row],[Sales]]</f>
        <v>-0.40096686050585023</v>
      </c>
    </row>
    <row r="176" spans="1:12" ht="14" x14ac:dyDescent="0.15">
      <c r="A176" s="1">
        <v>10175</v>
      </c>
      <c r="B176" s="2">
        <v>44736</v>
      </c>
      <c r="C176" s="1" t="s">
        <v>10</v>
      </c>
      <c r="D176" s="1" t="s">
        <v>13</v>
      </c>
      <c r="E176" s="1" t="s">
        <v>16</v>
      </c>
      <c r="F176" s="1" t="s">
        <v>22</v>
      </c>
      <c r="G176" s="4">
        <v>208.51</v>
      </c>
      <c r="H176" s="1">
        <v>4</v>
      </c>
      <c r="I176" s="1" t="str">
        <f>TEXT(SalesTable[[#This Row],[Order_Date]],"mmm")</f>
        <v>Jun</v>
      </c>
      <c r="J176" s="1">
        <f>YEAR(SalesTable[[#This Row],[Order_Date]])</f>
        <v>2022</v>
      </c>
      <c r="K176" s="4">
        <v>101.9</v>
      </c>
      <c r="L176" s="9">
        <f>SalesTable[[#This Row],[Profit]]/SalesTable[[#This Row],[Sales]]</f>
        <v>0.48870557767013578</v>
      </c>
    </row>
    <row r="177" spans="1:12" ht="14" x14ac:dyDescent="0.15">
      <c r="A177" s="1">
        <v>10176</v>
      </c>
      <c r="B177" s="2">
        <v>44737</v>
      </c>
      <c r="C177" s="1" t="s">
        <v>12</v>
      </c>
      <c r="D177" s="1" t="s">
        <v>13</v>
      </c>
      <c r="E177" s="1" t="s">
        <v>17</v>
      </c>
      <c r="F177" s="1" t="s">
        <v>25</v>
      </c>
      <c r="G177" s="4">
        <v>927.54</v>
      </c>
      <c r="H177" s="1">
        <v>7</v>
      </c>
      <c r="I177" s="1" t="str">
        <f>TEXT(SalesTable[[#This Row],[Order_Date]],"mmm")</f>
        <v>Jun</v>
      </c>
      <c r="J177" s="1">
        <f>YEAR(SalesTable[[#This Row],[Order_Date]])</f>
        <v>2022</v>
      </c>
      <c r="K177" s="4">
        <v>178.84</v>
      </c>
      <c r="L177" s="9">
        <f>SalesTable[[#This Row],[Profit]]/SalesTable[[#This Row],[Sales]]</f>
        <v>0.19281109170493996</v>
      </c>
    </row>
    <row r="178" spans="1:12" ht="14" x14ac:dyDescent="0.15">
      <c r="A178" s="1">
        <v>10177</v>
      </c>
      <c r="B178" s="2">
        <v>44738</v>
      </c>
      <c r="C178" s="1" t="s">
        <v>9</v>
      </c>
      <c r="D178" s="1" t="s">
        <v>14</v>
      </c>
      <c r="E178" s="1" t="s">
        <v>18</v>
      </c>
      <c r="F178" s="1" t="s">
        <v>23</v>
      </c>
      <c r="G178" s="4">
        <v>830.4</v>
      </c>
      <c r="H178" s="1">
        <v>4</v>
      </c>
      <c r="I178" s="1" t="str">
        <f>TEXT(SalesTable[[#This Row],[Order_Date]],"mmm")</f>
        <v>Jun</v>
      </c>
      <c r="J178" s="1">
        <f>YEAR(SalesTable[[#This Row],[Order_Date]])</f>
        <v>2022</v>
      </c>
      <c r="K178" s="4">
        <v>134.72999999999999</v>
      </c>
      <c r="L178" s="9">
        <f>SalesTable[[#This Row],[Profit]]/SalesTable[[#This Row],[Sales]]</f>
        <v>0.16224710982658958</v>
      </c>
    </row>
    <row r="179" spans="1:12" ht="14" x14ac:dyDescent="0.15">
      <c r="A179" s="1">
        <v>10178</v>
      </c>
      <c r="B179" s="2">
        <v>44739</v>
      </c>
      <c r="C179" s="1" t="s">
        <v>9</v>
      </c>
      <c r="D179" s="1" t="s">
        <v>15</v>
      </c>
      <c r="E179" s="1" t="s">
        <v>20</v>
      </c>
      <c r="F179" s="1" t="s">
        <v>22</v>
      </c>
      <c r="G179" s="4">
        <v>386.36</v>
      </c>
      <c r="H179" s="1">
        <v>3</v>
      </c>
      <c r="I179" s="1" t="str">
        <f>TEXT(SalesTable[[#This Row],[Order_Date]],"mmm")</f>
        <v>Jun</v>
      </c>
      <c r="J179" s="1">
        <f>YEAR(SalesTable[[#This Row],[Order_Date]])</f>
        <v>2022</v>
      </c>
      <c r="K179" s="4">
        <v>233.11</v>
      </c>
      <c r="L179" s="9">
        <f>SalesTable[[#This Row],[Profit]]/SalesTable[[#This Row],[Sales]]</f>
        <v>0.60334920799254588</v>
      </c>
    </row>
    <row r="180" spans="1:12" ht="14" x14ac:dyDescent="0.15">
      <c r="A180" s="1">
        <v>10179</v>
      </c>
      <c r="B180" s="2">
        <v>44740</v>
      </c>
      <c r="C180" s="1" t="s">
        <v>11</v>
      </c>
      <c r="D180" s="1" t="s">
        <v>15</v>
      </c>
      <c r="E180" s="1" t="s">
        <v>18</v>
      </c>
      <c r="F180" s="1" t="s">
        <v>23</v>
      </c>
      <c r="G180" s="4">
        <v>673.03</v>
      </c>
      <c r="H180" s="1">
        <v>6</v>
      </c>
      <c r="I180" s="1" t="str">
        <f>TEXT(SalesTable[[#This Row],[Order_Date]],"mmm")</f>
        <v>Jun</v>
      </c>
      <c r="J180" s="1">
        <f>YEAR(SalesTable[[#This Row],[Order_Date]])</f>
        <v>2022</v>
      </c>
      <c r="K180" s="4">
        <v>-71.09</v>
      </c>
      <c r="L180" s="9">
        <f>SalesTable[[#This Row],[Profit]]/SalesTable[[#This Row],[Sales]]</f>
        <v>-0.10562679226780382</v>
      </c>
    </row>
    <row r="181" spans="1:12" ht="14" x14ac:dyDescent="0.15">
      <c r="A181" s="1">
        <v>10180</v>
      </c>
      <c r="B181" s="2">
        <v>44741</v>
      </c>
      <c r="C181" s="1" t="s">
        <v>9</v>
      </c>
      <c r="D181" s="1" t="s">
        <v>13</v>
      </c>
      <c r="E181" s="1" t="s">
        <v>17</v>
      </c>
      <c r="F181" s="1" t="s">
        <v>22</v>
      </c>
      <c r="G181" s="4">
        <v>560.41</v>
      </c>
      <c r="H181" s="1">
        <v>4</v>
      </c>
      <c r="I181" s="1" t="str">
        <f>TEXT(SalesTable[[#This Row],[Order_Date]],"mmm")</f>
        <v>Jun</v>
      </c>
      <c r="J181" s="1">
        <f>YEAR(SalesTable[[#This Row],[Order_Date]])</f>
        <v>2022</v>
      </c>
      <c r="K181" s="4">
        <v>176.28</v>
      </c>
      <c r="L181" s="9">
        <f>SalesTable[[#This Row],[Profit]]/SalesTable[[#This Row],[Sales]]</f>
        <v>0.31455541478560339</v>
      </c>
    </row>
    <row r="182" spans="1:12" ht="14" x14ac:dyDescent="0.15">
      <c r="A182" s="1">
        <v>10181</v>
      </c>
      <c r="B182" s="2">
        <v>44742</v>
      </c>
      <c r="C182" s="1" t="s">
        <v>11</v>
      </c>
      <c r="D182" s="1" t="s">
        <v>15</v>
      </c>
      <c r="E182" s="1" t="s">
        <v>20</v>
      </c>
      <c r="F182" s="1" t="s">
        <v>23</v>
      </c>
      <c r="G182" s="4">
        <v>693.27</v>
      </c>
      <c r="H182" s="1">
        <v>3</v>
      </c>
      <c r="I182" s="1" t="str">
        <f>TEXT(SalesTable[[#This Row],[Order_Date]],"mmm")</f>
        <v>Jun</v>
      </c>
      <c r="J182" s="1">
        <f>YEAR(SalesTable[[#This Row],[Order_Date]])</f>
        <v>2022</v>
      </c>
      <c r="K182" s="4">
        <v>113.61</v>
      </c>
      <c r="L182" s="9">
        <f>SalesTable[[#This Row],[Profit]]/SalesTable[[#This Row],[Sales]]</f>
        <v>0.16387554632394305</v>
      </c>
    </row>
    <row r="183" spans="1:12" ht="14" x14ac:dyDescent="0.15">
      <c r="A183" s="1">
        <v>10182</v>
      </c>
      <c r="B183" s="2">
        <v>44743</v>
      </c>
      <c r="C183" s="1" t="s">
        <v>9</v>
      </c>
      <c r="D183" s="1" t="s">
        <v>15</v>
      </c>
      <c r="E183" s="1" t="s">
        <v>18</v>
      </c>
      <c r="F183" s="1" t="s">
        <v>25</v>
      </c>
      <c r="G183" s="4">
        <v>698.54</v>
      </c>
      <c r="H183" s="1">
        <v>9</v>
      </c>
      <c r="I183" s="1" t="str">
        <f>TEXT(SalesTable[[#This Row],[Order_Date]],"mmm")</f>
        <v>Jul</v>
      </c>
      <c r="J183" s="1">
        <f>YEAR(SalesTable[[#This Row],[Order_Date]])</f>
        <v>2022</v>
      </c>
      <c r="K183" s="4">
        <v>51.66</v>
      </c>
      <c r="L183" s="9">
        <f>SalesTable[[#This Row],[Profit]]/SalesTable[[#This Row],[Sales]]</f>
        <v>7.3954247430354739E-2</v>
      </c>
    </row>
    <row r="184" spans="1:12" ht="14" x14ac:dyDescent="0.15">
      <c r="A184" s="1">
        <v>10183</v>
      </c>
      <c r="B184" s="2">
        <v>44744</v>
      </c>
      <c r="C184" s="1" t="s">
        <v>12</v>
      </c>
      <c r="D184" s="1" t="s">
        <v>14</v>
      </c>
      <c r="E184" s="1" t="s">
        <v>19</v>
      </c>
      <c r="F184" s="1" t="s">
        <v>25</v>
      </c>
      <c r="G184" s="4">
        <v>647.29999999999995</v>
      </c>
      <c r="H184" s="1">
        <v>5</v>
      </c>
      <c r="I184" s="1" t="str">
        <f>TEXT(SalesTable[[#This Row],[Order_Date]],"mmm")</f>
        <v>Jul</v>
      </c>
      <c r="J184" s="1">
        <f>YEAR(SalesTable[[#This Row],[Order_Date]])</f>
        <v>2022</v>
      </c>
      <c r="K184" s="4">
        <v>36.11</v>
      </c>
      <c r="L184" s="9">
        <f>SalesTable[[#This Row],[Profit]]/SalesTable[[#This Row],[Sales]]</f>
        <v>5.5785570832689639E-2</v>
      </c>
    </row>
    <row r="185" spans="1:12" ht="14" x14ac:dyDescent="0.15">
      <c r="A185" s="1">
        <v>10184</v>
      </c>
      <c r="B185" s="2">
        <v>44745</v>
      </c>
      <c r="C185" s="1" t="s">
        <v>9</v>
      </c>
      <c r="D185" s="1" t="s">
        <v>15</v>
      </c>
      <c r="E185" s="1" t="s">
        <v>20</v>
      </c>
      <c r="F185" s="1" t="s">
        <v>23</v>
      </c>
      <c r="G185" s="4">
        <v>302.8</v>
      </c>
      <c r="H185" s="1">
        <v>7</v>
      </c>
      <c r="I185" s="1" t="str">
        <f>TEXT(SalesTable[[#This Row],[Order_Date]],"mmm")</f>
        <v>Jul</v>
      </c>
      <c r="J185" s="1">
        <f>YEAR(SalesTable[[#This Row],[Order_Date]])</f>
        <v>2022</v>
      </c>
      <c r="K185" s="4">
        <v>148.33000000000001</v>
      </c>
      <c r="L185" s="9">
        <f>SalesTable[[#This Row],[Profit]]/SalesTable[[#This Row],[Sales]]</f>
        <v>0.48986129458388378</v>
      </c>
    </row>
    <row r="186" spans="1:12" ht="14" x14ac:dyDescent="0.15">
      <c r="A186" s="1">
        <v>10185</v>
      </c>
      <c r="B186" s="2">
        <v>44746</v>
      </c>
      <c r="C186" s="1" t="s">
        <v>11</v>
      </c>
      <c r="D186" s="1" t="s">
        <v>14</v>
      </c>
      <c r="E186" s="1" t="s">
        <v>19</v>
      </c>
      <c r="F186" s="1" t="s">
        <v>22</v>
      </c>
      <c r="G186" s="4">
        <v>87.06</v>
      </c>
      <c r="H186" s="1">
        <v>6</v>
      </c>
      <c r="I186" s="1" t="str">
        <f>TEXT(SalesTable[[#This Row],[Order_Date]],"mmm")</f>
        <v>Jul</v>
      </c>
      <c r="J186" s="1">
        <f>YEAR(SalesTable[[#This Row],[Order_Date]])</f>
        <v>2022</v>
      </c>
      <c r="K186" s="4">
        <v>256.39999999999998</v>
      </c>
      <c r="L186" s="9">
        <f>SalesTable[[#This Row],[Profit]]/SalesTable[[#This Row],[Sales]]</f>
        <v>2.9450953365495058</v>
      </c>
    </row>
    <row r="187" spans="1:12" ht="14" x14ac:dyDescent="0.15">
      <c r="A187" s="1">
        <v>10186</v>
      </c>
      <c r="B187" s="2">
        <v>44747</v>
      </c>
      <c r="C187" s="1" t="s">
        <v>11</v>
      </c>
      <c r="D187" s="1" t="s">
        <v>13</v>
      </c>
      <c r="E187" s="1" t="s">
        <v>16</v>
      </c>
      <c r="F187" s="1" t="s">
        <v>21</v>
      </c>
      <c r="G187" s="4">
        <v>482.79</v>
      </c>
      <c r="H187" s="1">
        <v>5</v>
      </c>
      <c r="I187" s="1" t="str">
        <f>TEXT(SalesTable[[#This Row],[Order_Date]],"mmm")</f>
        <v>Jul</v>
      </c>
      <c r="J187" s="1">
        <f>YEAR(SalesTable[[#This Row],[Order_Date]])</f>
        <v>2022</v>
      </c>
      <c r="K187" s="4">
        <v>98.47</v>
      </c>
      <c r="L187" s="9">
        <f>SalesTable[[#This Row],[Profit]]/SalesTable[[#This Row],[Sales]]</f>
        <v>0.20396031400816089</v>
      </c>
    </row>
    <row r="188" spans="1:12" ht="14" x14ac:dyDescent="0.15">
      <c r="A188" s="1">
        <v>10187</v>
      </c>
      <c r="B188" s="2">
        <v>44748</v>
      </c>
      <c r="C188" s="1" t="s">
        <v>12</v>
      </c>
      <c r="D188" s="1" t="s">
        <v>15</v>
      </c>
      <c r="E188" s="1" t="s">
        <v>20</v>
      </c>
      <c r="F188" s="1" t="s">
        <v>25</v>
      </c>
      <c r="G188" s="4">
        <v>896.43</v>
      </c>
      <c r="H188" s="1">
        <v>7</v>
      </c>
      <c r="I188" s="1" t="str">
        <f>TEXT(SalesTable[[#This Row],[Order_Date]],"mmm")</f>
        <v>Jul</v>
      </c>
      <c r="J188" s="1">
        <f>YEAR(SalesTable[[#This Row],[Order_Date]])</f>
        <v>2022</v>
      </c>
      <c r="K188" s="4">
        <v>229.89</v>
      </c>
      <c r="L188" s="9">
        <f>SalesTable[[#This Row],[Profit]]/SalesTable[[#This Row],[Sales]]</f>
        <v>0.2564505873297413</v>
      </c>
    </row>
    <row r="189" spans="1:12" ht="14" x14ac:dyDescent="0.15">
      <c r="A189" s="1">
        <v>10188</v>
      </c>
      <c r="B189" s="2">
        <v>44749</v>
      </c>
      <c r="C189" s="1" t="s">
        <v>9</v>
      </c>
      <c r="D189" s="1" t="s">
        <v>13</v>
      </c>
      <c r="E189" s="1" t="s">
        <v>19</v>
      </c>
      <c r="F189" s="1" t="s">
        <v>25</v>
      </c>
      <c r="G189" s="4">
        <v>591.02</v>
      </c>
      <c r="H189" s="1">
        <v>6</v>
      </c>
      <c r="I189" s="1" t="str">
        <f>TEXT(SalesTable[[#This Row],[Order_Date]],"mmm")</f>
        <v>Jul</v>
      </c>
      <c r="J189" s="1">
        <f>YEAR(SalesTable[[#This Row],[Order_Date]])</f>
        <v>2022</v>
      </c>
      <c r="K189" s="4">
        <v>60.86</v>
      </c>
      <c r="L189" s="9">
        <f>SalesTable[[#This Row],[Profit]]/SalesTable[[#This Row],[Sales]]</f>
        <v>0.10297451862881121</v>
      </c>
    </row>
    <row r="190" spans="1:12" ht="14" x14ac:dyDescent="0.15">
      <c r="A190" s="1">
        <v>10189</v>
      </c>
      <c r="B190" s="2">
        <v>44750</v>
      </c>
      <c r="C190" s="1" t="s">
        <v>9</v>
      </c>
      <c r="D190" s="1" t="s">
        <v>13</v>
      </c>
      <c r="E190" s="1" t="s">
        <v>17</v>
      </c>
      <c r="F190" s="1" t="s">
        <v>21</v>
      </c>
      <c r="G190" s="4">
        <v>840.77</v>
      </c>
      <c r="H190" s="1">
        <v>2</v>
      </c>
      <c r="I190" s="1" t="str">
        <f>TEXT(SalesTable[[#This Row],[Order_Date]],"mmm")</f>
        <v>Jul</v>
      </c>
      <c r="J190" s="1">
        <f>YEAR(SalesTable[[#This Row],[Order_Date]])</f>
        <v>2022</v>
      </c>
      <c r="K190" s="4">
        <v>-59.04</v>
      </c>
      <c r="L190" s="9">
        <f>SalesTable[[#This Row],[Profit]]/SalesTable[[#This Row],[Sales]]</f>
        <v>-7.0221344719721204E-2</v>
      </c>
    </row>
    <row r="191" spans="1:12" ht="14" x14ac:dyDescent="0.15">
      <c r="A191" s="1">
        <v>10190</v>
      </c>
      <c r="B191" s="2">
        <v>44751</v>
      </c>
      <c r="C191" s="1" t="s">
        <v>12</v>
      </c>
      <c r="D191" s="1" t="s">
        <v>15</v>
      </c>
      <c r="E191" s="1" t="s">
        <v>17</v>
      </c>
      <c r="F191" s="1" t="s">
        <v>23</v>
      </c>
      <c r="G191" s="4">
        <v>992.04</v>
      </c>
      <c r="H191" s="1">
        <v>3</v>
      </c>
      <c r="I191" s="1" t="str">
        <f>TEXT(SalesTable[[#This Row],[Order_Date]],"mmm")</f>
        <v>Jul</v>
      </c>
      <c r="J191" s="1">
        <f>YEAR(SalesTable[[#This Row],[Order_Date]])</f>
        <v>2022</v>
      </c>
      <c r="K191" s="4">
        <v>-75.400000000000006</v>
      </c>
      <c r="L191" s="9">
        <f>SalesTable[[#This Row],[Profit]]/SalesTable[[#This Row],[Sales]]</f>
        <v>-7.6004999798395229E-2</v>
      </c>
    </row>
    <row r="192" spans="1:12" ht="14" x14ac:dyDescent="0.15">
      <c r="A192" s="1">
        <v>10191</v>
      </c>
      <c r="B192" s="2">
        <v>44752</v>
      </c>
      <c r="C192" s="1" t="s">
        <v>9</v>
      </c>
      <c r="D192" s="1" t="s">
        <v>15</v>
      </c>
      <c r="E192" s="1" t="s">
        <v>16</v>
      </c>
      <c r="F192" s="1" t="s">
        <v>22</v>
      </c>
      <c r="G192" s="4">
        <v>205.44</v>
      </c>
      <c r="H192" s="1">
        <v>2</v>
      </c>
      <c r="I192" s="1" t="str">
        <f>TEXT(SalesTable[[#This Row],[Order_Date]],"mmm")</f>
        <v>Jul</v>
      </c>
      <c r="J192" s="1">
        <f>YEAR(SalesTable[[#This Row],[Order_Date]])</f>
        <v>2022</v>
      </c>
      <c r="K192" s="4">
        <v>-79.47</v>
      </c>
      <c r="L192" s="9">
        <f>SalesTable[[#This Row],[Profit]]/SalesTable[[#This Row],[Sales]]</f>
        <v>-0.38682827102803741</v>
      </c>
    </row>
    <row r="193" spans="1:12" ht="14" x14ac:dyDescent="0.15">
      <c r="A193" s="1">
        <v>10192</v>
      </c>
      <c r="B193" s="2">
        <v>44753</v>
      </c>
      <c r="C193" s="1" t="s">
        <v>9</v>
      </c>
      <c r="D193" s="1" t="s">
        <v>13</v>
      </c>
      <c r="E193" s="1" t="s">
        <v>20</v>
      </c>
      <c r="F193" s="1" t="s">
        <v>23</v>
      </c>
      <c r="G193" s="4">
        <v>707.19</v>
      </c>
      <c r="H193" s="1">
        <v>3</v>
      </c>
      <c r="I193" s="1" t="str">
        <f>TEXT(SalesTable[[#This Row],[Order_Date]],"mmm")</f>
        <v>Jul</v>
      </c>
      <c r="J193" s="1">
        <f>YEAR(SalesTable[[#This Row],[Order_Date]])</f>
        <v>2022</v>
      </c>
      <c r="K193" s="4">
        <v>52.06</v>
      </c>
      <c r="L193" s="9">
        <f>SalesTable[[#This Row],[Profit]]/SalesTable[[#This Row],[Sales]]</f>
        <v>7.3615294333913089E-2</v>
      </c>
    </row>
    <row r="194" spans="1:12" ht="14" x14ac:dyDescent="0.15">
      <c r="A194" s="1">
        <v>10193</v>
      </c>
      <c r="B194" s="2">
        <v>44754</v>
      </c>
      <c r="C194" s="1" t="s">
        <v>11</v>
      </c>
      <c r="D194" s="1" t="s">
        <v>15</v>
      </c>
      <c r="E194" s="1" t="s">
        <v>20</v>
      </c>
      <c r="F194" s="1" t="s">
        <v>24</v>
      </c>
      <c r="G194" s="4">
        <v>690.58</v>
      </c>
      <c r="H194" s="1">
        <v>1</v>
      </c>
      <c r="I194" s="1" t="str">
        <f>TEXT(SalesTable[[#This Row],[Order_Date]],"mmm")</f>
        <v>Jul</v>
      </c>
      <c r="J194" s="1">
        <f>YEAR(SalesTable[[#This Row],[Order_Date]])</f>
        <v>2022</v>
      </c>
      <c r="K194" s="4">
        <v>34.9</v>
      </c>
      <c r="L194" s="9">
        <f>SalesTable[[#This Row],[Profit]]/SalesTable[[#This Row],[Sales]]</f>
        <v>5.053722957513973E-2</v>
      </c>
    </row>
    <row r="195" spans="1:12" ht="14" x14ac:dyDescent="0.15">
      <c r="A195" s="1">
        <v>10194</v>
      </c>
      <c r="B195" s="2">
        <v>44755</v>
      </c>
      <c r="C195" s="1" t="s">
        <v>9</v>
      </c>
      <c r="D195" s="1" t="s">
        <v>14</v>
      </c>
      <c r="E195" s="1" t="s">
        <v>20</v>
      </c>
      <c r="F195" s="1" t="s">
        <v>25</v>
      </c>
      <c r="G195" s="4">
        <v>980.96</v>
      </c>
      <c r="H195" s="1">
        <v>8</v>
      </c>
      <c r="I195" s="1" t="str">
        <f>TEXT(SalesTable[[#This Row],[Order_Date]],"mmm")</f>
        <v>Jul</v>
      </c>
      <c r="J195" s="1">
        <f>YEAR(SalesTable[[#This Row],[Order_Date]])</f>
        <v>2022</v>
      </c>
      <c r="K195" s="4">
        <v>187.17</v>
      </c>
      <c r="L195" s="9">
        <f>SalesTable[[#This Row],[Profit]]/SalesTable[[#This Row],[Sales]]</f>
        <v>0.19080288696786818</v>
      </c>
    </row>
    <row r="196" spans="1:12" ht="14" x14ac:dyDescent="0.15">
      <c r="A196" s="1">
        <v>10195</v>
      </c>
      <c r="B196" s="2">
        <v>44756</v>
      </c>
      <c r="C196" s="1" t="s">
        <v>9</v>
      </c>
      <c r="D196" s="1" t="s">
        <v>14</v>
      </c>
      <c r="E196" s="1" t="s">
        <v>16</v>
      </c>
      <c r="F196" s="1" t="s">
        <v>24</v>
      </c>
      <c r="G196" s="4">
        <v>986.32</v>
      </c>
      <c r="H196" s="1">
        <v>6</v>
      </c>
      <c r="I196" s="1" t="str">
        <f>TEXT(SalesTable[[#This Row],[Order_Date]],"mmm")</f>
        <v>Jul</v>
      </c>
      <c r="J196" s="1">
        <f>YEAR(SalesTable[[#This Row],[Order_Date]])</f>
        <v>2022</v>
      </c>
      <c r="K196" s="4">
        <v>197.13</v>
      </c>
      <c r="L196" s="9">
        <f>SalesTable[[#This Row],[Profit]]/SalesTable[[#This Row],[Sales]]</f>
        <v>0.19986414145510584</v>
      </c>
    </row>
    <row r="197" spans="1:12" ht="14" x14ac:dyDescent="0.15">
      <c r="A197" s="1">
        <v>10196</v>
      </c>
      <c r="B197" s="2">
        <v>44757</v>
      </c>
      <c r="C197" s="1" t="s">
        <v>12</v>
      </c>
      <c r="D197" s="1" t="s">
        <v>15</v>
      </c>
      <c r="E197" s="1" t="s">
        <v>20</v>
      </c>
      <c r="F197" s="1" t="s">
        <v>25</v>
      </c>
      <c r="G197" s="4">
        <v>702.34</v>
      </c>
      <c r="H197" s="1">
        <v>2</v>
      </c>
      <c r="I197" s="1" t="str">
        <f>TEXT(SalesTable[[#This Row],[Order_Date]],"mmm")</f>
        <v>Jul</v>
      </c>
      <c r="J197" s="1">
        <f>YEAR(SalesTable[[#This Row],[Order_Date]])</f>
        <v>2022</v>
      </c>
      <c r="K197" s="4">
        <v>-79.66</v>
      </c>
      <c r="L197" s="9">
        <f>SalesTable[[#This Row],[Profit]]/SalesTable[[#This Row],[Sales]]</f>
        <v>-0.11342085030042429</v>
      </c>
    </row>
    <row r="198" spans="1:12" ht="14" x14ac:dyDescent="0.15">
      <c r="A198" s="1">
        <v>10197</v>
      </c>
      <c r="B198" s="2">
        <v>44758</v>
      </c>
      <c r="C198" s="1" t="s">
        <v>12</v>
      </c>
      <c r="D198" s="1" t="s">
        <v>13</v>
      </c>
      <c r="E198" s="1" t="s">
        <v>17</v>
      </c>
      <c r="F198" s="1" t="s">
        <v>25</v>
      </c>
      <c r="G198" s="4">
        <v>281.43</v>
      </c>
      <c r="H198" s="1">
        <v>8</v>
      </c>
      <c r="I198" s="1" t="str">
        <f>TEXT(SalesTable[[#This Row],[Order_Date]],"mmm")</f>
        <v>Jul</v>
      </c>
      <c r="J198" s="1">
        <f>YEAR(SalesTable[[#This Row],[Order_Date]])</f>
        <v>2022</v>
      </c>
      <c r="K198" s="4">
        <v>-11.55</v>
      </c>
      <c r="L198" s="9">
        <f>SalesTable[[#This Row],[Profit]]/SalesTable[[#This Row],[Sales]]</f>
        <v>-4.1040400810148175E-2</v>
      </c>
    </row>
    <row r="199" spans="1:12" ht="14" x14ac:dyDescent="0.15">
      <c r="A199" s="1">
        <v>10198</v>
      </c>
      <c r="B199" s="2">
        <v>44759</v>
      </c>
      <c r="C199" s="1" t="s">
        <v>10</v>
      </c>
      <c r="D199" s="1" t="s">
        <v>15</v>
      </c>
      <c r="E199" s="1" t="s">
        <v>19</v>
      </c>
      <c r="F199" s="1" t="s">
        <v>24</v>
      </c>
      <c r="G199" s="4">
        <v>808.63</v>
      </c>
      <c r="H199" s="1">
        <v>6</v>
      </c>
      <c r="I199" s="1" t="str">
        <f>TEXT(SalesTable[[#This Row],[Order_Date]],"mmm")</f>
        <v>Jul</v>
      </c>
      <c r="J199" s="1">
        <f>YEAR(SalesTable[[#This Row],[Order_Date]])</f>
        <v>2022</v>
      </c>
      <c r="K199" s="4">
        <v>9.6999999999999993</v>
      </c>
      <c r="L199" s="9">
        <f>SalesTable[[#This Row],[Profit]]/SalesTable[[#This Row],[Sales]]</f>
        <v>1.1995597492054462E-2</v>
      </c>
    </row>
    <row r="200" spans="1:12" ht="14" x14ac:dyDescent="0.15">
      <c r="A200" s="1">
        <v>10199</v>
      </c>
      <c r="B200" s="2">
        <v>44760</v>
      </c>
      <c r="C200" s="1" t="s">
        <v>11</v>
      </c>
      <c r="D200" s="1" t="s">
        <v>15</v>
      </c>
      <c r="E200" s="1" t="s">
        <v>17</v>
      </c>
      <c r="F200" s="1" t="s">
        <v>24</v>
      </c>
      <c r="G200" s="4">
        <v>151.68</v>
      </c>
      <c r="H200" s="1">
        <v>7</v>
      </c>
      <c r="I200" s="1" t="str">
        <f>TEXT(SalesTable[[#This Row],[Order_Date]],"mmm")</f>
        <v>Jul</v>
      </c>
      <c r="J200" s="1">
        <f>YEAR(SalesTable[[#This Row],[Order_Date]])</f>
        <v>2022</v>
      </c>
      <c r="K200" s="4">
        <v>119.04</v>
      </c>
      <c r="L200" s="9">
        <f>SalesTable[[#This Row],[Profit]]/SalesTable[[#This Row],[Sales]]</f>
        <v>0.78481012658227844</v>
      </c>
    </row>
    <row r="201" spans="1:12" ht="14" x14ac:dyDescent="0.15">
      <c r="A201" s="1">
        <v>10200</v>
      </c>
      <c r="B201" s="2">
        <v>44761</v>
      </c>
      <c r="C201" s="1" t="s">
        <v>9</v>
      </c>
      <c r="D201" s="1" t="s">
        <v>13</v>
      </c>
      <c r="E201" s="1" t="s">
        <v>17</v>
      </c>
      <c r="F201" s="1" t="s">
        <v>23</v>
      </c>
      <c r="G201" s="4">
        <v>791.66</v>
      </c>
      <c r="H201" s="1">
        <v>1</v>
      </c>
      <c r="I201" s="1" t="str">
        <f>TEXT(SalesTable[[#This Row],[Order_Date]],"mmm")</f>
        <v>Jul</v>
      </c>
      <c r="J201" s="1">
        <f>YEAR(SalesTable[[#This Row],[Order_Date]])</f>
        <v>2022</v>
      </c>
      <c r="K201" s="4">
        <v>-42.19</v>
      </c>
      <c r="L201" s="9">
        <f>SalesTable[[#This Row],[Profit]]/SalesTable[[#This Row],[Sales]]</f>
        <v>-5.3293080362781999E-2</v>
      </c>
    </row>
    <row r="202" spans="1:12" ht="14" x14ac:dyDescent="0.15">
      <c r="A202" s="1">
        <v>10201</v>
      </c>
      <c r="B202" s="2">
        <v>44762</v>
      </c>
      <c r="C202" s="1" t="s">
        <v>9</v>
      </c>
      <c r="D202" s="1" t="s">
        <v>13</v>
      </c>
      <c r="E202" s="1" t="s">
        <v>19</v>
      </c>
      <c r="F202" s="1" t="s">
        <v>24</v>
      </c>
      <c r="G202" s="4">
        <v>914.69</v>
      </c>
      <c r="H202" s="1">
        <v>7</v>
      </c>
      <c r="I202" s="1" t="str">
        <f>TEXT(SalesTable[[#This Row],[Order_Date]],"mmm")</f>
        <v>Jul</v>
      </c>
      <c r="J202" s="1">
        <f>YEAR(SalesTable[[#This Row],[Order_Date]])</f>
        <v>2022</v>
      </c>
      <c r="K202" s="4">
        <v>-46.42</v>
      </c>
      <c r="L202" s="9">
        <f>SalesTable[[#This Row],[Profit]]/SalesTable[[#This Row],[Sales]]</f>
        <v>-5.0749434234549411E-2</v>
      </c>
    </row>
    <row r="203" spans="1:12" ht="14" x14ac:dyDescent="0.15">
      <c r="A203" s="1">
        <v>10202</v>
      </c>
      <c r="B203" s="2">
        <v>44763</v>
      </c>
      <c r="C203" s="1" t="s">
        <v>10</v>
      </c>
      <c r="D203" s="1" t="s">
        <v>14</v>
      </c>
      <c r="E203" s="1" t="s">
        <v>17</v>
      </c>
      <c r="F203" s="1" t="s">
        <v>23</v>
      </c>
      <c r="G203" s="4">
        <v>413.69</v>
      </c>
      <c r="H203" s="1">
        <v>3</v>
      </c>
      <c r="I203" s="1" t="str">
        <f>TEXT(SalesTable[[#This Row],[Order_Date]],"mmm")</f>
        <v>Jul</v>
      </c>
      <c r="J203" s="1">
        <f>YEAR(SalesTable[[#This Row],[Order_Date]])</f>
        <v>2022</v>
      </c>
      <c r="K203" s="4">
        <v>277.52</v>
      </c>
      <c r="L203" s="9">
        <f>SalesTable[[#This Row],[Profit]]/SalesTable[[#This Row],[Sales]]</f>
        <v>0.67084048442070143</v>
      </c>
    </row>
    <row r="204" spans="1:12" ht="14" x14ac:dyDescent="0.15">
      <c r="A204" s="1">
        <v>10203</v>
      </c>
      <c r="B204" s="2">
        <v>44764</v>
      </c>
      <c r="C204" s="1" t="s">
        <v>9</v>
      </c>
      <c r="D204" s="1" t="s">
        <v>13</v>
      </c>
      <c r="E204" s="1" t="s">
        <v>16</v>
      </c>
      <c r="F204" s="1" t="s">
        <v>23</v>
      </c>
      <c r="G204" s="4">
        <v>649.1</v>
      </c>
      <c r="H204" s="1">
        <v>8</v>
      </c>
      <c r="I204" s="1" t="str">
        <f>TEXT(SalesTable[[#This Row],[Order_Date]],"mmm")</f>
        <v>Jul</v>
      </c>
      <c r="J204" s="1">
        <f>YEAR(SalesTable[[#This Row],[Order_Date]])</f>
        <v>2022</v>
      </c>
      <c r="K204" s="4">
        <v>221.68</v>
      </c>
      <c r="L204" s="9">
        <f>SalesTable[[#This Row],[Profit]]/SalesTable[[#This Row],[Sales]]</f>
        <v>0.34151902634416886</v>
      </c>
    </row>
    <row r="205" spans="1:12" ht="14" x14ac:dyDescent="0.15">
      <c r="A205" s="1">
        <v>10204</v>
      </c>
      <c r="B205" s="2">
        <v>44765</v>
      </c>
      <c r="C205" s="1" t="s">
        <v>11</v>
      </c>
      <c r="D205" s="1" t="s">
        <v>14</v>
      </c>
      <c r="E205" s="1" t="s">
        <v>19</v>
      </c>
      <c r="F205" s="1" t="s">
        <v>23</v>
      </c>
      <c r="G205" s="4">
        <v>458.64</v>
      </c>
      <c r="H205" s="1">
        <v>6</v>
      </c>
      <c r="I205" s="1" t="str">
        <f>TEXT(SalesTable[[#This Row],[Order_Date]],"mmm")</f>
        <v>Jul</v>
      </c>
      <c r="J205" s="1">
        <f>YEAR(SalesTable[[#This Row],[Order_Date]])</f>
        <v>2022</v>
      </c>
      <c r="K205" s="4">
        <v>-27.74</v>
      </c>
      <c r="L205" s="9">
        <f>SalesTable[[#This Row],[Profit]]/SalesTable[[#This Row],[Sales]]</f>
        <v>-6.0483167626024764E-2</v>
      </c>
    </row>
    <row r="206" spans="1:12" ht="14" x14ac:dyDescent="0.15">
      <c r="A206" s="1">
        <v>10205</v>
      </c>
      <c r="B206" s="2">
        <v>44766</v>
      </c>
      <c r="C206" s="1" t="s">
        <v>10</v>
      </c>
      <c r="D206" s="1" t="s">
        <v>13</v>
      </c>
      <c r="E206" s="1" t="s">
        <v>17</v>
      </c>
      <c r="F206" s="1" t="s">
        <v>25</v>
      </c>
      <c r="G206" s="4">
        <v>465.88</v>
      </c>
      <c r="H206" s="1">
        <v>4</v>
      </c>
      <c r="I206" s="1" t="str">
        <f>TEXT(SalesTable[[#This Row],[Order_Date]],"mmm")</f>
        <v>Jul</v>
      </c>
      <c r="J206" s="1">
        <f>YEAR(SalesTable[[#This Row],[Order_Date]])</f>
        <v>2022</v>
      </c>
      <c r="K206" s="4">
        <v>62.63</v>
      </c>
      <c r="L206" s="9">
        <f>SalesTable[[#This Row],[Profit]]/SalesTable[[#This Row],[Sales]]</f>
        <v>0.13443375976646346</v>
      </c>
    </row>
    <row r="207" spans="1:12" ht="14" x14ac:dyDescent="0.15">
      <c r="A207" s="1">
        <v>10206</v>
      </c>
      <c r="B207" s="2">
        <v>44767</v>
      </c>
      <c r="C207" s="1" t="s">
        <v>11</v>
      </c>
      <c r="D207" s="1" t="s">
        <v>15</v>
      </c>
      <c r="E207" s="1" t="s">
        <v>18</v>
      </c>
      <c r="F207" s="1" t="s">
        <v>25</v>
      </c>
      <c r="G207" s="4">
        <v>344.85</v>
      </c>
      <c r="H207" s="1">
        <v>8</v>
      </c>
      <c r="I207" s="1" t="str">
        <f>TEXT(SalesTable[[#This Row],[Order_Date]],"mmm")</f>
        <v>Jul</v>
      </c>
      <c r="J207" s="1">
        <f>YEAR(SalesTable[[#This Row],[Order_Date]])</f>
        <v>2022</v>
      </c>
      <c r="K207" s="4">
        <v>42.25</v>
      </c>
      <c r="L207" s="9">
        <f>SalesTable[[#This Row],[Profit]]/SalesTable[[#This Row],[Sales]]</f>
        <v>0.12251703639263448</v>
      </c>
    </row>
    <row r="208" spans="1:12" ht="14" x14ac:dyDescent="0.15">
      <c r="A208" s="1">
        <v>10207</v>
      </c>
      <c r="B208" s="2">
        <v>44768</v>
      </c>
      <c r="C208" s="1" t="s">
        <v>10</v>
      </c>
      <c r="D208" s="1" t="s">
        <v>14</v>
      </c>
      <c r="E208" s="1" t="s">
        <v>17</v>
      </c>
      <c r="F208" s="1" t="s">
        <v>24</v>
      </c>
      <c r="G208" s="4">
        <v>774.02</v>
      </c>
      <c r="H208" s="1">
        <v>9</v>
      </c>
      <c r="I208" s="1" t="str">
        <f>TEXT(SalesTable[[#This Row],[Order_Date]],"mmm")</f>
        <v>Jul</v>
      </c>
      <c r="J208" s="1">
        <f>YEAR(SalesTable[[#This Row],[Order_Date]])</f>
        <v>2022</v>
      </c>
      <c r="K208" s="4">
        <v>216.4</v>
      </c>
      <c r="L208" s="9">
        <f>SalesTable[[#This Row],[Profit]]/SalesTable[[#This Row],[Sales]]</f>
        <v>0.27957933903516707</v>
      </c>
    </row>
    <row r="209" spans="1:12" ht="14" x14ac:dyDescent="0.15">
      <c r="A209" s="1">
        <v>10208</v>
      </c>
      <c r="B209" s="2">
        <v>44769</v>
      </c>
      <c r="C209" s="1" t="s">
        <v>10</v>
      </c>
      <c r="D209" s="1" t="s">
        <v>14</v>
      </c>
      <c r="E209" s="1" t="s">
        <v>16</v>
      </c>
      <c r="F209" s="1" t="s">
        <v>25</v>
      </c>
      <c r="G209" s="4">
        <v>939.37</v>
      </c>
      <c r="H209" s="1">
        <v>2</v>
      </c>
      <c r="I209" s="1" t="str">
        <f>TEXT(SalesTable[[#This Row],[Order_Date]],"mmm")</f>
        <v>Jul</v>
      </c>
      <c r="J209" s="1">
        <f>YEAR(SalesTable[[#This Row],[Order_Date]])</f>
        <v>2022</v>
      </c>
      <c r="K209" s="4">
        <v>104.09</v>
      </c>
      <c r="L209" s="9">
        <f>SalesTable[[#This Row],[Profit]]/SalesTable[[#This Row],[Sales]]</f>
        <v>0.11080830769558321</v>
      </c>
    </row>
    <row r="210" spans="1:12" ht="14" x14ac:dyDescent="0.15">
      <c r="A210" s="1">
        <v>10209</v>
      </c>
      <c r="B210" s="2">
        <v>44770</v>
      </c>
      <c r="C210" s="1" t="s">
        <v>12</v>
      </c>
      <c r="D210" s="1" t="s">
        <v>14</v>
      </c>
      <c r="E210" s="1" t="s">
        <v>20</v>
      </c>
      <c r="F210" s="1" t="s">
        <v>24</v>
      </c>
      <c r="G210" s="4">
        <v>943.71</v>
      </c>
      <c r="H210" s="1">
        <v>6</v>
      </c>
      <c r="I210" s="1" t="str">
        <f>TEXT(SalesTable[[#This Row],[Order_Date]],"mmm")</f>
        <v>Jul</v>
      </c>
      <c r="J210" s="1">
        <f>YEAR(SalesTable[[#This Row],[Order_Date]])</f>
        <v>2022</v>
      </c>
      <c r="K210" s="4">
        <v>-48.86</v>
      </c>
      <c r="L210" s="9">
        <f>SalesTable[[#This Row],[Profit]]/SalesTable[[#This Row],[Sales]]</f>
        <v>-5.1774379841264789E-2</v>
      </c>
    </row>
    <row r="211" spans="1:12" ht="14" x14ac:dyDescent="0.15">
      <c r="A211" s="1">
        <v>10210</v>
      </c>
      <c r="B211" s="2">
        <v>44771</v>
      </c>
      <c r="C211" s="1" t="s">
        <v>11</v>
      </c>
      <c r="D211" s="1" t="s">
        <v>15</v>
      </c>
      <c r="E211" s="1" t="s">
        <v>17</v>
      </c>
      <c r="F211" s="1" t="s">
        <v>25</v>
      </c>
      <c r="G211" s="4">
        <v>216.04</v>
      </c>
      <c r="H211" s="1">
        <v>5</v>
      </c>
      <c r="I211" s="1" t="str">
        <f>TEXT(SalesTable[[#This Row],[Order_Date]],"mmm")</f>
        <v>Jul</v>
      </c>
      <c r="J211" s="1">
        <f>YEAR(SalesTable[[#This Row],[Order_Date]])</f>
        <v>2022</v>
      </c>
      <c r="K211" s="4">
        <v>195.6</v>
      </c>
      <c r="L211" s="9">
        <f>SalesTable[[#This Row],[Profit]]/SalesTable[[#This Row],[Sales]]</f>
        <v>0.90538789113127205</v>
      </c>
    </row>
    <row r="212" spans="1:12" ht="14" x14ac:dyDescent="0.15">
      <c r="A212" s="1">
        <v>10211</v>
      </c>
      <c r="B212" s="2">
        <v>44772</v>
      </c>
      <c r="C212" s="1" t="s">
        <v>9</v>
      </c>
      <c r="D212" s="1" t="s">
        <v>15</v>
      </c>
      <c r="E212" s="1" t="s">
        <v>20</v>
      </c>
      <c r="F212" s="1" t="s">
        <v>22</v>
      </c>
      <c r="G212" s="4">
        <v>881.01</v>
      </c>
      <c r="H212" s="1">
        <v>5</v>
      </c>
      <c r="I212" s="1" t="str">
        <f>TEXT(SalesTable[[#This Row],[Order_Date]],"mmm")</f>
        <v>Jul</v>
      </c>
      <c r="J212" s="1">
        <f>YEAR(SalesTable[[#This Row],[Order_Date]])</f>
        <v>2022</v>
      </c>
      <c r="K212" s="4">
        <v>58.76</v>
      </c>
      <c r="L212" s="9">
        <f>SalesTable[[#This Row],[Profit]]/SalesTable[[#This Row],[Sales]]</f>
        <v>6.6696178249963115E-2</v>
      </c>
    </row>
    <row r="213" spans="1:12" ht="14" x14ac:dyDescent="0.15">
      <c r="A213" s="1">
        <v>10212</v>
      </c>
      <c r="B213" s="2">
        <v>44773</v>
      </c>
      <c r="C213" s="1" t="s">
        <v>9</v>
      </c>
      <c r="D213" s="1" t="s">
        <v>15</v>
      </c>
      <c r="E213" s="1" t="s">
        <v>18</v>
      </c>
      <c r="F213" s="1" t="s">
        <v>22</v>
      </c>
      <c r="G213" s="4">
        <v>750.56</v>
      </c>
      <c r="H213" s="1">
        <v>3</v>
      </c>
      <c r="I213" s="1" t="str">
        <f>TEXT(SalesTable[[#This Row],[Order_Date]],"mmm")</f>
        <v>Jul</v>
      </c>
      <c r="J213" s="1">
        <f>YEAR(SalesTable[[#This Row],[Order_Date]])</f>
        <v>2022</v>
      </c>
      <c r="K213" s="4">
        <v>5.17</v>
      </c>
      <c r="L213" s="9">
        <f>SalesTable[[#This Row],[Profit]]/SalesTable[[#This Row],[Sales]]</f>
        <v>6.8881901513536559E-3</v>
      </c>
    </row>
    <row r="214" spans="1:12" ht="14" x14ac:dyDescent="0.15">
      <c r="A214" s="1">
        <v>10213</v>
      </c>
      <c r="B214" s="2">
        <v>44774</v>
      </c>
      <c r="C214" s="1" t="s">
        <v>11</v>
      </c>
      <c r="D214" s="1" t="s">
        <v>15</v>
      </c>
      <c r="E214" s="1" t="s">
        <v>17</v>
      </c>
      <c r="F214" s="1" t="s">
        <v>24</v>
      </c>
      <c r="G214" s="4">
        <v>290.2</v>
      </c>
      <c r="H214" s="1">
        <v>8</v>
      </c>
      <c r="I214" s="1" t="str">
        <f>TEXT(SalesTable[[#This Row],[Order_Date]],"mmm")</f>
        <v>Aug</v>
      </c>
      <c r="J214" s="1">
        <f>YEAR(SalesTable[[#This Row],[Order_Date]])</f>
        <v>2022</v>
      </c>
      <c r="K214" s="4">
        <v>50.2</v>
      </c>
      <c r="L214" s="9">
        <f>SalesTable[[#This Row],[Profit]]/SalesTable[[#This Row],[Sales]]</f>
        <v>0.17298414886285321</v>
      </c>
    </row>
    <row r="215" spans="1:12" ht="14" x14ac:dyDescent="0.15">
      <c r="A215" s="1">
        <v>10214</v>
      </c>
      <c r="B215" s="2">
        <v>44775</v>
      </c>
      <c r="C215" s="1" t="s">
        <v>9</v>
      </c>
      <c r="D215" s="1" t="s">
        <v>15</v>
      </c>
      <c r="E215" s="1" t="s">
        <v>19</v>
      </c>
      <c r="F215" s="1" t="s">
        <v>25</v>
      </c>
      <c r="G215" s="4">
        <v>113.92</v>
      </c>
      <c r="H215" s="1">
        <v>8</v>
      </c>
      <c r="I215" s="1" t="str">
        <f>TEXT(SalesTable[[#This Row],[Order_Date]],"mmm")</f>
        <v>Aug</v>
      </c>
      <c r="J215" s="1">
        <f>YEAR(SalesTable[[#This Row],[Order_Date]])</f>
        <v>2022</v>
      </c>
      <c r="K215" s="4">
        <v>99.1</v>
      </c>
      <c r="L215" s="9">
        <f>SalesTable[[#This Row],[Profit]]/SalesTable[[#This Row],[Sales]]</f>
        <v>0.8699087078651685</v>
      </c>
    </row>
    <row r="216" spans="1:12" ht="14" x14ac:dyDescent="0.15">
      <c r="A216" s="1">
        <v>10215</v>
      </c>
      <c r="B216" s="2">
        <v>44776</v>
      </c>
      <c r="C216" s="1" t="s">
        <v>9</v>
      </c>
      <c r="D216" s="1" t="s">
        <v>14</v>
      </c>
      <c r="E216" s="1" t="s">
        <v>20</v>
      </c>
      <c r="F216" s="1" t="s">
        <v>25</v>
      </c>
      <c r="G216" s="4">
        <v>304.60000000000002</v>
      </c>
      <c r="H216" s="1">
        <v>5</v>
      </c>
      <c r="I216" s="1" t="str">
        <f>TEXT(SalesTable[[#This Row],[Order_Date]],"mmm")</f>
        <v>Aug</v>
      </c>
      <c r="J216" s="1">
        <f>YEAR(SalesTable[[#This Row],[Order_Date]])</f>
        <v>2022</v>
      </c>
      <c r="K216" s="4">
        <v>37.25</v>
      </c>
      <c r="L216" s="9">
        <f>SalesTable[[#This Row],[Profit]]/SalesTable[[#This Row],[Sales]]</f>
        <v>0.12229152987524622</v>
      </c>
    </row>
    <row r="217" spans="1:12" ht="14" x14ac:dyDescent="0.15">
      <c r="A217" s="1">
        <v>10216</v>
      </c>
      <c r="B217" s="2">
        <v>44777</v>
      </c>
      <c r="C217" s="1" t="s">
        <v>11</v>
      </c>
      <c r="D217" s="1" t="s">
        <v>15</v>
      </c>
      <c r="E217" s="1" t="s">
        <v>18</v>
      </c>
      <c r="F217" s="1" t="s">
        <v>23</v>
      </c>
      <c r="G217" s="4">
        <v>916.6</v>
      </c>
      <c r="H217" s="1">
        <v>8</v>
      </c>
      <c r="I217" s="1" t="str">
        <f>TEXT(SalesTable[[#This Row],[Order_Date]],"mmm")</f>
        <v>Aug</v>
      </c>
      <c r="J217" s="1">
        <f>YEAR(SalesTable[[#This Row],[Order_Date]])</f>
        <v>2022</v>
      </c>
      <c r="K217" s="4">
        <v>-3.24</v>
      </c>
      <c r="L217" s="9">
        <f>SalesTable[[#This Row],[Profit]]/SalesTable[[#This Row],[Sales]]</f>
        <v>-3.5348025310931704E-3</v>
      </c>
    </row>
    <row r="218" spans="1:12" ht="14" x14ac:dyDescent="0.15">
      <c r="A218" s="1">
        <v>10217</v>
      </c>
      <c r="B218" s="2">
        <v>44778</v>
      </c>
      <c r="C218" s="1" t="s">
        <v>10</v>
      </c>
      <c r="D218" s="1" t="s">
        <v>14</v>
      </c>
      <c r="E218" s="1" t="s">
        <v>19</v>
      </c>
      <c r="F218" s="1" t="s">
        <v>21</v>
      </c>
      <c r="G218" s="4">
        <v>651.52</v>
      </c>
      <c r="H218" s="1">
        <v>8</v>
      </c>
      <c r="I218" s="1" t="str">
        <f>TEXT(SalesTable[[#This Row],[Order_Date]],"mmm")</f>
        <v>Aug</v>
      </c>
      <c r="J218" s="1">
        <f>YEAR(SalesTable[[#This Row],[Order_Date]])</f>
        <v>2022</v>
      </c>
      <c r="K218" s="4">
        <v>59.4</v>
      </c>
      <c r="L218" s="9">
        <f>SalesTable[[#This Row],[Profit]]/SalesTable[[#This Row],[Sales]]</f>
        <v>9.1171414538310416E-2</v>
      </c>
    </row>
    <row r="219" spans="1:12" ht="14" x14ac:dyDescent="0.15">
      <c r="A219" s="1">
        <v>10218</v>
      </c>
      <c r="B219" s="2">
        <v>44779</v>
      </c>
      <c r="C219" s="1" t="s">
        <v>11</v>
      </c>
      <c r="D219" s="1" t="s">
        <v>15</v>
      </c>
      <c r="E219" s="1" t="s">
        <v>19</v>
      </c>
      <c r="F219" s="1" t="s">
        <v>24</v>
      </c>
      <c r="G219" s="4">
        <v>735</v>
      </c>
      <c r="H219" s="1">
        <v>3</v>
      </c>
      <c r="I219" s="1" t="str">
        <f>TEXT(SalesTable[[#This Row],[Order_Date]],"mmm")</f>
        <v>Aug</v>
      </c>
      <c r="J219" s="1">
        <f>YEAR(SalesTable[[#This Row],[Order_Date]])</f>
        <v>2022</v>
      </c>
      <c r="K219" s="4">
        <v>-92.33</v>
      </c>
      <c r="L219" s="9">
        <f>SalesTable[[#This Row],[Profit]]/SalesTable[[#This Row],[Sales]]</f>
        <v>-0.12561904761904763</v>
      </c>
    </row>
    <row r="220" spans="1:12" ht="14" x14ac:dyDescent="0.15">
      <c r="A220" s="1">
        <v>10219</v>
      </c>
      <c r="B220" s="2">
        <v>44780</v>
      </c>
      <c r="C220" s="1" t="s">
        <v>10</v>
      </c>
      <c r="D220" s="1" t="s">
        <v>13</v>
      </c>
      <c r="E220" s="1" t="s">
        <v>19</v>
      </c>
      <c r="F220" s="1" t="s">
        <v>21</v>
      </c>
      <c r="G220" s="4">
        <v>294.29000000000002</v>
      </c>
      <c r="H220" s="1">
        <v>2</v>
      </c>
      <c r="I220" s="1" t="str">
        <f>TEXT(SalesTable[[#This Row],[Order_Date]],"mmm")</f>
        <v>Aug</v>
      </c>
      <c r="J220" s="1">
        <f>YEAR(SalesTable[[#This Row],[Order_Date]])</f>
        <v>2022</v>
      </c>
      <c r="K220" s="4">
        <v>209</v>
      </c>
      <c r="L220" s="9">
        <f>SalesTable[[#This Row],[Profit]]/SalesTable[[#This Row],[Sales]]</f>
        <v>0.71018383227428716</v>
      </c>
    </row>
    <row r="221" spans="1:12" ht="14" x14ac:dyDescent="0.15">
      <c r="A221" s="1">
        <v>10220</v>
      </c>
      <c r="B221" s="2">
        <v>44781</v>
      </c>
      <c r="C221" s="1" t="s">
        <v>9</v>
      </c>
      <c r="D221" s="1" t="s">
        <v>14</v>
      </c>
      <c r="E221" s="1" t="s">
        <v>19</v>
      </c>
      <c r="F221" s="1" t="s">
        <v>21</v>
      </c>
      <c r="G221" s="4">
        <v>733.42</v>
      </c>
      <c r="H221" s="1">
        <v>9</v>
      </c>
      <c r="I221" s="1" t="str">
        <f>TEXT(SalesTable[[#This Row],[Order_Date]],"mmm")</f>
        <v>Aug</v>
      </c>
      <c r="J221" s="1">
        <f>YEAR(SalesTable[[#This Row],[Order_Date]])</f>
        <v>2022</v>
      </c>
      <c r="K221" s="4">
        <v>-31.62</v>
      </c>
      <c r="L221" s="9">
        <f>SalesTable[[#This Row],[Profit]]/SalesTable[[#This Row],[Sales]]</f>
        <v>-4.311308663521584E-2</v>
      </c>
    </row>
    <row r="222" spans="1:12" ht="14" x14ac:dyDescent="0.15">
      <c r="A222" s="1">
        <v>10221</v>
      </c>
      <c r="B222" s="2">
        <v>44782</v>
      </c>
      <c r="C222" s="1" t="s">
        <v>9</v>
      </c>
      <c r="D222" s="1" t="s">
        <v>13</v>
      </c>
      <c r="E222" s="1" t="s">
        <v>17</v>
      </c>
      <c r="F222" s="1" t="s">
        <v>24</v>
      </c>
      <c r="G222" s="4">
        <v>76.72</v>
      </c>
      <c r="H222" s="1">
        <v>2</v>
      </c>
      <c r="I222" s="1" t="str">
        <f>TEXT(SalesTable[[#This Row],[Order_Date]],"mmm")</f>
        <v>Aug</v>
      </c>
      <c r="J222" s="1">
        <f>YEAR(SalesTable[[#This Row],[Order_Date]])</f>
        <v>2022</v>
      </c>
      <c r="K222" s="4">
        <v>-82.44</v>
      </c>
      <c r="L222" s="9">
        <f>SalesTable[[#This Row],[Profit]]/SalesTable[[#This Row],[Sales]]</f>
        <v>-1.0745568300312827</v>
      </c>
    </row>
    <row r="223" spans="1:12" ht="14" x14ac:dyDescent="0.15">
      <c r="A223" s="1">
        <v>10222</v>
      </c>
      <c r="B223" s="2">
        <v>44783</v>
      </c>
      <c r="C223" s="1" t="s">
        <v>9</v>
      </c>
      <c r="D223" s="1" t="s">
        <v>14</v>
      </c>
      <c r="E223" s="1" t="s">
        <v>17</v>
      </c>
      <c r="F223" s="1" t="s">
        <v>25</v>
      </c>
      <c r="G223" s="4">
        <v>406.56</v>
      </c>
      <c r="H223" s="1">
        <v>9</v>
      </c>
      <c r="I223" s="1" t="str">
        <f>TEXT(SalesTable[[#This Row],[Order_Date]],"mmm")</f>
        <v>Aug</v>
      </c>
      <c r="J223" s="1">
        <f>YEAR(SalesTable[[#This Row],[Order_Date]])</f>
        <v>2022</v>
      </c>
      <c r="K223" s="4">
        <v>161.47999999999999</v>
      </c>
      <c r="L223" s="9">
        <f>SalesTable[[#This Row],[Profit]]/SalesTable[[#This Row],[Sales]]</f>
        <v>0.39718614718614714</v>
      </c>
    </row>
    <row r="224" spans="1:12" ht="14" x14ac:dyDescent="0.15">
      <c r="A224" s="1">
        <v>10223</v>
      </c>
      <c r="B224" s="2">
        <v>44784</v>
      </c>
      <c r="C224" s="1" t="s">
        <v>12</v>
      </c>
      <c r="D224" s="1" t="s">
        <v>13</v>
      </c>
      <c r="E224" s="1" t="s">
        <v>17</v>
      </c>
      <c r="F224" s="1" t="s">
        <v>24</v>
      </c>
      <c r="G224" s="4">
        <v>645.41999999999996</v>
      </c>
      <c r="H224" s="1">
        <v>4</v>
      </c>
      <c r="I224" s="1" t="str">
        <f>TEXT(SalesTable[[#This Row],[Order_Date]],"mmm")</f>
        <v>Aug</v>
      </c>
      <c r="J224" s="1">
        <f>YEAR(SalesTable[[#This Row],[Order_Date]])</f>
        <v>2022</v>
      </c>
      <c r="K224" s="4">
        <v>209.57</v>
      </c>
      <c r="L224" s="9">
        <f>SalesTable[[#This Row],[Profit]]/SalesTable[[#This Row],[Sales]]</f>
        <v>0.3247032939791144</v>
      </c>
    </row>
    <row r="225" spans="1:12" ht="14" x14ac:dyDescent="0.15">
      <c r="A225" s="1">
        <v>10224</v>
      </c>
      <c r="B225" s="2">
        <v>44785</v>
      </c>
      <c r="C225" s="1" t="s">
        <v>10</v>
      </c>
      <c r="D225" s="1" t="s">
        <v>15</v>
      </c>
      <c r="E225" s="1" t="s">
        <v>18</v>
      </c>
      <c r="F225" s="1" t="s">
        <v>21</v>
      </c>
      <c r="G225" s="4">
        <v>188.79</v>
      </c>
      <c r="H225" s="1">
        <v>2</v>
      </c>
      <c r="I225" s="1" t="str">
        <f>TEXT(SalesTable[[#This Row],[Order_Date]],"mmm")</f>
        <v>Aug</v>
      </c>
      <c r="J225" s="1">
        <f>YEAR(SalesTable[[#This Row],[Order_Date]])</f>
        <v>2022</v>
      </c>
      <c r="K225" s="4">
        <v>225.53</v>
      </c>
      <c r="L225" s="9">
        <f>SalesTable[[#This Row],[Profit]]/SalesTable[[#This Row],[Sales]]</f>
        <v>1.194607765241803</v>
      </c>
    </row>
    <row r="226" spans="1:12" ht="14" x14ac:dyDescent="0.15">
      <c r="A226" s="1">
        <v>10225</v>
      </c>
      <c r="B226" s="2">
        <v>44786</v>
      </c>
      <c r="C226" s="1" t="s">
        <v>12</v>
      </c>
      <c r="D226" s="1" t="s">
        <v>15</v>
      </c>
      <c r="E226" s="1" t="s">
        <v>18</v>
      </c>
      <c r="F226" s="1" t="s">
        <v>25</v>
      </c>
      <c r="G226" s="4">
        <v>831.85</v>
      </c>
      <c r="H226" s="1">
        <v>1</v>
      </c>
      <c r="I226" s="1" t="str">
        <f>TEXT(SalesTable[[#This Row],[Order_Date]],"mmm")</f>
        <v>Aug</v>
      </c>
      <c r="J226" s="1">
        <f>YEAR(SalesTable[[#This Row],[Order_Date]])</f>
        <v>2022</v>
      </c>
      <c r="K226" s="4">
        <v>97.4</v>
      </c>
      <c r="L226" s="9">
        <f>SalesTable[[#This Row],[Profit]]/SalesTable[[#This Row],[Sales]]</f>
        <v>0.11708841738294164</v>
      </c>
    </row>
    <row r="227" spans="1:12" ht="14" x14ac:dyDescent="0.15">
      <c r="A227" s="1">
        <v>10226</v>
      </c>
      <c r="B227" s="2">
        <v>44787</v>
      </c>
      <c r="C227" s="1" t="s">
        <v>12</v>
      </c>
      <c r="D227" s="1" t="s">
        <v>15</v>
      </c>
      <c r="E227" s="1" t="s">
        <v>18</v>
      </c>
      <c r="F227" s="1" t="s">
        <v>22</v>
      </c>
      <c r="G227" s="4">
        <v>273.27999999999997</v>
      </c>
      <c r="H227" s="1">
        <v>4</v>
      </c>
      <c r="I227" s="1" t="str">
        <f>TEXT(SalesTable[[#This Row],[Order_Date]],"mmm")</f>
        <v>Aug</v>
      </c>
      <c r="J227" s="1">
        <f>YEAR(SalesTable[[#This Row],[Order_Date]])</f>
        <v>2022</v>
      </c>
      <c r="K227" s="4">
        <v>-17.850000000000001</v>
      </c>
      <c r="L227" s="9">
        <f>SalesTable[[#This Row],[Profit]]/SalesTable[[#This Row],[Sales]]</f>
        <v>-6.5317622950819679E-2</v>
      </c>
    </row>
    <row r="228" spans="1:12" ht="14" x14ac:dyDescent="0.15">
      <c r="A228" s="1">
        <v>10227</v>
      </c>
      <c r="B228" s="2">
        <v>44788</v>
      </c>
      <c r="C228" s="1" t="s">
        <v>11</v>
      </c>
      <c r="D228" s="1" t="s">
        <v>14</v>
      </c>
      <c r="E228" s="1" t="s">
        <v>16</v>
      </c>
      <c r="F228" s="1" t="s">
        <v>24</v>
      </c>
      <c r="G228" s="4">
        <v>669.67</v>
      </c>
      <c r="H228" s="1">
        <v>9</v>
      </c>
      <c r="I228" s="1" t="str">
        <f>TEXT(SalesTable[[#This Row],[Order_Date]],"mmm")</f>
        <v>Aug</v>
      </c>
      <c r="J228" s="1">
        <f>YEAR(SalesTable[[#This Row],[Order_Date]])</f>
        <v>2022</v>
      </c>
      <c r="K228" s="4">
        <v>194.89</v>
      </c>
      <c r="L228" s="9">
        <f>SalesTable[[#This Row],[Profit]]/SalesTable[[#This Row],[Sales]]</f>
        <v>0.29102393716308034</v>
      </c>
    </row>
    <row r="229" spans="1:12" ht="14" x14ac:dyDescent="0.15">
      <c r="A229" s="1">
        <v>10228</v>
      </c>
      <c r="B229" s="2">
        <v>44789</v>
      </c>
      <c r="C229" s="1" t="s">
        <v>12</v>
      </c>
      <c r="D229" s="1" t="s">
        <v>13</v>
      </c>
      <c r="E229" s="1" t="s">
        <v>18</v>
      </c>
      <c r="F229" s="1" t="s">
        <v>24</v>
      </c>
      <c r="G229" s="4">
        <v>434.94</v>
      </c>
      <c r="H229" s="1">
        <v>9</v>
      </c>
      <c r="I229" s="1" t="str">
        <f>TEXT(SalesTable[[#This Row],[Order_Date]],"mmm")</f>
        <v>Aug</v>
      </c>
      <c r="J229" s="1">
        <f>YEAR(SalesTable[[#This Row],[Order_Date]])</f>
        <v>2022</v>
      </c>
      <c r="K229" s="4">
        <v>179.89</v>
      </c>
      <c r="L229" s="9">
        <f>SalesTable[[#This Row],[Profit]]/SalesTable[[#This Row],[Sales]]</f>
        <v>0.41359727778544164</v>
      </c>
    </row>
    <row r="230" spans="1:12" ht="14" x14ac:dyDescent="0.15">
      <c r="A230" s="1">
        <v>10229</v>
      </c>
      <c r="B230" s="2">
        <v>44790</v>
      </c>
      <c r="C230" s="1" t="s">
        <v>11</v>
      </c>
      <c r="D230" s="1" t="s">
        <v>15</v>
      </c>
      <c r="E230" s="1" t="s">
        <v>17</v>
      </c>
      <c r="F230" s="1" t="s">
        <v>25</v>
      </c>
      <c r="G230" s="4">
        <v>616.24</v>
      </c>
      <c r="H230" s="1">
        <v>4</v>
      </c>
      <c r="I230" s="1" t="str">
        <f>TEXT(SalesTable[[#This Row],[Order_Date]],"mmm")</f>
        <v>Aug</v>
      </c>
      <c r="J230" s="1">
        <f>YEAR(SalesTable[[#This Row],[Order_Date]])</f>
        <v>2022</v>
      </c>
      <c r="K230" s="4">
        <v>-1.49</v>
      </c>
      <c r="L230" s="9">
        <f>SalesTable[[#This Row],[Profit]]/SalesTable[[#This Row],[Sales]]</f>
        <v>-2.4178891341035957E-3</v>
      </c>
    </row>
    <row r="231" spans="1:12" ht="14" x14ac:dyDescent="0.15">
      <c r="A231" s="1">
        <v>10230</v>
      </c>
      <c r="B231" s="2">
        <v>44791</v>
      </c>
      <c r="C231" s="1" t="s">
        <v>11</v>
      </c>
      <c r="D231" s="1" t="s">
        <v>13</v>
      </c>
      <c r="E231" s="1" t="s">
        <v>17</v>
      </c>
      <c r="F231" s="1" t="s">
        <v>22</v>
      </c>
      <c r="G231" s="4">
        <v>152.08000000000001</v>
      </c>
      <c r="H231" s="1">
        <v>9</v>
      </c>
      <c r="I231" s="1" t="str">
        <f>TEXT(SalesTable[[#This Row],[Order_Date]],"mmm")</f>
        <v>Aug</v>
      </c>
      <c r="J231" s="1">
        <f>YEAR(SalesTable[[#This Row],[Order_Date]])</f>
        <v>2022</v>
      </c>
      <c r="K231" s="4">
        <v>261.36</v>
      </c>
      <c r="L231" s="9">
        <f>SalesTable[[#This Row],[Profit]]/SalesTable[[#This Row],[Sales]]</f>
        <v>1.7185691741188847</v>
      </c>
    </row>
    <row r="232" spans="1:12" ht="14" x14ac:dyDescent="0.15">
      <c r="A232" s="1">
        <v>10231</v>
      </c>
      <c r="B232" s="2">
        <v>44792</v>
      </c>
      <c r="C232" s="1" t="s">
        <v>12</v>
      </c>
      <c r="D232" s="1" t="s">
        <v>13</v>
      </c>
      <c r="E232" s="1" t="s">
        <v>16</v>
      </c>
      <c r="F232" s="1" t="s">
        <v>22</v>
      </c>
      <c r="G232" s="4">
        <v>66.069999999999993</v>
      </c>
      <c r="H232" s="1">
        <v>6</v>
      </c>
      <c r="I232" s="1" t="str">
        <f>TEXT(SalesTable[[#This Row],[Order_Date]],"mmm")</f>
        <v>Aug</v>
      </c>
      <c r="J232" s="1">
        <f>YEAR(SalesTable[[#This Row],[Order_Date]])</f>
        <v>2022</v>
      </c>
      <c r="K232" s="4">
        <v>-58.25</v>
      </c>
      <c r="L232" s="9">
        <f>SalesTable[[#This Row],[Profit]]/SalesTable[[#This Row],[Sales]]</f>
        <v>-0.88164068412290009</v>
      </c>
    </row>
    <row r="233" spans="1:12" ht="14" x14ac:dyDescent="0.15">
      <c r="A233" s="1">
        <v>10232</v>
      </c>
      <c r="B233" s="2">
        <v>44793</v>
      </c>
      <c r="C233" s="1" t="s">
        <v>10</v>
      </c>
      <c r="D233" s="1" t="s">
        <v>15</v>
      </c>
      <c r="E233" s="1" t="s">
        <v>16</v>
      </c>
      <c r="F233" s="1" t="s">
        <v>25</v>
      </c>
      <c r="G233" s="4">
        <v>914.09</v>
      </c>
      <c r="H233" s="1">
        <v>1</v>
      </c>
      <c r="I233" s="1" t="str">
        <f>TEXT(SalesTable[[#This Row],[Order_Date]],"mmm")</f>
        <v>Aug</v>
      </c>
      <c r="J233" s="1">
        <f>YEAR(SalesTable[[#This Row],[Order_Date]])</f>
        <v>2022</v>
      </c>
      <c r="K233" s="4">
        <v>293.08</v>
      </c>
      <c r="L233" s="9">
        <f>SalesTable[[#This Row],[Profit]]/SalesTable[[#This Row],[Sales]]</f>
        <v>0.32062488376418075</v>
      </c>
    </row>
    <row r="234" spans="1:12" ht="14" x14ac:dyDescent="0.15">
      <c r="A234" s="1">
        <v>10233</v>
      </c>
      <c r="B234" s="2">
        <v>44794</v>
      </c>
      <c r="C234" s="1" t="s">
        <v>10</v>
      </c>
      <c r="D234" s="1" t="s">
        <v>15</v>
      </c>
      <c r="E234" s="1" t="s">
        <v>18</v>
      </c>
      <c r="F234" s="1" t="s">
        <v>23</v>
      </c>
      <c r="G234" s="4">
        <v>306.14999999999998</v>
      </c>
      <c r="H234" s="1">
        <v>6</v>
      </c>
      <c r="I234" s="1" t="str">
        <f>TEXT(SalesTable[[#This Row],[Order_Date]],"mmm")</f>
        <v>Aug</v>
      </c>
      <c r="J234" s="1">
        <f>YEAR(SalesTable[[#This Row],[Order_Date]])</f>
        <v>2022</v>
      </c>
      <c r="K234" s="4">
        <v>244.1</v>
      </c>
      <c r="L234" s="9">
        <f>SalesTable[[#This Row],[Profit]]/SalesTable[[#This Row],[Sales]]</f>
        <v>0.79732157439163809</v>
      </c>
    </row>
    <row r="235" spans="1:12" ht="14" x14ac:dyDescent="0.15">
      <c r="A235" s="1">
        <v>10234</v>
      </c>
      <c r="B235" s="2">
        <v>44795</v>
      </c>
      <c r="C235" s="1" t="s">
        <v>10</v>
      </c>
      <c r="D235" s="1" t="s">
        <v>13</v>
      </c>
      <c r="E235" s="1" t="s">
        <v>20</v>
      </c>
      <c r="F235" s="1" t="s">
        <v>24</v>
      </c>
      <c r="G235" s="4">
        <v>828.69</v>
      </c>
      <c r="H235" s="1">
        <v>9</v>
      </c>
      <c r="I235" s="1" t="str">
        <f>TEXT(SalesTable[[#This Row],[Order_Date]],"mmm")</f>
        <v>Aug</v>
      </c>
      <c r="J235" s="1">
        <f>YEAR(SalesTable[[#This Row],[Order_Date]])</f>
        <v>2022</v>
      </c>
      <c r="K235" s="4">
        <v>175.16</v>
      </c>
      <c r="L235" s="9">
        <f>SalesTable[[#This Row],[Profit]]/SalesTable[[#This Row],[Sales]]</f>
        <v>0.21136975225959043</v>
      </c>
    </row>
    <row r="236" spans="1:12" ht="14" x14ac:dyDescent="0.15">
      <c r="A236" s="1">
        <v>10235</v>
      </c>
      <c r="B236" s="2">
        <v>44796</v>
      </c>
      <c r="C236" s="1" t="s">
        <v>10</v>
      </c>
      <c r="D236" s="1" t="s">
        <v>15</v>
      </c>
      <c r="E236" s="1" t="s">
        <v>16</v>
      </c>
      <c r="F236" s="1" t="s">
        <v>24</v>
      </c>
      <c r="G236" s="4">
        <v>999.38</v>
      </c>
      <c r="H236" s="1">
        <v>2</v>
      </c>
      <c r="I236" s="1" t="str">
        <f>TEXT(SalesTable[[#This Row],[Order_Date]],"mmm")</f>
        <v>Aug</v>
      </c>
      <c r="J236" s="1">
        <f>YEAR(SalesTable[[#This Row],[Order_Date]])</f>
        <v>2022</v>
      </c>
      <c r="K236" s="4">
        <v>275.5</v>
      </c>
      <c r="L236" s="9">
        <f>SalesTable[[#This Row],[Profit]]/SalesTable[[#This Row],[Sales]]</f>
        <v>0.27567091596790011</v>
      </c>
    </row>
    <row r="237" spans="1:12" ht="14" x14ac:dyDescent="0.15">
      <c r="A237" s="1">
        <v>10236</v>
      </c>
      <c r="B237" s="2">
        <v>44797</v>
      </c>
      <c r="C237" s="1" t="s">
        <v>10</v>
      </c>
      <c r="D237" s="1" t="s">
        <v>15</v>
      </c>
      <c r="E237" s="1" t="s">
        <v>19</v>
      </c>
      <c r="F237" s="1" t="s">
        <v>21</v>
      </c>
      <c r="G237" s="4">
        <v>250.86</v>
      </c>
      <c r="H237" s="1">
        <v>6</v>
      </c>
      <c r="I237" s="1" t="str">
        <f>TEXT(SalesTable[[#This Row],[Order_Date]],"mmm")</f>
        <v>Aug</v>
      </c>
      <c r="J237" s="1">
        <f>YEAR(SalesTable[[#This Row],[Order_Date]])</f>
        <v>2022</v>
      </c>
      <c r="K237" s="4">
        <v>188.92</v>
      </c>
      <c r="L237" s="9">
        <f>SalesTable[[#This Row],[Profit]]/SalesTable[[#This Row],[Sales]]</f>
        <v>0.75308937255839903</v>
      </c>
    </row>
    <row r="238" spans="1:12" ht="14" x14ac:dyDescent="0.15">
      <c r="A238" s="1">
        <v>10237</v>
      </c>
      <c r="B238" s="2">
        <v>44798</v>
      </c>
      <c r="C238" s="1" t="s">
        <v>12</v>
      </c>
      <c r="D238" s="1" t="s">
        <v>15</v>
      </c>
      <c r="E238" s="1" t="s">
        <v>17</v>
      </c>
      <c r="F238" s="1" t="s">
        <v>25</v>
      </c>
      <c r="G238" s="4">
        <v>301.91000000000003</v>
      </c>
      <c r="H238" s="1">
        <v>2</v>
      </c>
      <c r="I238" s="1" t="str">
        <f>TEXT(SalesTable[[#This Row],[Order_Date]],"mmm")</f>
        <v>Aug</v>
      </c>
      <c r="J238" s="1">
        <f>YEAR(SalesTable[[#This Row],[Order_Date]])</f>
        <v>2022</v>
      </c>
      <c r="K238" s="4">
        <v>-23.82</v>
      </c>
      <c r="L238" s="9">
        <f>SalesTable[[#This Row],[Profit]]/SalesTable[[#This Row],[Sales]]</f>
        <v>-7.8897684740485571E-2</v>
      </c>
    </row>
    <row r="239" spans="1:12" ht="14" x14ac:dyDescent="0.15">
      <c r="A239" s="1">
        <v>10238</v>
      </c>
      <c r="B239" s="2">
        <v>44799</v>
      </c>
      <c r="C239" s="1" t="s">
        <v>12</v>
      </c>
      <c r="D239" s="1" t="s">
        <v>14</v>
      </c>
      <c r="E239" s="1" t="s">
        <v>19</v>
      </c>
      <c r="F239" s="1" t="s">
        <v>21</v>
      </c>
      <c r="G239" s="4">
        <v>679.72</v>
      </c>
      <c r="H239" s="1">
        <v>4</v>
      </c>
      <c r="I239" s="1" t="str">
        <f>TEXT(SalesTable[[#This Row],[Order_Date]],"mmm")</f>
        <v>Aug</v>
      </c>
      <c r="J239" s="1">
        <f>YEAR(SalesTable[[#This Row],[Order_Date]])</f>
        <v>2022</v>
      </c>
      <c r="K239" s="4">
        <v>76.86</v>
      </c>
      <c r="L239" s="9">
        <f>SalesTable[[#This Row],[Profit]]/SalesTable[[#This Row],[Sales]]</f>
        <v>0.11307597245924791</v>
      </c>
    </row>
    <row r="240" spans="1:12" ht="14" x14ac:dyDescent="0.15">
      <c r="A240" s="1">
        <v>10239</v>
      </c>
      <c r="B240" s="2">
        <v>44800</v>
      </c>
      <c r="C240" s="1" t="s">
        <v>9</v>
      </c>
      <c r="D240" s="1" t="s">
        <v>13</v>
      </c>
      <c r="E240" s="1" t="s">
        <v>17</v>
      </c>
      <c r="F240" s="1" t="s">
        <v>21</v>
      </c>
      <c r="G240" s="4">
        <v>967.18</v>
      </c>
      <c r="H240" s="1">
        <v>8</v>
      </c>
      <c r="I240" s="1" t="str">
        <f>TEXT(SalesTable[[#This Row],[Order_Date]],"mmm")</f>
        <v>Aug</v>
      </c>
      <c r="J240" s="1">
        <f>YEAR(SalesTable[[#This Row],[Order_Date]])</f>
        <v>2022</v>
      </c>
      <c r="K240" s="4">
        <v>-71.400000000000006</v>
      </c>
      <c r="L240" s="9">
        <f>SalesTable[[#This Row],[Profit]]/SalesTable[[#This Row],[Sales]]</f>
        <v>-7.3822866477801452E-2</v>
      </c>
    </row>
    <row r="241" spans="1:12" ht="14" x14ac:dyDescent="0.15">
      <c r="A241" s="1">
        <v>10240</v>
      </c>
      <c r="B241" s="2">
        <v>44801</v>
      </c>
      <c r="C241" s="1" t="s">
        <v>10</v>
      </c>
      <c r="D241" s="1" t="s">
        <v>13</v>
      </c>
      <c r="E241" s="1" t="s">
        <v>17</v>
      </c>
      <c r="F241" s="1" t="s">
        <v>22</v>
      </c>
      <c r="G241" s="4">
        <v>920.02</v>
      </c>
      <c r="H241" s="1">
        <v>7</v>
      </c>
      <c r="I241" s="1" t="str">
        <f>TEXT(SalesTable[[#This Row],[Order_Date]],"mmm")</f>
        <v>Aug</v>
      </c>
      <c r="J241" s="1">
        <f>YEAR(SalesTable[[#This Row],[Order_Date]])</f>
        <v>2022</v>
      </c>
      <c r="K241" s="4">
        <v>55.86</v>
      </c>
      <c r="L241" s="9">
        <f>SalesTable[[#This Row],[Profit]]/SalesTable[[#This Row],[Sales]]</f>
        <v>6.07160713897524E-2</v>
      </c>
    </row>
    <row r="242" spans="1:12" ht="14" x14ac:dyDescent="0.15">
      <c r="A242" s="1">
        <v>10241</v>
      </c>
      <c r="B242" s="2">
        <v>44802</v>
      </c>
      <c r="C242" s="1" t="s">
        <v>12</v>
      </c>
      <c r="D242" s="1" t="s">
        <v>14</v>
      </c>
      <c r="E242" s="1" t="s">
        <v>16</v>
      </c>
      <c r="F242" s="1" t="s">
        <v>24</v>
      </c>
      <c r="G242" s="4">
        <v>527.73</v>
      </c>
      <c r="H242" s="1">
        <v>9</v>
      </c>
      <c r="I242" s="1" t="str">
        <f>TEXT(SalesTable[[#This Row],[Order_Date]],"mmm")</f>
        <v>Aug</v>
      </c>
      <c r="J242" s="1">
        <f>YEAR(SalesTable[[#This Row],[Order_Date]])</f>
        <v>2022</v>
      </c>
      <c r="K242" s="4">
        <v>196.64</v>
      </c>
      <c r="L242" s="9">
        <f>SalesTable[[#This Row],[Profit]]/SalesTable[[#This Row],[Sales]]</f>
        <v>0.37261478407518994</v>
      </c>
    </row>
    <row r="243" spans="1:12" ht="14" x14ac:dyDescent="0.15">
      <c r="A243" s="1">
        <v>10242</v>
      </c>
      <c r="B243" s="2">
        <v>44803</v>
      </c>
      <c r="C243" s="1" t="s">
        <v>9</v>
      </c>
      <c r="D243" s="1" t="s">
        <v>13</v>
      </c>
      <c r="E243" s="1" t="s">
        <v>16</v>
      </c>
      <c r="F243" s="1" t="s">
        <v>21</v>
      </c>
      <c r="G243" s="4">
        <v>805.35</v>
      </c>
      <c r="H243" s="1">
        <v>7</v>
      </c>
      <c r="I243" s="1" t="str">
        <f>TEXT(SalesTable[[#This Row],[Order_Date]],"mmm")</f>
        <v>Aug</v>
      </c>
      <c r="J243" s="1">
        <f>YEAR(SalesTable[[#This Row],[Order_Date]])</f>
        <v>2022</v>
      </c>
      <c r="K243" s="4">
        <v>54.58</v>
      </c>
      <c r="L243" s="9">
        <f>SalesTable[[#This Row],[Profit]]/SalesTable[[#This Row],[Sales]]</f>
        <v>6.7771776246352514E-2</v>
      </c>
    </row>
    <row r="244" spans="1:12" ht="14" x14ac:dyDescent="0.15">
      <c r="A244" s="1">
        <v>10243</v>
      </c>
      <c r="B244" s="2">
        <v>44804</v>
      </c>
      <c r="C244" s="1" t="s">
        <v>10</v>
      </c>
      <c r="D244" s="1" t="s">
        <v>15</v>
      </c>
      <c r="E244" s="1" t="s">
        <v>19</v>
      </c>
      <c r="F244" s="1" t="s">
        <v>22</v>
      </c>
      <c r="G244" s="4">
        <v>178.96</v>
      </c>
      <c r="H244" s="1">
        <v>1</v>
      </c>
      <c r="I244" s="1" t="str">
        <f>TEXT(SalesTable[[#This Row],[Order_Date]],"mmm")</f>
        <v>Aug</v>
      </c>
      <c r="J244" s="1">
        <f>YEAR(SalesTable[[#This Row],[Order_Date]])</f>
        <v>2022</v>
      </c>
      <c r="K244" s="4">
        <v>32.119999999999997</v>
      </c>
      <c r="L244" s="9">
        <f>SalesTable[[#This Row],[Profit]]/SalesTable[[#This Row],[Sales]]</f>
        <v>0.17948144836835045</v>
      </c>
    </row>
    <row r="245" spans="1:12" ht="14" x14ac:dyDescent="0.15">
      <c r="A245" s="1">
        <v>10244</v>
      </c>
      <c r="B245" s="2">
        <v>44805</v>
      </c>
      <c r="C245" s="1" t="s">
        <v>11</v>
      </c>
      <c r="D245" s="1" t="s">
        <v>13</v>
      </c>
      <c r="E245" s="1" t="s">
        <v>17</v>
      </c>
      <c r="F245" s="1" t="s">
        <v>25</v>
      </c>
      <c r="G245" s="4">
        <v>978.57</v>
      </c>
      <c r="H245" s="1">
        <v>2</v>
      </c>
      <c r="I245" s="1" t="str">
        <f>TEXT(SalesTable[[#This Row],[Order_Date]],"mmm")</f>
        <v>Sep</v>
      </c>
      <c r="J245" s="1">
        <f>YEAR(SalesTable[[#This Row],[Order_Date]])</f>
        <v>2022</v>
      </c>
      <c r="K245" s="4">
        <v>138.13999999999999</v>
      </c>
      <c r="L245" s="9">
        <f>SalesTable[[#This Row],[Profit]]/SalesTable[[#This Row],[Sales]]</f>
        <v>0.14116516958418915</v>
      </c>
    </row>
    <row r="246" spans="1:12" ht="14" x14ac:dyDescent="0.15">
      <c r="A246" s="1">
        <v>10245</v>
      </c>
      <c r="B246" s="2">
        <v>44806</v>
      </c>
      <c r="C246" s="1" t="s">
        <v>9</v>
      </c>
      <c r="D246" s="1" t="s">
        <v>15</v>
      </c>
      <c r="E246" s="1" t="s">
        <v>19</v>
      </c>
      <c r="F246" s="1" t="s">
        <v>21</v>
      </c>
      <c r="G246" s="4">
        <v>966.14</v>
      </c>
      <c r="H246" s="1">
        <v>6</v>
      </c>
      <c r="I246" s="1" t="str">
        <f>TEXT(SalesTable[[#This Row],[Order_Date]],"mmm")</f>
        <v>Sep</v>
      </c>
      <c r="J246" s="1">
        <f>YEAR(SalesTable[[#This Row],[Order_Date]])</f>
        <v>2022</v>
      </c>
      <c r="K246" s="4">
        <v>248.88</v>
      </c>
      <c r="L246" s="9">
        <f>SalesTable[[#This Row],[Profit]]/SalesTable[[#This Row],[Sales]]</f>
        <v>0.25760241786904592</v>
      </c>
    </row>
    <row r="247" spans="1:12" ht="14" x14ac:dyDescent="0.15">
      <c r="A247" s="1">
        <v>10246</v>
      </c>
      <c r="B247" s="2">
        <v>44807</v>
      </c>
      <c r="C247" s="1" t="s">
        <v>12</v>
      </c>
      <c r="D247" s="1" t="s">
        <v>14</v>
      </c>
      <c r="E247" s="1" t="s">
        <v>20</v>
      </c>
      <c r="F247" s="1" t="s">
        <v>24</v>
      </c>
      <c r="G247" s="4">
        <v>205.54</v>
      </c>
      <c r="H247" s="1">
        <v>7</v>
      </c>
      <c r="I247" s="1" t="str">
        <f>TEXT(SalesTable[[#This Row],[Order_Date]],"mmm")</f>
        <v>Sep</v>
      </c>
      <c r="J247" s="1">
        <f>YEAR(SalesTable[[#This Row],[Order_Date]])</f>
        <v>2022</v>
      </c>
      <c r="K247" s="4">
        <v>-80.97</v>
      </c>
      <c r="L247" s="9">
        <f>SalesTable[[#This Row],[Profit]]/SalesTable[[#This Row],[Sales]]</f>
        <v>-0.39393791962635011</v>
      </c>
    </row>
    <row r="248" spans="1:12" ht="14" x14ac:dyDescent="0.15">
      <c r="A248" s="1">
        <v>10247</v>
      </c>
      <c r="B248" s="2">
        <v>44808</v>
      </c>
      <c r="C248" s="1" t="s">
        <v>11</v>
      </c>
      <c r="D248" s="1" t="s">
        <v>15</v>
      </c>
      <c r="E248" s="1" t="s">
        <v>19</v>
      </c>
      <c r="F248" s="1" t="s">
        <v>21</v>
      </c>
      <c r="G248" s="4">
        <v>334.45</v>
      </c>
      <c r="H248" s="1">
        <v>3</v>
      </c>
      <c r="I248" s="1" t="str">
        <f>TEXT(SalesTable[[#This Row],[Order_Date]],"mmm")</f>
        <v>Sep</v>
      </c>
      <c r="J248" s="1">
        <f>YEAR(SalesTable[[#This Row],[Order_Date]])</f>
        <v>2022</v>
      </c>
      <c r="K248" s="4">
        <v>54.19</v>
      </c>
      <c r="L248" s="9">
        <f>SalesTable[[#This Row],[Profit]]/SalesTable[[#This Row],[Sales]]</f>
        <v>0.16202720885035132</v>
      </c>
    </row>
    <row r="249" spans="1:12" ht="14" x14ac:dyDescent="0.15">
      <c r="A249" s="1">
        <v>10248</v>
      </c>
      <c r="B249" s="2">
        <v>44809</v>
      </c>
      <c r="C249" s="1" t="s">
        <v>11</v>
      </c>
      <c r="D249" s="1" t="s">
        <v>13</v>
      </c>
      <c r="E249" s="1" t="s">
        <v>18</v>
      </c>
      <c r="F249" s="1" t="s">
        <v>25</v>
      </c>
      <c r="G249" s="4">
        <v>145.15</v>
      </c>
      <c r="H249" s="1">
        <v>9</v>
      </c>
      <c r="I249" s="1" t="str">
        <f>TEXT(SalesTable[[#This Row],[Order_Date]],"mmm")</f>
        <v>Sep</v>
      </c>
      <c r="J249" s="1">
        <f>YEAR(SalesTable[[#This Row],[Order_Date]])</f>
        <v>2022</v>
      </c>
      <c r="K249" s="4">
        <v>-36.700000000000003</v>
      </c>
      <c r="L249" s="9">
        <f>SalesTable[[#This Row],[Profit]]/SalesTable[[#This Row],[Sales]]</f>
        <v>-0.25284188770237687</v>
      </c>
    </row>
    <row r="250" spans="1:12" ht="14" x14ac:dyDescent="0.15">
      <c r="A250" s="1">
        <v>10249</v>
      </c>
      <c r="B250" s="2">
        <v>44810</v>
      </c>
      <c r="C250" s="1" t="s">
        <v>11</v>
      </c>
      <c r="D250" s="1" t="s">
        <v>13</v>
      </c>
      <c r="E250" s="1" t="s">
        <v>19</v>
      </c>
      <c r="F250" s="1" t="s">
        <v>21</v>
      </c>
      <c r="G250" s="4">
        <v>308.13</v>
      </c>
      <c r="H250" s="1">
        <v>7</v>
      </c>
      <c r="I250" s="1" t="str">
        <f>TEXT(SalesTable[[#This Row],[Order_Date]],"mmm")</f>
        <v>Sep</v>
      </c>
      <c r="J250" s="1">
        <f>YEAR(SalesTable[[#This Row],[Order_Date]])</f>
        <v>2022</v>
      </c>
      <c r="K250" s="4">
        <v>178.14</v>
      </c>
      <c r="L250" s="9">
        <f>SalesTable[[#This Row],[Profit]]/SalesTable[[#This Row],[Sales]]</f>
        <v>0.57813260636744224</v>
      </c>
    </row>
    <row r="251" spans="1:12" ht="14" x14ac:dyDescent="0.15">
      <c r="A251" s="1">
        <v>10250</v>
      </c>
      <c r="B251" s="2">
        <v>44811</v>
      </c>
      <c r="C251" s="1" t="s">
        <v>9</v>
      </c>
      <c r="D251" s="1" t="s">
        <v>13</v>
      </c>
      <c r="E251" s="1" t="s">
        <v>18</v>
      </c>
      <c r="F251" s="1" t="s">
        <v>24</v>
      </c>
      <c r="G251" s="4">
        <v>825.16</v>
      </c>
      <c r="H251" s="1">
        <v>6</v>
      </c>
      <c r="I251" s="1" t="str">
        <f>TEXT(SalesTable[[#This Row],[Order_Date]],"mmm")</f>
        <v>Sep</v>
      </c>
      <c r="J251" s="1">
        <f>YEAR(SalesTable[[#This Row],[Order_Date]])</f>
        <v>2022</v>
      </c>
      <c r="K251" s="4">
        <v>-57.71</v>
      </c>
      <c r="L251" s="9">
        <f>SalesTable[[#This Row],[Profit]]/SalesTable[[#This Row],[Sales]]</f>
        <v>-6.9937951427601924E-2</v>
      </c>
    </row>
    <row r="252" spans="1:12" ht="14" x14ac:dyDescent="0.15">
      <c r="A252" s="1">
        <v>10251</v>
      </c>
      <c r="B252" s="2">
        <v>44812</v>
      </c>
      <c r="C252" s="1" t="s">
        <v>12</v>
      </c>
      <c r="D252" s="1" t="s">
        <v>14</v>
      </c>
      <c r="E252" s="1" t="s">
        <v>18</v>
      </c>
      <c r="F252" s="1" t="s">
        <v>22</v>
      </c>
      <c r="G252" s="4">
        <v>409.4</v>
      </c>
      <c r="H252" s="1">
        <v>6</v>
      </c>
      <c r="I252" s="1" t="str">
        <f>TEXT(SalesTable[[#This Row],[Order_Date]],"mmm")</f>
        <v>Sep</v>
      </c>
      <c r="J252" s="1">
        <f>YEAR(SalesTable[[#This Row],[Order_Date]])</f>
        <v>2022</v>
      </c>
      <c r="K252" s="4">
        <v>165.92</v>
      </c>
      <c r="L252" s="9">
        <f>SalesTable[[#This Row],[Profit]]/SalesTable[[#This Row],[Sales]]</f>
        <v>0.40527601367855398</v>
      </c>
    </row>
    <row r="253" spans="1:12" ht="14" x14ac:dyDescent="0.15">
      <c r="A253" s="1">
        <v>10252</v>
      </c>
      <c r="B253" s="2">
        <v>44813</v>
      </c>
      <c r="C253" s="1" t="s">
        <v>11</v>
      </c>
      <c r="D253" s="1" t="s">
        <v>14</v>
      </c>
      <c r="E253" s="1" t="s">
        <v>18</v>
      </c>
      <c r="F253" s="1" t="s">
        <v>24</v>
      </c>
      <c r="G253" s="4">
        <v>133.97999999999999</v>
      </c>
      <c r="H253" s="1">
        <v>1</v>
      </c>
      <c r="I253" s="1" t="str">
        <f>TEXT(SalesTable[[#This Row],[Order_Date]],"mmm")</f>
        <v>Sep</v>
      </c>
      <c r="J253" s="1">
        <f>YEAR(SalesTable[[#This Row],[Order_Date]])</f>
        <v>2022</v>
      </c>
      <c r="K253" s="4">
        <v>14.47</v>
      </c>
      <c r="L253" s="9">
        <f>SalesTable[[#This Row],[Profit]]/SalesTable[[#This Row],[Sales]]</f>
        <v>0.10800119420809078</v>
      </c>
    </row>
    <row r="254" spans="1:12" ht="14" x14ac:dyDescent="0.15">
      <c r="A254" s="1">
        <v>10253</v>
      </c>
      <c r="B254" s="2">
        <v>44814</v>
      </c>
      <c r="C254" s="1" t="s">
        <v>10</v>
      </c>
      <c r="D254" s="1" t="s">
        <v>13</v>
      </c>
      <c r="E254" s="1" t="s">
        <v>20</v>
      </c>
      <c r="F254" s="1" t="s">
        <v>22</v>
      </c>
      <c r="G254" s="4">
        <v>375.11</v>
      </c>
      <c r="H254" s="1">
        <v>5</v>
      </c>
      <c r="I254" s="1" t="str">
        <f>TEXT(SalesTable[[#This Row],[Order_Date]],"mmm")</f>
        <v>Sep</v>
      </c>
      <c r="J254" s="1">
        <f>YEAR(SalesTable[[#This Row],[Order_Date]])</f>
        <v>2022</v>
      </c>
      <c r="K254" s="4">
        <v>-20.43</v>
      </c>
      <c r="L254" s="9">
        <f>SalesTable[[#This Row],[Profit]]/SalesTable[[#This Row],[Sales]]</f>
        <v>-5.4464023886326672E-2</v>
      </c>
    </row>
    <row r="255" spans="1:12" ht="14" x14ac:dyDescent="0.15">
      <c r="A255" s="1">
        <v>10254</v>
      </c>
      <c r="B255" s="2">
        <v>44815</v>
      </c>
      <c r="C255" s="1" t="s">
        <v>11</v>
      </c>
      <c r="D255" s="1" t="s">
        <v>15</v>
      </c>
      <c r="E255" s="1" t="s">
        <v>19</v>
      </c>
      <c r="F255" s="1" t="s">
        <v>23</v>
      </c>
      <c r="G255" s="4">
        <v>982.31</v>
      </c>
      <c r="H255" s="1">
        <v>3</v>
      </c>
      <c r="I255" s="1" t="str">
        <f>TEXT(SalesTable[[#This Row],[Order_Date]],"mmm")</f>
        <v>Sep</v>
      </c>
      <c r="J255" s="1">
        <f>YEAR(SalesTable[[#This Row],[Order_Date]])</f>
        <v>2022</v>
      </c>
      <c r="K255" s="4">
        <v>274.54000000000002</v>
      </c>
      <c r="L255" s="9">
        <f>SalesTable[[#This Row],[Profit]]/SalesTable[[#This Row],[Sales]]</f>
        <v>0.27948407325589686</v>
      </c>
    </row>
    <row r="256" spans="1:12" ht="14" x14ac:dyDescent="0.15">
      <c r="A256" s="1">
        <v>10255</v>
      </c>
      <c r="B256" s="2">
        <v>44816</v>
      </c>
      <c r="C256" s="1" t="s">
        <v>11</v>
      </c>
      <c r="D256" s="1" t="s">
        <v>14</v>
      </c>
      <c r="E256" s="1" t="s">
        <v>19</v>
      </c>
      <c r="F256" s="1" t="s">
        <v>24</v>
      </c>
      <c r="G256" s="4">
        <v>648.20000000000005</v>
      </c>
      <c r="H256" s="1">
        <v>7</v>
      </c>
      <c r="I256" s="1" t="str">
        <f>TEXT(SalesTable[[#This Row],[Order_Date]],"mmm")</f>
        <v>Sep</v>
      </c>
      <c r="J256" s="1">
        <f>YEAR(SalesTable[[#This Row],[Order_Date]])</f>
        <v>2022</v>
      </c>
      <c r="K256" s="4">
        <v>-92.59</v>
      </c>
      <c r="L256" s="9">
        <f>SalesTable[[#This Row],[Profit]]/SalesTable[[#This Row],[Sales]]</f>
        <v>-0.14284171551990127</v>
      </c>
    </row>
    <row r="257" spans="1:12" ht="14" x14ac:dyDescent="0.15">
      <c r="A257" s="1">
        <v>10256</v>
      </c>
      <c r="B257" s="2">
        <v>44817</v>
      </c>
      <c r="C257" s="1" t="s">
        <v>9</v>
      </c>
      <c r="D257" s="1" t="s">
        <v>13</v>
      </c>
      <c r="E257" s="1" t="s">
        <v>20</v>
      </c>
      <c r="F257" s="1" t="s">
        <v>24</v>
      </c>
      <c r="G257" s="4">
        <v>445.35</v>
      </c>
      <c r="H257" s="1">
        <v>3</v>
      </c>
      <c r="I257" s="1" t="str">
        <f>TEXT(SalesTable[[#This Row],[Order_Date]],"mmm")</f>
        <v>Sep</v>
      </c>
      <c r="J257" s="1">
        <f>YEAR(SalesTable[[#This Row],[Order_Date]])</f>
        <v>2022</v>
      </c>
      <c r="K257" s="4">
        <v>75.11</v>
      </c>
      <c r="L257" s="9">
        <f>SalesTable[[#This Row],[Profit]]/SalesTable[[#This Row],[Sales]]</f>
        <v>0.16865386774447064</v>
      </c>
    </row>
    <row r="258" spans="1:12" ht="14" x14ac:dyDescent="0.15">
      <c r="A258" s="1">
        <v>10257</v>
      </c>
      <c r="B258" s="2">
        <v>44818</v>
      </c>
      <c r="C258" s="1" t="s">
        <v>9</v>
      </c>
      <c r="D258" s="1" t="s">
        <v>13</v>
      </c>
      <c r="E258" s="1" t="s">
        <v>17</v>
      </c>
      <c r="F258" s="1" t="s">
        <v>25</v>
      </c>
      <c r="G258" s="4">
        <v>208.21</v>
      </c>
      <c r="H258" s="1">
        <v>5</v>
      </c>
      <c r="I258" s="1" t="str">
        <f>TEXT(SalesTable[[#This Row],[Order_Date]],"mmm")</f>
        <v>Sep</v>
      </c>
      <c r="J258" s="1">
        <f>YEAR(SalesTable[[#This Row],[Order_Date]])</f>
        <v>2022</v>
      </c>
      <c r="K258" s="4">
        <v>-91.35</v>
      </c>
      <c r="L258" s="9">
        <f>SalesTable[[#This Row],[Profit]]/SalesTable[[#This Row],[Sales]]</f>
        <v>-0.43873973392248206</v>
      </c>
    </row>
    <row r="259" spans="1:12" ht="14" x14ac:dyDescent="0.15">
      <c r="A259" s="1">
        <v>10258</v>
      </c>
      <c r="B259" s="2">
        <v>44819</v>
      </c>
      <c r="C259" s="1" t="s">
        <v>12</v>
      </c>
      <c r="D259" s="1" t="s">
        <v>14</v>
      </c>
      <c r="E259" s="1" t="s">
        <v>16</v>
      </c>
      <c r="F259" s="1" t="s">
        <v>21</v>
      </c>
      <c r="G259" s="4">
        <v>986.87</v>
      </c>
      <c r="H259" s="1">
        <v>7</v>
      </c>
      <c r="I259" s="1" t="str">
        <f>TEXT(SalesTable[[#This Row],[Order_Date]],"mmm")</f>
        <v>Sep</v>
      </c>
      <c r="J259" s="1">
        <f>YEAR(SalesTable[[#This Row],[Order_Date]])</f>
        <v>2022</v>
      </c>
      <c r="K259" s="4">
        <v>93.44</v>
      </c>
      <c r="L259" s="9">
        <f>SalesTable[[#This Row],[Profit]]/SalesTable[[#This Row],[Sales]]</f>
        <v>9.4683190288487845E-2</v>
      </c>
    </row>
    <row r="260" spans="1:12" ht="14" x14ac:dyDescent="0.15">
      <c r="A260" s="1">
        <v>10259</v>
      </c>
      <c r="B260" s="2">
        <v>44820</v>
      </c>
      <c r="C260" s="1" t="s">
        <v>10</v>
      </c>
      <c r="D260" s="1" t="s">
        <v>14</v>
      </c>
      <c r="E260" s="1" t="s">
        <v>19</v>
      </c>
      <c r="F260" s="1" t="s">
        <v>22</v>
      </c>
      <c r="G260" s="4">
        <v>829.81</v>
      </c>
      <c r="H260" s="1">
        <v>3</v>
      </c>
      <c r="I260" s="1" t="str">
        <f>TEXT(SalesTable[[#This Row],[Order_Date]],"mmm")</f>
        <v>Sep</v>
      </c>
      <c r="J260" s="1">
        <f>YEAR(SalesTable[[#This Row],[Order_Date]])</f>
        <v>2022</v>
      </c>
      <c r="K260" s="4">
        <v>100.42</v>
      </c>
      <c r="L260" s="9">
        <f>SalesTable[[#This Row],[Profit]]/SalesTable[[#This Row],[Sales]]</f>
        <v>0.12101565418589799</v>
      </c>
    </row>
    <row r="261" spans="1:12" ht="14" x14ac:dyDescent="0.15">
      <c r="A261" s="1">
        <v>10260</v>
      </c>
      <c r="B261" s="2">
        <v>44821</v>
      </c>
      <c r="C261" s="1" t="s">
        <v>9</v>
      </c>
      <c r="D261" s="1" t="s">
        <v>14</v>
      </c>
      <c r="E261" s="1" t="s">
        <v>16</v>
      </c>
      <c r="F261" s="1" t="s">
        <v>22</v>
      </c>
      <c r="G261" s="4">
        <v>317.39999999999998</v>
      </c>
      <c r="H261" s="1">
        <v>2</v>
      </c>
      <c r="I261" s="1" t="str">
        <f>TEXT(SalesTable[[#This Row],[Order_Date]],"mmm")</f>
        <v>Sep</v>
      </c>
      <c r="J261" s="1">
        <f>YEAR(SalesTable[[#This Row],[Order_Date]])</f>
        <v>2022</v>
      </c>
      <c r="K261" s="4">
        <v>28.66</v>
      </c>
      <c r="L261" s="9">
        <f>SalesTable[[#This Row],[Profit]]/SalesTable[[#This Row],[Sales]]</f>
        <v>9.0296156269691244E-2</v>
      </c>
    </row>
    <row r="262" spans="1:12" ht="14" x14ac:dyDescent="0.15">
      <c r="A262" s="1">
        <v>10261</v>
      </c>
      <c r="B262" s="2">
        <v>44822</v>
      </c>
      <c r="C262" s="1" t="s">
        <v>11</v>
      </c>
      <c r="D262" s="1" t="s">
        <v>15</v>
      </c>
      <c r="E262" s="1" t="s">
        <v>20</v>
      </c>
      <c r="F262" s="1" t="s">
        <v>25</v>
      </c>
      <c r="G262" s="4">
        <v>116.57</v>
      </c>
      <c r="H262" s="1">
        <v>6</v>
      </c>
      <c r="I262" s="1" t="str">
        <f>TEXT(SalesTable[[#This Row],[Order_Date]],"mmm")</f>
        <v>Sep</v>
      </c>
      <c r="J262" s="1">
        <f>YEAR(SalesTable[[#This Row],[Order_Date]])</f>
        <v>2022</v>
      </c>
      <c r="K262" s="4">
        <v>-47.14</v>
      </c>
      <c r="L262" s="9">
        <f>SalesTable[[#This Row],[Profit]]/SalesTable[[#This Row],[Sales]]</f>
        <v>-0.4043922106888565</v>
      </c>
    </row>
    <row r="263" spans="1:12" ht="14" x14ac:dyDescent="0.15">
      <c r="A263" s="1">
        <v>10262</v>
      </c>
      <c r="B263" s="2">
        <v>44823</v>
      </c>
      <c r="C263" s="1" t="s">
        <v>12</v>
      </c>
      <c r="D263" s="1" t="s">
        <v>15</v>
      </c>
      <c r="E263" s="1" t="s">
        <v>17</v>
      </c>
      <c r="F263" s="1" t="s">
        <v>25</v>
      </c>
      <c r="G263" s="4">
        <v>103.79</v>
      </c>
      <c r="H263" s="1">
        <v>8</v>
      </c>
      <c r="I263" s="1" t="str">
        <f>TEXT(SalesTable[[#This Row],[Order_Date]],"mmm")</f>
        <v>Sep</v>
      </c>
      <c r="J263" s="1">
        <f>YEAR(SalesTable[[#This Row],[Order_Date]])</f>
        <v>2022</v>
      </c>
      <c r="K263" s="4">
        <v>50.56</v>
      </c>
      <c r="L263" s="9">
        <f>SalesTable[[#This Row],[Profit]]/SalesTable[[#This Row],[Sales]]</f>
        <v>0.48713748916080546</v>
      </c>
    </row>
    <row r="264" spans="1:12" ht="14" x14ac:dyDescent="0.15">
      <c r="A264" s="1">
        <v>10263</v>
      </c>
      <c r="B264" s="2">
        <v>44824</v>
      </c>
      <c r="C264" s="1" t="s">
        <v>11</v>
      </c>
      <c r="D264" s="1" t="s">
        <v>13</v>
      </c>
      <c r="E264" s="1" t="s">
        <v>17</v>
      </c>
      <c r="F264" s="1" t="s">
        <v>21</v>
      </c>
      <c r="G264" s="4">
        <v>164.36</v>
      </c>
      <c r="H264" s="1">
        <v>4</v>
      </c>
      <c r="I264" s="1" t="str">
        <f>TEXT(SalesTable[[#This Row],[Order_Date]],"mmm")</f>
        <v>Sep</v>
      </c>
      <c r="J264" s="1">
        <f>YEAR(SalesTable[[#This Row],[Order_Date]])</f>
        <v>2022</v>
      </c>
      <c r="K264" s="4">
        <v>168.91</v>
      </c>
      <c r="L264" s="9">
        <f>SalesTable[[#This Row],[Profit]]/SalesTable[[#This Row],[Sales]]</f>
        <v>1.0276831345826234</v>
      </c>
    </row>
    <row r="265" spans="1:12" ht="14" x14ac:dyDescent="0.15">
      <c r="A265" s="1">
        <v>10264</v>
      </c>
      <c r="B265" s="2">
        <v>44825</v>
      </c>
      <c r="C265" s="1" t="s">
        <v>11</v>
      </c>
      <c r="D265" s="1" t="s">
        <v>14</v>
      </c>
      <c r="E265" s="1" t="s">
        <v>17</v>
      </c>
      <c r="F265" s="1" t="s">
        <v>21</v>
      </c>
      <c r="G265" s="4">
        <v>601.73</v>
      </c>
      <c r="H265" s="1">
        <v>9</v>
      </c>
      <c r="I265" s="1" t="str">
        <f>TEXT(SalesTable[[#This Row],[Order_Date]],"mmm")</f>
        <v>Sep</v>
      </c>
      <c r="J265" s="1">
        <f>YEAR(SalesTable[[#This Row],[Order_Date]])</f>
        <v>2022</v>
      </c>
      <c r="K265" s="4">
        <v>212.96</v>
      </c>
      <c r="L265" s="9">
        <f>SalesTable[[#This Row],[Profit]]/SalesTable[[#This Row],[Sales]]</f>
        <v>0.35391288451631131</v>
      </c>
    </row>
    <row r="266" spans="1:12" ht="14" x14ac:dyDescent="0.15">
      <c r="A266" s="1">
        <v>10265</v>
      </c>
      <c r="B266" s="2">
        <v>44826</v>
      </c>
      <c r="C266" s="1" t="s">
        <v>9</v>
      </c>
      <c r="D266" s="1" t="s">
        <v>15</v>
      </c>
      <c r="E266" s="1" t="s">
        <v>20</v>
      </c>
      <c r="F266" s="1" t="s">
        <v>24</v>
      </c>
      <c r="G266" s="4">
        <v>932.33</v>
      </c>
      <c r="H266" s="1">
        <v>8</v>
      </c>
      <c r="I266" s="1" t="str">
        <f>TEXT(SalesTable[[#This Row],[Order_Date]],"mmm")</f>
        <v>Sep</v>
      </c>
      <c r="J266" s="1">
        <f>YEAR(SalesTable[[#This Row],[Order_Date]])</f>
        <v>2022</v>
      </c>
      <c r="K266" s="4">
        <v>112.3</v>
      </c>
      <c r="L266" s="9">
        <f>SalesTable[[#This Row],[Profit]]/SalesTable[[#This Row],[Sales]]</f>
        <v>0.12045091330322953</v>
      </c>
    </row>
    <row r="267" spans="1:12" ht="14" x14ac:dyDescent="0.15">
      <c r="A267" s="1">
        <v>10266</v>
      </c>
      <c r="B267" s="2">
        <v>44827</v>
      </c>
      <c r="C267" s="1" t="s">
        <v>12</v>
      </c>
      <c r="D267" s="1" t="s">
        <v>14</v>
      </c>
      <c r="E267" s="1" t="s">
        <v>18</v>
      </c>
      <c r="F267" s="1" t="s">
        <v>23</v>
      </c>
      <c r="G267" s="4">
        <v>521.91</v>
      </c>
      <c r="H267" s="1">
        <v>7</v>
      </c>
      <c r="I267" s="1" t="str">
        <f>TEXT(SalesTable[[#This Row],[Order_Date]],"mmm")</f>
        <v>Sep</v>
      </c>
      <c r="J267" s="1">
        <f>YEAR(SalesTable[[#This Row],[Order_Date]])</f>
        <v>2022</v>
      </c>
      <c r="K267" s="4">
        <v>135.93</v>
      </c>
      <c r="L267" s="9">
        <f>SalesTable[[#This Row],[Profit]]/SalesTable[[#This Row],[Sales]]</f>
        <v>0.26044720354084039</v>
      </c>
    </row>
    <row r="268" spans="1:12" ht="14" x14ac:dyDescent="0.15">
      <c r="A268" s="1">
        <v>10267</v>
      </c>
      <c r="B268" s="2">
        <v>44828</v>
      </c>
      <c r="C268" s="1" t="s">
        <v>10</v>
      </c>
      <c r="D268" s="1" t="s">
        <v>13</v>
      </c>
      <c r="E268" s="1" t="s">
        <v>18</v>
      </c>
      <c r="F268" s="1" t="s">
        <v>21</v>
      </c>
      <c r="G268" s="4">
        <v>850.8</v>
      </c>
      <c r="H268" s="1">
        <v>7</v>
      </c>
      <c r="I268" s="1" t="str">
        <f>TEXT(SalesTable[[#This Row],[Order_Date]],"mmm")</f>
        <v>Sep</v>
      </c>
      <c r="J268" s="1">
        <f>YEAR(SalesTable[[#This Row],[Order_Date]])</f>
        <v>2022</v>
      </c>
      <c r="K268" s="4">
        <v>-19.75</v>
      </c>
      <c r="L268" s="9">
        <f>SalesTable[[#This Row],[Profit]]/SalesTable[[#This Row],[Sales]]</f>
        <v>-2.3213446168312179E-2</v>
      </c>
    </row>
    <row r="269" spans="1:12" ht="14" x14ac:dyDescent="0.15">
      <c r="A269" s="1">
        <v>10268</v>
      </c>
      <c r="B269" s="2">
        <v>44829</v>
      </c>
      <c r="C269" s="1" t="s">
        <v>10</v>
      </c>
      <c r="D269" s="1" t="s">
        <v>15</v>
      </c>
      <c r="E269" s="1" t="s">
        <v>16</v>
      </c>
      <c r="F269" s="1" t="s">
        <v>25</v>
      </c>
      <c r="G269" s="4">
        <v>473.59</v>
      </c>
      <c r="H269" s="1">
        <v>3</v>
      </c>
      <c r="I269" s="1" t="str">
        <f>TEXT(SalesTable[[#This Row],[Order_Date]],"mmm")</f>
        <v>Sep</v>
      </c>
      <c r="J269" s="1">
        <f>YEAR(SalesTable[[#This Row],[Order_Date]])</f>
        <v>2022</v>
      </c>
      <c r="K269" s="4">
        <v>14.93</v>
      </c>
      <c r="L269" s="9">
        <f>SalesTable[[#This Row],[Profit]]/SalesTable[[#This Row],[Sales]]</f>
        <v>3.1525158892713109E-2</v>
      </c>
    </row>
    <row r="270" spans="1:12" ht="14" x14ac:dyDescent="0.15">
      <c r="A270" s="1">
        <v>10269</v>
      </c>
      <c r="B270" s="2">
        <v>44830</v>
      </c>
      <c r="C270" s="1" t="s">
        <v>9</v>
      </c>
      <c r="D270" s="1" t="s">
        <v>15</v>
      </c>
      <c r="E270" s="1" t="s">
        <v>18</v>
      </c>
      <c r="F270" s="1" t="s">
        <v>21</v>
      </c>
      <c r="G270" s="4">
        <v>723.15</v>
      </c>
      <c r="H270" s="1">
        <v>6</v>
      </c>
      <c r="I270" s="1" t="str">
        <f>TEXT(SalesTable[[#This Row],[Order_Date]],"mmm")</f>
        <v>Sep</v>
      </c>
      <c r="J270" s="1">
        <f>YEAR(SalesTable[[#This Row],[Order_Date]])</f>
        <v>2022</v>
      </c>
      <c r="K270" s="4">
        <v>-35.24</v>
      </c>
      <c r="L270" s="9">
        <f>SalesTable[[#This Row],[Profit]]/SalesTable[[#This Row],[Sales]]</f>
        <v>-4.8731245246491049E-2</v>
      </c>
    </row>
    <row r="271" spans="1:12" ht="14" x14ac:dyDescent="0.15">
      <c r="A271" s="1">
        <v>10270</v>
      </c>
      <c r="B271" s="2">
        <v>44831</v>
      </c>
      <c r="C271" s="1" t="s">
        <v>9</v>
      </c>
      <c r="D271" s="1" t="s">
        <v>15</v>
      </c>
      <c r="E271" s="1" t="s">
        <v>18</v>
      </c>
      <c r="F271" s="1" t="s">
        <v>22</v>
      </c>
      <c r="G271" s="4">
        <v>745.28</v>
      </c>
      <c r="H271" s="1">
        <v>5</v>
      </c>
      <c r="I271" s="1" t="str">
        <f>TEXT(SalesTable[[#This Row],[Order_Date]],"mmm")</f>
        <v>Sep</v>
      </c>
      <c r="J271" s="1">
        <f>YEAR(SalesTable[[#This Row],[Order_Date]])</f>
        <v>2022</v>
      </c>
      <c r="K271" s="4">
        <v>-0.28000000000000003</v>
      </c>
      <c r="L271" s="9">
        <f>SalesTable[[#This Row],[Profit]]/SalesTable[[#This Row],[Sales]]</f>
        <v>-3.7569772434521259E-4</v>
      </c>
    </row>
    <row r="272" spans="1:12" ht="14" x14ac:dyDescent="0.15">
      <c r="A272" s="1">
        <v>10271</v>
      </c>
      <c r="B272" s="2">
        <v>44832</v>
      </c>
      <c r="C272" s="1" t="s">
        <v>12</v>
      </c>
      <c r="D272" s="1" t="s">
        <v>13</v>
      </c>
      <c r="E272" s="1" t="s">
        <v>17</v>
      </c>
      <c r="F272" s="1" t="s">
        <v>23</v>
      </c>
      <c r="G272" s="4">
        <v>215.27</v>
      </c>
      <c r="H272" s="1">
        <v>1</v>
      </c>
      <c r="I272" s="1" t="str">
        <f>TEXT(SalesTable[[#This Row],[Order_Date]],"mmm")</f>
        <v>Sep</v>
      </c>
      <c r="J272" s="1">
        <f>YEAR(SalesTable[[#This Row],[Order_Date]])</f>
        <v>2022</v>
      </c>
      <c r="K272" s="4">
        <v>-10.050000000000001</v>
      </c>
      <c r="L272" s="9">
        <f>SalesTable[[#This Row],[Profit]]/SalesTable[[#This Row],[Sales]]</f>
        <v>-4.6685557671761045E-2</v>
      </c>
    </row>
    <row r="273" spans="1:12" ht="14" x14ac:dyDescent="0.15">
      <c r="A273" s="1">
        <v>10272</v>
      </c>
      <c r="B273" s="2">
        <v>44833</v>
      </c>
      <c r="C273" s="1" t="s">
        <v>10</v>
      </c>
      <c r="D273" s="1" t="s">
        <v>14</v>
      </c>
      <c r="E273" s="1" t="s">
        <v>17</v>
      </c>
      <c r="F273" s="1" t="s">
        <v>24</v>
      </c>
      <c r="G273" s="4">
        <v>393.16</v>
      </c>
      <c r="H273" s="1">
        <v>3</v>
      </c>
      <c r="I273" s="1" t="str">
        <f>TEXT(SalesTable[[#This Row],[Order_Date]],"mmm")</f>
        <v>Sep</v>
      </c>
      <c r="J273" s="1">
        <f>YEAR(SalesTable[[#This Row],[Order_Date]])</f>
        <v>2022</v>
      </c>
      <c r="K273" s="4">
        <v>107.78</v>
      </c>
      <c r="L273" s="9">
        <f>SalesTable[[#This Row],[Profit]]/SalesTable[[#This Row],[Sales]]</f>
        <v>0.27413775562112114</v>
      </c>
    </row>
    <row r="274" spans="1:12" ht="14" x14ac:dyDescent="0.15">
      <c r="A274" s="1">
        <v>10273</v>
      </c>
      <c r="B274" s="2">
        <v>44834</v>
      </c>
      <c r="C274" s="1" t="s">
        <v>10</v>
      </c>
      <c r="D274" s="1" t="s">
        <v>15</v>
      </c>
      <c r="E274" s="1" t="s">
        <v>16</v>
      </c>
      <c r="F274" s="1" t="s">
        <v>22</v>
      </c>
      <c r="G274" s="4">
        <v>655.44</v>
      </c>
      <c r="H274" s="1">
        <v>1</v>
      </c>
      <c r="I274" s="1" t="str">
        <f>TEXT(SalesTable[[#This Row],[Order_Date]],"mmm")</f>
        <v>Sep</v>
      </c>
      <c r="J274" s="1">
        <f>YEAR(SalesTable[[#This Row],[Order_Date]])</f>
        <v>2022</v>
      </c>
      <c r="K274" s="4">
        <v>125.08</v>
      </c>
      <c r="L274" s="9">
        <f>SalesTable[[#This Row],[Profit]]/SalesTable[[#This Row],[Sales]]</f>
        <v>0.19083363847186621</v>
      </c>
    </row>
    <row r="275" spans="1:12" ht="14" x14ac:dyDescent="0.15">
      <c r="A275" s="1">
        <v>10274</v>
      </c>
      <c r="B275" s="2">
        <v>44835</v>
      </c>
      <c r="C275" s="1" t="s">
        <v>10</v>
      </c>
      <c r="D275" s="1" t="s">
        <v>13</v>
      </c>
      <c r="E275" s="1" t="s">
        <v>19</v>
      </c>
      <c r="F275" s="1" t="s">
        <v>22</v>
      </c>
      <c r="G275" s="4">
        <v>117.16</v>
      </c>
      <c r="H275" s="1">
        <v>4</v>
      </c>
      <c r="I275" s="1" t="str">
        <f>TEXT(SalesTable[[#This Row],[Order_Date]],"mmm")</f>
        <v>Oct</v>
      </c>
      <c r="J275" s="1">
        <f>YEAR(SalesTable[[#This Row],[Order_Date]])</f>
        <v>2022</v>
      </c>
      <c r="K275" s="4">
        <v>277.98</v>
      </c>
      <c r="L275" s="9">
        <f>SalesTable[[#This Row],[Profit]]/SalesTable[[#This Row],[Sales]]</f>
        <v>2.3726527825196313</v>
      </c>
    </row>
    <row r="276" spans="1:12" ht="14" x14ac:dyDescent="0.15">
      <c r="A276" s="1">
        <v>10275</v>
      </c>
      <c r="B276" s="2">
        <v>44836</v>
      </c>
      <c r="C276" s="1" t="s">
        <v>11</v>
      </c>
      <c r="D276" s="1" t="s">
        <v>14</v>
      </c>
      <c r="E276" s="1" t="s">
        <v>16</v>
      </c>
      <c r="F276" s="1" t="s">
        <v>23</v>
      </c>
      <c r="G276" s="4">
        <v>393.46</v>
      </c>
      <c r="H276" s="1">
        <v>3</v>
      </c>
      <c r="I276" s="1" t="str">
        <f>TEXT(SalesTable[[#This Row],[Order_Date]],"mmm")</f>
        <v>Oct</v>
      </c>
      <c r="J276" s="1">
        <f>YEAR(SalesTable[[#This Row],[Order_Date]])</f>
        <v>2022</v>
      </c>
      <c r="K276" s="4">
        <v>-21.77</v>
      </c>
      <c r="L276" s="9">
        <f>SalesTable[[#This Row],[Profit]]/SalesTable[[#This Row],[Sales]]</f>
        <v>-5.5329639607583997E-2</v>
      </c>
    </row>
    <row r="277" spans="1:12" ht="14" x14ac:dyDescent="0.15">
      <c r="A277" s="1">
        <v>10276</v>
      </c>
      <c r="B277" s="2">
        <v>44837</v>
      </c>
      <c r="C277" s="1" t="s">
        <v>10</v>
      </c>
      <c r="D277" s="1" t="s">
        <v>13</v>
      </c>
      <c r="E277" s="1" t="s">
        <v>16</v>
      </c>
      <c r="F277" s="1" t="s">
        <v>24</v>
      </c>
      <c r="G277" s="4">
        <v>558.05999999999995</v>
      </c>
      <c r="H277" s="1">
        <v>4</v>
      </c>
      <c r="I277" s="1" t="str">
        <f>TEXT(SalesTable[[#This Row],[Order_Date]],"mmm")</f>
        <v>Oct</v>
      </c>
      <c r="J277" s="1">
        <f>YEAR(SalesTable[[#This Row],[Order_Date]])</f>
        <v>2022</v>
      </c>
      <c r="K277" s="4">
        <v>156.66999999999999</v>
      </c>
      <c r="L277" s="9">
        <f>SalesTable[[#This Row],[Profit]]/SalesTable[[#This Row],[Sales]]</f>
        <v>0.28074042217682688</v>
      </c>
    </row>
    <row r="278" spans="1:12" ht="14" x14ac:dyDescent="0.15">
      <c r="A278" s="1">
        <v>10277</v>
      </c>
      <c r="B278" s="2">
        <v>44838</v>
      </c>
      <c r="C278" s="1" t="s">
        <v>11</v>
      </c>
      <c r="D278" s="1" t="s">
        <v>14</v>
      </c>
      <c r="E278" s="1" t="s">
        <v>20</v>
      </c>
      <c r="F278" s="1" t="s">
        <v>25</v>
      </c>
      <c r="G278" s="4">
        <v>996.41</v>
      </c>
      <c r="H278" s="1">
        <v>9</v>
      </c>
      <c r="I278" s="1" t="str">
        <f>TEXT(SalesTable[[#This Row],[Order_Date]],"mmm")</f>
        <v>Oct</v>
      </c>
      <c r="J278" s="1">
        <f>YEAR(SalesTable[[#This Row],[Order_Date]])</f>
        <v>2022</v>
      </c>
      <c r="K278" s="4">
        <v>226.9</v>
      </c>
      <c r="L278" s="9">
        <f>SalesTable[[#This Row],[Profit]]/SalesTable[[#This Row],[Sales]]</f>
        <v>0.2277175058459871</v>
      </c>
    </row>
    <row r="279" spans="1:12" ht="14" x14ac:dyDescent="0.15">
      <c r="A279" s="1">
        <v>10278</v>
      </c>
      <c r="B279" s="2">
        <v>44839</v>
      </c>
      <c r="C279" s="1" t="s">
        <v>12</v>
      </c>
      <c r="D279" s="1" t="s">
        <v>13</v>
      </c>
      <c r="E279" s="1" t="s">
        <v>20</v>
      </c>
      <c r="F279" s="1" t="s">
        <v>24</v>
      </c>
      <c r="G279" s="4">
        <v>500.81</v>
      </c>
      <c r="H279" s="1">
        <v>3</v>
      </c>
      <c r="I279" s="1" t="str">
        <f>TEXT(SalesTable[[#This Row],[Order_Date]],"mmm")</f>
        <v>Oct</v>
      </c>
      <c r="J279" s="1">
        <f>YEAR(SalesTable[[#This Row],[Order_Date]])</f>
        <v>2022</v>
      </c>
      <c r="K279" s="4">
        <v>124.1</v>
      </c>
      <c r="L279" s="9">
        <f>SalesTable[[#This Row],[Profit]]/SalesTable[[#This Row],[Sales]]</f>
        <v>0.24779856632255745</v>
      </c>
    </row>
    <row r="280" spans="1:12" ht="14" x14ac:dyDescent="0.15">
      <c r="A280" s="1">
        <v>10279</v>
      </c>
      <c r="B280" s="2">
        <v>44840</v>
      </c>
      <c r="C280" s="1" t="s">
        <v>11</v>
      </c>
      <c r="D280" s="1" t="s">
        <v>14</v>
      </c>
      <c r="E280" s="1" t="s">
        <v>16</v>
      </c>
      <c r="F280" s="1" t="s">
        <v>21</v>
      </c>
      <c r="G280" s="4">
        <v>825.25</v>
      </c>
      <c r="H280" s="1">
        <v>6</v>
      </c>
      <c r="I280" s="1" t="str">
        <f>TEXT(SalesTable[[#This Row],[Order_Date]],"mmm")</f>
        <v>Oct</v>
      </c>
      <c r="J280" s="1">
        <f>YEAR(SalesTable[[#This Row],[Order_Date]])</f>
        <v>2022</v>
      </c>
      <c r="K280" s="4">
        <v>2</v>
      </c>
      <c r="L280" s="9">
        <f>SalesTable[[#This Row],[Profit]]/SalesTable[[#This Row],[Sales]]</f>
        <v>2.4235080278703423E-3</v>
      </c>
    </row>
    <row r="281" spans="1:12" ht="14" x14ac:dyDescent="0.15">
      <c r="A281" s="1">
        <v>10280</v>
      </c>
      <c r="B281" s="2">
        <v>44841</v>
      </c>
      <c r="C281" s="1" t="s">
        <v>12</v>
      </c>
      <c r="D281" s="1" t="s">
        <v>15</v>
      </c>
      <c r="E281" s="1" t="s">
        <v>16</v>
      </c>
      <c r="F281" s="1" t="s">
        <v>22</v>
      </c>
      <c r="G281" s="4">
        <v>460.46</v>
      </c>
      <c r="H281" s="1">
        <v>6</v>
      </c>
      <c r="I281" s="1" t="str">
        <f>TEXT(SalesTable[[#This Row],[Order_Date]],"mmm")</f>
        <v>Oct</v>
      </c>
      <c r="J281" s="1">
        <f>YEAR(SalesTable[[#This Row],[Order_Date]])</f>
        <v>2022</v>
      </c>
      <c r="K281" s="4">
        <v>5.0199999999999996</v>
      </c>
      <c r="L281" s="9">
        <f>SalesTable[[#This Row],[Profit]]/SalesTable[[#This Row],[Sales]]</f>
        <v>1.0902141336923946E-2</v>
      </c>
    </row>
    <row r="282" spans="1:12" ht="14" x14ac:dyDescent="0.15">
      <c r="A282" s="1">
        <v>10281</v>
      </c>
      <c r="B282" s="2">
        <v>44842</v>
      </c>
      <c r="C282" s="1" t="s">
        <v>10</v>
      </c>
      <c r="D282" s="1" t="s">
        <v>14</v>
      </c>
      <c r="E282" s="1" t="s">
        <v>16</v>
      </c>
      <c r="F282" s="1" t="s">
        <v>21</v>
      </c>
      <c r="G282" s="4">
        <v>806.57</v>
      </c>
      <c r="H282" s="1">
        <v>7</v>
      </c>
      <c r="I282" s="1" t="str">
        <f>TEXT(SalesTable[[#This Row],[Order_Date]],"mmm")</f>
        <v>Oct</v>
      </c>
      <c r="J282" s="1">
        <f>YEAR(SalesTable[[#This Row],[Order_Date]])</f>
        <v>2022</v>
      </c>
      <c r="K282" s="4">
        <v>-84.3</v>
      </c>
      <c r="L282" s="9">
        <f>SalesTable[[#This Row],[Profit]]/SalesTable[[#This Row],[Sales]]</f>
        <v>-0.10451665695475904</v>
      </c>
    </row>
    <row r="283" spans="1:12" ht="14" x14ac:dyDescent="0.15">
      <c r="A283" s="1">
        <v>10282</v>
      </c>
      <c r="B283" s="2">
        <v>44843</v>
      </c>
      <c r="C283" s="1" t="s">
        <v>10</v>
      </c>
      <c r="D283" s="1" t="s">
        <v>13</v>
      </c>
      <c r="E283" s="1" t="s">
        <v>18</v>
      </c>
      <c r="F283" s="1" t="s">
        <v>25</v>
      </c>
      <c r="G283" s="4">
        <v>615.64</v>
      </c>
      <c r="H283" s="1">
        <v>9</v>
      </c>
      <c r="I283" s="1" t="str">
        <f>TEXT(SalesTable[[#This Row],[Order_Date]],"mmm")</f>
        <v>Oct</v>
      </c>
      <c r="J283" s="1">
        <f>YEAR(SalesTable[[#This Row],[Order_Date]])</f>
        <v>2022</v>
      </c>
      <c r="K283" s="4">
        <v>22.18</v>
      </c>
      <c r="L283" s="9">
        <f>SalesTable[[#This Row],[Profit]]/SalesTable[[#This Row],[Sales]]</f>
        <v>3.6027548567344553E-2</v>
      </c>
    </row>
    <row r="284" spans="1:12" ht="14" x14ac:dyDescent="0.15">
      <c r="A284" s="1">
        <v>10283</v>
      </c>
      <c r="B284" s="2">
        <v>44844</v>
      </c>
      <c r="C284" s="1" t="s">
        <v>12</v>
      </c>
      <c r="D284" s="1" t="s">
        <v>13</v>
      </c>
      <c r="E284" s="1" t="s">
        <v>20</v>
      </c>
      <c r="F284" s="1" t="s">
        <v>21</v>
      </c>
      <c r="G284" s="4">
        <v>892.27</v>
      </c>
      <c r="H284" s="1">
        <v>7</v>
      </c>
      <c r="I284" s="1" t="str">
        <f>TEXT(SalesTable[[#This Row],[Order_Date]],"mmm")</f>
        <v>Oct</v>
      </c>
      <c r="J284" s="1">
        <f>YEAR(SalesTable[[#This Row],[Order_Date]])</f>
        <v>2022</v>
      </c>
      <c r="K284" s="4">
        <v>197.84</v>
      </c>
      <c r="L284" s="9">
        <f>SalesTable[[#This Row],[Profit]]/SalesTable[[#This Row],[Sales]]</f>
        <v>0.22172660741703745</v>
      </c>
    </row>
    <row r="285" spans="1:12" ht="14" x14ac:dyDescent="0.15">
      <c r="A285" s="1">
        <v>10284</v>
      </c>
      <c r="B285" s="2">
        <v>44845</v>
      </c>
      <c r="C285" s="1" t="s">
        <v>9</v>
      </c>
      <c r="D285" s="1" t="s">
        <v>14</v>
      </c>
      <c r="E285" s="1" t="s">
        <v>16</v>
      </c>
      <c r="F285" s="1" t="s">
        <v>24</v>
      </c>
      <c r="G285" s="4">
        <v>440.4</v>
      </c>
      <c r="H285" s="1">
        <v>1</v>
      </c>
      <c r="I285" s="1" t="str">
        <f>TEXT(SalesTable[[#This Row],[Order_Date]],"mmm")</f>
        <v>Oct</v>
      </c>
      <c r="J285" s="1">
        <f>YEAR(SalesTable[[#This Row],[Order_Date]])</f>
        <v>2022</v>
      </c>
      <c r="K285" s="4">
        <v>-80.989999999999995</v>
      </c>
      <c r="L285" s="9">
        <f>SalesTable[[#This Row],[Profit]]/SalesTable[[#This Row],[Sales]]</f>
        <v>-0.1839009990917348</v>
      </c>
    </row>
    <row r="286" spans="1:12" ht="14" x14ac:dyDescent="0.15">
      <c r="A286" s="1">
        <v>10285</v>
      </c>
      <c r="B286" s="2">
        <v>44846</v>
      </c>
      <c r="C286" s="1" t="s">
        <v>12</v>
      </c>
      <c r="D286" s="1" t="s">
        <v>15</v>
      </c>
      <c r="E286" s="1" t="s">
        <v>17</v>
      </c>
      <c r="F286" s="1" t="s">
        <v>21</v>
      </c>
      <c r="G286" s="4">
        <v>624.09</v>
      </c>
      <c r="H286" s="1">
        <v>8</v>
      </c>
      <c r="I286" s="1" t="str">
        <f>TEXT(SalesTable[[#This Row],[Order_Date]],"mmm")</f>
        <v>Oct</v>
      </c>
      <c r="J286" s="1">
        <f>YEAR(SalesTable[[#This Row],[Order_Date]])</f>
        <v>2022</v>
      </c>
      <c r="K286" s="4">
        <v>-12.28</v>
      </c>
      <c r="L286" s="9">
        <f>SalesTable[[#This Row],[Profit]]/SalesTable[[#This Row],[Sales]]</f>
        <v>-1.9676649201237E-2</v>
      </c>
    </row>
    <row r="287" spans="1:12" ht="14" x14ac:dyDescent="0.15">
      <c r="A287" s="1">
        <v>10286</v>
      </c>
      <c r="B287" s="2">
        <v>44847</v>
      </c>
      <c r="C287" s="1" t="s">
        <v>9</v>
      </c>
      <c r="D287" s="1" t="s">
        <v>15</v>
      </c>
      <c r="E287" s="1" t="s">
        <v>17</v>
      </c>
      <c r="F287" s="1" t="s">
        <v>25</v>
      </c>
      <c r="G287" s="4">
        <v>648.52</v>
      </c>
      <c r="H287" s="1">
        <v>5</v>
      </c>
      <c r="I287" s="1" t="str">
        <f>TEXT(SalesTable[[#This Row],[Order_Date]],"mmm")</f>
        <v>Oct</v>
      </c>
      <c r="J287" s="1">
        <f>YEAR(SalesTable[[#This Row],[Order_Date]])</f>
        <v>2022</v>
      </c>
      <c r="K287" s="4">
        <v>182.49</v>
      </c>
      <c r="L287" s="9">
        <f>SalesTable[[#This Row],[Profit]]/SalesTable[[#This Row],[Sales]]</f>
        <v>0.28139455992105106</v>
      </c>
    </row>
    <row r="288" spans="1:12" ht="14" x14ac:dyDescent="0.15">
      <c r="A288" s="1">
        <v>10287</v>
      </c>
      <c r="B288" s="2">
        <v>44848</v>
      </c>
      <c r="C288" s="1" t="s">
        <v>11</v>
      </c>
      <c r="D288" s="1" t="s">
        <v>14</v>
      </c>
      <c r="E288" s="1" t="s">
        <v>18</v>
      </c>
      <c r="F288" s="1" t="s">
        <v>25</v>
      </c>
      <c r="G288" s="4">
        <v>446.51</v>
      </c>
      <c r="H288" s="1">
        <v>9</v>
      </c>
      <c r="I288" s="1" t="str">
        <f>TEXT(SalesTable[[#This Row],[Order_Date]],"mmm")</f>
        <v>Oct</v>
      </c>
      <c r="J288" s="1">
        <f>YEAR(SalesTable[[#This Row],[Order_Date]])</f>
        <v>2022</v>
      </c>
      <c r="K288" s="4">
        <v>213.06</v>
      </c>
      <c r="L288" s="9">
        <f>SalesTable[[#This Row],[Profit]]/SalesTable[[#This Row],[Sales]]</f>
        <v>0.47716736467268372</v>
      </c>
    </row>
    <row r="289" spans="1:12" ht="14" x14ac:dyDescent="0.15">
      <c r="A289" s="1">
        <v>10288</v>
      </c>
      <c r="B289" s="2">
        <v>44849</v>
      </c>
      <c r="C289" s="1" t="s">
        <v>11</v>
      </c>
      <c r="D289" s="1" t="s">
        <v>14</v>
      </c>
      <c r="E289" s="1" t="s">
        <v>18</v>
      </c>
      <c r="F289" s="1" t="s">
        <v>25</v>
      </c>
      <c r="G289" s="4">
        <v>187.1</v>
      </c>
      <c r="H289" s="1">
        <v>5</v>
      </c>
      <c r="I289" s="1" t="str">
        <f>TEXT(SalesTable[[#This Row],[Order_Date]],"mmm")</f>
        <v>Oct</v>
      </c>
      <c r="J289" s="1">
        <f>YEAR(SalesTable[[#This Row],[Order_Date]])</f>
        <v>2022</v>
      </c>
      <c r="K289" s="4">
        <v>82.13</v>
      </c>
      <c r="L289" s="9">
        <f>SalesTable[[#This Row],[Profit]]/SalesTable[[#This Row],[Sales]]</f>
        <v>0.43896312132549437</v>
      </c>
    </row>
    <row r="290" spans="1:12" ht="14" x14ac:dyDescent="0.15">
      <c r="A290" s="1">
        <v>10289</v>
      </c>
      <c r="B290" s="2">
        <v>44850</v>
      </c>
      <c r="C290" s="1" t="s">
        <v>11</v>
      </c>
      <c r="D290" s="1" t="s">
        <v>13</v>
      </c>
      <c r="E290" s="1" t="s">
        <v>19</v>
      </c>
      <c r="F290" s="1" t="s">
        <v>24</v>
      </c>
      <c r="G290" s="4">
        <v>138.88</v>
      </c>
      <c r="H290" s="1">
        <v>5</v>
      </c>
      <c r="I290" s="1" t="str">
        <f>TEXT(SalesTable[[#This Row],[Order_Date]],"mmm")</f>
        <v>Oct</v>
      </c>
      <c r="J290" s="1">
        <f>YEAR(SalesTable[[#This Row],[Order_Date]])</f>
        <v>2022</v>
      </c>
      <c r="K290" s="4">
        <v>179.23</v>
      </c>
      <c r="L290" s="9">
        <f>SalesTable[[#This Row],[Profit]]/SalesTable[[#This Row],[Sales]]</f>
        <v>1.290538594470046</v>
      </c>
    </row>
    <row r="291" spans="1:12" ht="14" x14ac:dyDescent="0.15">
      <c r="A291" s="1">
        <v>10290</v>
      </c>
      <c r="B291" s="2">
        <v>44851</v>
      </c>
      <c r="C291" s="1" t="s">
        <v>10</v>
      </c>
      <c r="D291" s="1" t="s">
        <v>15</v>
      </c>
      <c r="E291" s="1" t="s">
        <v>19</v>
      </c>
      <c r="F291" s="1" t="s">
        <v>25</v>
      </c>
      <c r="G291" s="4">
        <v>65.84</v>
      </c>
      <c r="H291" s="1">
        <v>2</v>
      </c>
      <c r="I291" s="1" t="str">
        <f>TEXT(SalesTable[[#This Row],[Order_Date]],"mmm")</f>
        <v>Oct</v>
      </c>
      <c r="J291" s="1">
        <f>YEAR(SalesTable[[#This Row],[Order_Date]])</f>
        <v>2022</v>
      </c>
      <c r="K291" s="4">
        <v>55.18</v>
      </c>
      <c r="L291" s="9">
        <f>SalesTable[[#This Row],[Profit]]/SalesTable[[#This Row],[Sales]]</f>
        <v>0.83809234507897934</v>
      </c>
    </row>
    <row r="292" spans="1:12" ht="14" x14ac:dyDescent="0.15">
      <c r="A292" s="1">
        <v>10291</v>
      </c>
      <c r="B292" s="2">
        <v>44852</v>
      </c>
      <c r="C292" s="1" t="s">
        <v>11</v>
      </c>
      <c r="D292" s="1" t="s">
        <v>14</v>
      </c>
      <c r="E292" s="1" t="s">
        <v>19</v>
      </c>
      <c r="F292" s="1" t="s">
        <v>22</v>
      </c>
      <c r="G292" s="4">
        <v>879.86</v>
      </c>
      <c r="H292" s="1">
        <v>3</v>
      </c>
      <c r="I292" s="1" t="str">
        <f>TEXT(SalesTable[[#This Row],[Order_Date]],"mmm")</f>
        <v>Oct</v>
      </c>
      <c r="J292" s="1">
        <f>YEAR(SalesTable[[#This Row],[Order_Date]])</f>
        <v>2022</v>
      </c>
      <c r="K292" s="4">
        <v>-36.03</v>
      </c>
      <c r="L292" s="9">
        <f>SalesTable[[#This Row],[Profit]]/SalesTable[[#This Row],[Sales]]</f>
        <v>-4.094969654263178E-2</v>
      </c>
    </row>
    <row r="293" spans="1:12" ht="14" x14ac:dyDescent="0.15">
      <c r="A293" s="1">
        <v>10292</v>
      </c>
      <c r="B293" s="2">
        <v>44853</v>
      </c>
      <c r="C293" s="1" t="s">
        <v>9</v>
      </c>
      <c r="D293" s="1" t="s">
        <v>15</v>
      </c>
      <c r="E293" s="1" t="s">
        <v>18</v>
      </c>
      <c r="F293" s="1" t="s">
        <v>25</v>
      </c>
      <c r="G293" s="4">
        <v>274.64999999999998</v>
      </c>
      <c r="H293" s="1">
        <v>9</v>
      </c>
      <c r="I293" s="1" t="str">
        <f>TEXT(SalesTable[[#This Row],[Order_Date]],"mmm")</f>
        <v>Oct</v>
      </c>
      <c r="J293" s="1">
        <f>YEAR(SalesTable[[#This Row],[Order_Date]])</f>
        <v>2022</v>
      </c>
      <c r="K293" s="4">
        <v>59.26</v>
      </c>
      <c r="L293" s="9">
        <f>SalesTable[[#This Row],[Profit]]/SalesTable[[#This Row],[Sales]]</f>
        <v>0.21576551975241218</v>
      </c>
    </row>
    <row r="294" spans="1:12" ht="14" x14ac:dyDescent="0.15">
      <c r="A294" s="1">
        <v>10293</v>
      </c>
      <c r="B294" s="2">
        <v>44854</v>
      </c>
      <c r="C294" s="1" t="s">
        <v>11</v>
      </c>
      <c r="D294" s="1" t="s">
        <v>14</v>
      </c>
      <c r="E294" s="1" t="s">
        <v>18</v>
      </c>
      <c r="F294" s="1" t="s">
        <v>21</v>
      </c>
      <c r="G294" s="4">
        <v>250.93</v>
      </c>
      <c r="H294" s="1">
        <v>7</v>
      </c>
      <c r="I294" s="1" t="str">
        <f>TEXT(SalesTable[[#This Row],[Order_Date]],"mmm")</f>
        <v>Oct</v>
      </c>
      <c r="J294" s="1">
        <f>YEAR(SalesTable[[#This Row],[Order_Date]])</f>
        <v>2022</v>
      </c>
      <c r="K294" s="4">
        <v>131.99</v>
      </c>
      <c r="L294" s="9">
        <f>SalesTable[[#This Row],[Profit]]/SalesTable[[#This Row],[Sales]]</f>
        <v>0.52600326784362172</v>
      </c>
    </row>
    <row r="295" spans="1:12" ht="14" x14ac:dyDescent="0.15">
      <c r="A295" s="1">
        <v>10294</v>
      </c>
      <c r="B295" s="2">
        <v>44855</v>
      </c>
      <c r="C295" s="1" t="s">
        <v>12</v>
      </c>
      <c r="D295" s="1" t="s">
        <v>14</v>
      </c>
      <c r="E295" s="1" t="s">
        <v>18</v>
      </c>
      <c r="F295" s="1" t="s">
        <v>21</v>
      </c>
      <c r="G295" s="4">
        <v>749.23</v>
      </c>
      <c r="H295" s="1">
        <v>1</v>
      </c>
      <c r="I295" s="1" t="str">
        <f>TEXT(SalesTable[[#This Row],[Order_Date]],"mmm")</f>
        <v>Oct</v>
      </c>
      <c r="J295" s="1">
        <f>YEAR(SalesTable[[#This Row],[Order_Date]])</f>
        <v>2022</v>
      </c>
      <c r="K295" s="4">
        <v>279.22000000000003</v>
      </c>
      <c r="L295" s="9">
        <f>SalesTable[[#This Row],[Profit]]/SalesTable[[#This Row],[Sales]]</f>
        <v>0.37267594730590076</v>
      </c>
    </row>
    <row r="296" spans="1:12" ht="14" x14ac:dyDescent="0.15">
      <c r="A296" s="1">
        <v>10295</v>
      </c>
      <c r="B296" s="2">
        <v>44856</v>
      </c>
      <c r="C296" s="1" t="s">
        <v>12</v>
      </c>
      <c r="D296" s="1" t="s">
        <v>15</v>
      </c>
      <c r="E296" s="1" t="s">
        <v>17</v>
      </c>
      <c r="F296" s="1" t="s">
        <v>21</v>
      </c>
      <c r="G296" s="4">
        <v>354.02</v>
      </c>
      <c r="H296" s="1">
        <v>3</v>
      </c>
      <c r="I296" s="1" t="str">
        <f>TEXT(SalesTable[[#This Row],[Order_Date]],"mmm")</f>
        <v>Oct</v>
      </c>
      <c r="J296" s="1">
        <f>YEAR(SalesTable[[#This Row],[Order_Date]])</f>
        <v>2022</v>
      </c>
      <c r="K296" s="4">
        <v>-72.5</v>
      </c>
      <c r="L296" s="9">
        <f>SalesTable[[#This Row],[Profit]]/SalesTable[[#This Row],[Sales]]</f>
        <v>-0.20479068979153722</v>
      </c>
    </row>
    <row r="297" spans="1:12" ht="14" x14ac:dyDescent="0.15">
      <c r="A297" s="1">
        <v>10296</v>
      </c>
      <c r="B297" s="2">
        <v>44857</v>
      </c>
      <c r="C297" s="1" t="s">
        <v>10</v>
      </c>
      <c r="D297" s="1" t="s">
        <v>14</v>
      </c>
      <c r="E297" s="1" t="s">
        <v>18</v>
      </c>
      <c r="F297" s="1" t="s">
        <v>24</v>
      </c>
      <c r="G297" s="4">
        <v>530.74</v>
      </c>
      <c r="H297" s="1">
        <v>2</v>
      </c>
      <c r="I297" s="1" t="str">
        <f>TEXT(SalesTable[[#This Row],[Order_Date]],"mmm")</f>
        <v>Oct</v>
      </c>
      <c r="J297" s="1">
        <f>YEAR(SalesTable[[#This Row],[Order_Date]])</f>
        <v>2022</v>
      </c>
      <c r="K297" s="4">
        <v>102.96</v>
      </c>
      <c r="L297" s="9">
        <f>SalesTable[[#This Row],[Profit]]/SalesTable[[#This Row],[Sales]]</f>
        <v>0.19399329238421825</v>
      </c>
    </row>
    <row r="298" spans="1:12" ht="14" x14ac:dyDescent="0.15">
      <c r="A298" s="1">
        <v>10297</v>
      </c>
      <c r="B298" s="2">
        <v>44858</v>
      </c>
      <c r="C298" s="1" t="s">
        <v>12</v>
      </c>
      <c r="D298" s="1" t="s">
        <v>14</v>
      </c>
      <c r="E298" s="1" t="s">
        <v>17</v>
      </c>
      <c r="F298" s="1" t="s">
        <v>21</v>
      </c>
      <c r="G298" s="4">
        <v>204.39</v>
      </c>
      <c r="H298" s="1">
        <v>1</v>
      </c>
      <c r="I298" s="1" t="str">
        <f>TEXT(SalesTable[[#This Row],[Order_Date]],"mmm")</f>
        <v>Oct</v>
      </c>
      <c r="J298" s="1">
        <f>YEAR(SalesTable[[#This Row],[Order_Date]])</f>
        <v>2022</v>
      </c>
      <c r="K298" s="4">
        <v>31.57</v>
      </c>
      <c r="L298" s="9">
        <f>SalesTable[[#This Row],[Profit]]/SalesTable[[#This Row],[Sales]]</f>
        <v>0.15445961152698273</v>
      </c>
    </row>
    <row r="299" spans="1:12" ht="14" x14ac:dyDescent="0.15">
      <c r="A299" s="1">
        <v>10298</v>
      </c>
      <c r="B299" s="2">
        <v>44859</v>
      </c>
      <c r="C299" s="1" t="s">
        <v>9</v>
      </c>
      <c r="D299" s="1" t="s">
        <v>13</v>
      </c>
      <c r="E299" s="1" t="s">
        <v>19</v>
      </c>
      <c r="F299" s="1" t="s">
        <v>24</v>
      </c>
      <c r="G299" s="4">
        <v>961.76</v>
      </c>
      <c r="H299" s="1">
        <v>9</v>
      </c>
      <c r="I299" s="1" t="str">
        <f>TEXT(SalesTable[[#This Row],[Order_Date]],"mmm")</f>
        <v>Oct</v>
      </c>
      <c r="J299" s="1">
        <f>YEAR(SalesTable[[#This Row],[Order_Date]])</f>
        <v>2022</v>
      </c>
      <c r="K299" s="4">
        <v>103.32</v>
      </c>
      <c r="L299" s="9">
        <f>SalesTable[[#This Row],[Profit]]/SalesTable[[#This Row],[Sales]]</f>
        <v>0.10742804857760771</v>
      </c>
    </row>
    <row r="300" spans="1:12" ht="14" x14ac:dyDescent="0.15">
      <c r="A300" s="1">
        <v>10299</v>
      </c>
      <c r="B300" s="2">
        <v>44860</v>
      </c>
      <c r="C300" s="1" t="s">
        <v>11</v>
      </c>
      <c r="D300" s="1" t="s">
        <v>14</v>
      </c>
      <c r="E300" s="1" t="s">
        <v>19</v>
      </c>
      <c r="F300" s="1" t="s">
        <v>24</v>
      </c>
      <c r="G300" s="4">
        <v>859</v>
      </c>
      <c r="H300" s="1">
        <v>8</v>
      </c>
      <c r="I300" s="1" t="str">
        <f>TEXT(SalesTable[[#This Row],[Order_Date]],"mmm")</f>
        <v>Oct</v>
      </c>
      <c r="J300" s="1">
        <f>YEAR(SalesTable[[#This Row],[Order_Date]])</f>
        <v>2022</v>
      </c>
      <c r="K300" s="4">
        <v>-90.41</v>
      </c>
      <c r="L300" s="9">
        <f>SalesTable[[#This Row],[Profit]]/SalesTable[[#This Row],[Sales]]</f>
        <v>-0.10525029103608848</v>
      </c>
    </row>
    <row r="301" spans="1:12" ht="14" x14ac:dyDescent="0.15">
      <c r="A301" s="1">
        <v>10300</v>
      </c>
      <c r="B301" s="2">
        <v>44861</v>
      </c>
      <c r="C301" s="1" t="s">
        <v>10</v>
      </c>
      <c r="D301" s="1" t="s">
        <v>14</v>
      </c>
      <c r="E301" s="1" t="s">
        <v>19</v>
      </c>
      <c r="F301" s="1" t="s">
        <v>25</v>
      </c>
      <c r="G301" s="4">
        <v>870.6</v>
      </c>
      <c r="H301" s="1">
        <v>5</v>
      </c>
      <c r="I301" s="1" t="str">
        <f>TEXT(SalesTable[[#This Row],[Order_Date]],"mmm")</f>
        <v>Oct</v>
      </c>
      <c r="J301" s="1">
        <f>YEAR(SalesTable[[#This Row],[Order_Date]])</f>
        <v>2022</v>
      </c>
      <c r="K301" s="4">
        <v>25.21</v>
      </c>
      <c r="L301" s="9">
        <f>SalesTable[[#This Row],[Profit]]/SalesTable[[#This Row],[Sales]]</f>
        <v>2.8957041121065931E-2</v>
      </c>
    </row>
    <row r="302" spans="1:12" ht="14" x14ac:dyDescent="0.15">
      <c r="A302" s="1">
        <v>10301</v>
      </c>
      <c r="B302" s="2">
        <v>44862</v>
      </c>
      <c r="C302" s="1" t="s">
        <v>11</v>
      </c>
      <c r="D302" s="1" t="s">
        <v>14</v>
      </c>
      <c r="E302" s="1" t="s">
        <v>16</v>
      </c>
      <c r="F302" s="1" t="s">
        <v>22</v>
      </c>
      <c r="G302" s="4">
        <v>436.44</v>
      </c>
      <c r="H302" s="1">
        <v>2</v>
      </c>
      <c r="I302" s="1" t="str">
        <f>TEXT(SalesTable[[#This Row],[Order_Date]],"mmm")</f>
        <v>Oct</v>
      </c>
      <c r="J302" s="1">
        <f>YEAR(SalesTable[[#This Row],[Order_Date]])</f>
        <v>2022</v>
      </c>
      <c r="K302" s="4">
        <v>227.95</v>
      </c>
      <c r="L302" s="9">
        <f>SalesTable[[#This Row],[Profit]]/SalesTable[[#This Row],[Sales]]</f>
        <v>0.5222940152140042</v>
      </c>
    </row>
    <row r="303" spans="1:12" ht="14" x14ac:dyDescent="0.15">
      <c r="A303" s="1">
        <v>10302</v>
      </c>
      <c r="B303" s="2">
        <v>44863</v>
      </c>
      <c r="C303" s="1" t="s">
        <v>11</v>
      </c>
      <c r="D303" s="1" t="s">
        <v>13</v>
      </c>
      <c r="E303" s="1" t="s">
        <v>16</v>
      </c>
      <c r="F303" s="1" t="s">
        <v>25</v>
      </c>
      <c r="G303" s="4">
        <v>774.24</v>
      </c>
      <c r="H303" s="1">
        <v>1</v>
      </c>
      <c r="I303" s="1" t="str">
        <f>TEXT(SalesTable[[#This Row],[Order_Date]],"mmm")</f>
        <v>Oct</v>
      </c>
      <c r="J303" s="1">
        <f>YEAR(SalesTable[[#This Row],[Order_Date]])</f>
        <v>2022</v>
      </c>
      <c r="K303" s="4">
        <v>121.58</v>
      </c>
      <c r="L303" s="9">
        <f>SalesTable[[#This Row],[Profit]]/SalesTable[[#This Row],[Sales]]</f>
        <v>0.15703141144864641</v>
      </c>
    </row>
    <row r="304" spans="1:12" ht="14" x14ac:dyDescent="0.15">
      <c r="A304" s="1">
        <v>10303</v>
      </c>
      <c r="B304" s="2">
        <v>44864</v>
      </c>
      <c r="C304" s="1" t="s">
        <v>9</v>
      </c>
      <c r="D304" s="1" t="s">
        <v>15</v>
      </c>
      <c r="E304" s="1" t="s">
        <v>20</v>
      </c>
      <c r="F304" s="1" t="s">
        <v>25</v>
      </c>
      <c r="G304" s="4">
        <v>186.68</v>
      </c>
      <c r="H304" s="1">
        <v>7</v>
      </c>
      <c r="I304" s="1" t="str">
        <f>TEXT(SalesTable[[#This Row],[Order_Date]],"mmm")</f>
        <v>Oct</v>
      </c>
      <c r="J304" s="1">
        <f>YEAR(SalesTable[[#This Row],[Order_Date]])</f>
        <v>2022</v>
      </c>
      <c r="K304" s="4">
        <v>80.23</v>
      </c>
      <c r="L304" s="9">
        <f>SalesTable[[#This Row],[Profit]]/SalesTable[[#This Row],[Sales]]</f>
        <v>0.42977287336618814</v>
      </c>
    </row>
    <row r="305" spans="1:12" ht="14" x14ac:dyDescent="0.15">
      <c r="A305" s="1">
        <v>10304</v>
      </c>
      <c r="B305" s="2">
        <v>44865</v>
      </c>
      <c r="C305" s="1" t="s">
        <v>12</v>
      </c>
      <c r="D305" s="1" t="s">
        <v>13</v>
      </c>
      <c r="E305" s="1" t="s">
        <v>20</v>
      </c>
      <c r="F305" s="1" t="s">
        <v>24</v>
      </c>
      <c r="G305" s="4">
        <v>58.19</v>
      </c>
      <c r="H305" s="1">
        <v>2</v>
      </c>
      <c r="I305" s="1" t="str">
        <f>TEXT(SalesTable[[#This Row],[Order_Date]],"mmm")</f>
        <v>Oct</v>
      </c>
      <c r="J305" s="1">
        <f>YEAR(SalesTable[[#This Row],[Order_Date]])</f>
        <v>2022</v>
      </c>
      <c r="K305" s="4">
        <v>14.21</v>
      </c>
      <c r="L305" s="9">
        <f>SalesTable[[#This Row],[Profit]]/SalesTable[[#This Row],[Sales]]</f>
        <v>0.24420003437016671</v>
      </c>
    </row>
    <row r="306" spans="1:12" ht="14" x14ac:dyDescent="0.15">
      <c r="A306" s="1">
        <v>10305</v>
      </c>
      <c r="B306" s="2">
        <v>44866</v>
      </c>
      <c r="C306" s="1" t="s">
        <v>12</v>
      </c>
      <c r="D306" s="1" t="s">
        <v>13</v>
      </c>
      <c r="E306" s="1" t="s">
        <v>20</v>
      </c>
      <c r="F306" s="1" t="s">
        <v>24</v>
      </c>
      <c r="G306" s="4">
        <v>68.97</v>
      </c>
      <c r="H306" s="1">
        <v>1</v>
      </c>
      <c r="I306" s="1" t="str">
        <f>TEXT(SalesTable[[#This Row],[Order_Date]],"mmm")</f>
        <v>Nov</v>
      </c>
      <c r="J306" s="1">
        <f>YEAR(SalesTable[[#This Row],[Order_Date]])</f>
        <v>2022</v>
      </c>
      <c r="K306" s="4">
        <v>19.22</v>
      </c>
      <c r="L306" s="9">
        <f>SalesTable[[#This Row],[Profit]]/SalesTable[[#This Row],[Sales]]</f>
        <v>0.27867188632738871</v>
      </c>
    </row>
    <row r="307" spans="1:12" ht="14" x14ac:dyDescent="0.15">
      <c r="A307" s="1">
        <v>10306</v>
      </c>
      <c r="B307" s="2">
        <v>44867</v>
      </c>
      <c r="C307" s="1" t="s">
        <v>11</v>
      </c>
      <c r="D307" s="1" t="s">
        <v>15</v>
      </c>
      <c r="E307" s="1" t="s">
        <v>16</v>
      </c>
      <c r="F307" s="1" t="s">
        <v>21</v>
      </c>
      <c r="G307" s="4">
        <v>607.27</v>
      </c>
      <c r="H307" s="1">
        <v>2</v>
      </c>
      <c r="I307" s="1" t="str">
        <f>TEXT(SalesTable[[#This Row],[Order_Date]],"mmm")</f>
        <v>Nov</v>
      </c>
      <c r="J307" s="1">
        <f>YEAR(SalesTable[[#This Row],[Order_Date]])</f>
        <v>2022</v>
      </c>
      <c r="K307" s="4">
        <v>53.24</v>
      </c>
      <c r="L307" s="9">
        <f>SalesTable[[#This Row],[Profit]]/SalesTable[[#This Row],[Sales]]</f>
        <v>8.7671052414906067E-2</v>
      </c>
    </row>
    <row r="308" spans="1:12" ht="14" x14ac:dyDescent="0.15">
      <c r="A308" s="1">
        <v>10307</v>
      </c>
      <c r="B308" s="2">
        <v>44868</v>
      </c>
      <c r="C308" s="1" t="s">
        <v>10</v>
      </c>
      <c r="D308" s="1" t="s">
        <v>13</v>
      </c>
      <c r="E308" s="1" t="s">
        <v>16</v>
      </c>
      <c r="F308" s="1" t="s">
        <v>21</v>
      </c>
      <c r="G308" s="4">
        <v>482.63</v>
      </c>
      <c r="H308" s="1">
        <v>7</v>
      </c>
      <c r="I308" s="1" t="str">
        <f>TEXT(SalesTable[[#This Row],[Order_Date]],"mmm")</f>
        <v>Nov</v>
      </c>
      <c r="J308" s="1">
        <f>YEAR(SalesTable[[#This Row],[Order_Date]])</f>
        <v>2022</v>
      </c>
      <c r="K308" s="4">
        <v>234.23</v>
      </c>
      <c r="L308" s="9">
        <f>SalesTable[[#This Row],[Profit]]/SalesTable[[#This Row],[Sales]]</f>
        <v>0.48532001740463709</v>
      </c>
    </row>
    <row r="309" spans="1:12" ht="14" x14ac:dyDescent="0.15">
      <c r="A309" s="1">
        <v>10308</v>
      </c>
      <c r="B309" s="2">
        <v>44869</v>
      </c>
      <c r="C309" s="1" t="s">
        <v>12</v>
      </c>
      <c r="D309" s="1" t="s">
        <v>15</v>
      </c>
      <c r="E309" s="1" t="s">
        <v>20</v>
      </c>
      <c r="F309" s="1" t="s">
        <v>25</v>
      </c>
      <c r="G309" s="4">
        <v>542.11</v>
      </c>
      <c r="H309" s="1">
        <v>7</v>
      </c>
      <c r="I309" s="1" t="str">
        <f>TEXT(SalesTable[[#This Row],[Order_Date]],"mmm")</f>
        <v>Nov</v>
      </c>
      <c r="J309" s="1">
        <f>YEAR(SalesTable[[#This Row],[Order_Date]])</f>
        <v>2022</v>
      </c>
      <c r="K309" s="4">
        <v>286.89</v>
      </c>
      <c r="L309" s="9">
        <f>SalesTable[[#This Row],[Profit]]/SalesTable[[#This Row],[Sales]]</f>
        <v>0.52920993894228108</v>
      </c>
    </row>
    <row r="310" spans="1:12" ht="14" x14ac:dyDescent="0.15">
      <c r="A310" s="1">
        <v>10309</v>
      </c>
      <c r="B310" s="2">
        <v>44870</v>
      </c>
      <c r="C310" s="1" t="s">
        <v>10</v>
      </c>
      <c r="D310" s="1" t="s">
        <v>13</v>
      </c>
      <c r="E310" s="1" t="s">
        <v>20</v>
      </c>
      <c r="F310" s="1" t="s">
        <v>23</v>
      </c>
      <c r="G310" s="4">
        <v>57.09</v>
      </c>
      <c r="H310" s="1">
        <v>6</v>
      </c>
      <c r="I310" s="1" t="str">
        <f>TEXT(SalesTable[[#This Row],[Order_Date]],"mmm")</f>
        <v>Nov</v>
      </c>
      <c r="J310" s="1">
        <f>YEAR(SalesTable[[#This Row],[Order_Date]])</f>
        <v>2022</v>
      </c>
      <c r="K310" s="4">
        <v>75.459999999999994</v>
      </c>
      <c r="L310" s="9">
        <f>SalesTable[[#This Row],[Profit]]/SalesTable[[#This Row],[Sales]]</f>
        <v>1.3217726396917147</v>
      </c>
    </row>
    <row r="311" spans="1:12" ht="14" x14ac:dyDescent="0.15">
      <c r="A311" s="1">
        <v>10310</v>
      </c>
      <c r="B311" s="2">
        <v>44871</v>
      </c>
      <c r="C311" s="1" t="s">
        <v>12</v>
      </c>
      <c r="D311" s="1" t="s">
        <v>15</v>
      </c>
      <c r="E311" s="1" t="s">
        <v>18</v>
      </c>
      <c r="F311" s="1" t="s">
        <v>23</v>
      </c>
      <c r="G311" s="4">
        <v>451.55</v>
      </c>
      <c r="H311" s="1">
        <v>5</v>
      </c>
      <c r="I311" s="1" t="str">
        <f>TEXT(SalesTable[[#This Row],[Order_Date]],"mmm")</f>
        <v>Nov</v>
      </c>
      <c r="J311" s="1">
        <f>YEAR(SalesTable[[#This Row],[Order_Date]])</f>
        <v>2022</v>
      </c>
      <c r="K311" s="4">
        <v>57.34</v>
      </c>
      <c r="L311" s="9">
        <f>SalesTable[[#This Row],[Profit]]/SalesTable[[#This Row],[Sales]]</f>
        <v>0.12698483002989702</v>
      </c>
    </row>
    <row r="312" spans="1:12" ht="14" x14ac:dyDescent="0.15">
      <c r="A312" s="1">
        <v>10311</v>
      </c>
      <c r="B312" s="2">
        <v>44872</v>
      </c>
      <c r="C312" s="1" t="s">
        <v>10</v>
      </c>
      <c r="D312" s="1" t="s">
        <v>14</v>
      </c>
      <c r="E312" s="1" t="s">
        <v>20</v>
      </c>
      <c r="F312" s="1" t="s">
        <v>21</v>
      </c>
      <c r="G312" s="4">
        <v>732.16</v>
      </c>
      <c r="H312" s="1">
        <v>3</v>
      </c>
      <c r="I312" s="1" t="str">
        <f>TEXT(SalesTable[[#This Row],[Order_Date]],"mmm")</f>
        <v>Nov</v>
      </c>
      <c r="J312" s="1">
        <f>YEAR(SalesTable[[#This Row],[Order_Date]])</f>
        <v>2022</v>
      </c>
      <c r="K312" s="4">
        <v>238.62</v>
      </c>
      <c r="L312" s="9">
        <f>SalesTable[[#This Row],[Profit]]/SalesTable[[#This Row],[Sales]]</f>
        <v>0.32591236888111891</v>
      </c>
    </row>
    <row r="313" spans="1:12" ht="14" x14ac:dyDescent="0.15">
      <c r="A313" s="1">
        <v>10312</v>
      </c>
      <c r="B313" s="2">
        <v>44873</v>
      </c>
      <c r="C313" s="1" t="s">
        <v>9</v>
      </c>
      <c r="D313" s="1" t="s">
        <v>13</v>
      </c>
      <c r="E313" s="1" t="s">
        <v>18</v>
      </c>
      <c r="F313" s="1" t="s">
        <v>23</v>
      </c>
      <c r="G313" s="4">
        <v>470.56</v>
      </c>
      <c r="H313" s="1">
        <v>3</v>
      </c>
      <c r="I313" s="1" t="str">
        <f>TEXT(SalesTable[[#This Row],[Order_Date]],"mmm")</f>
        <v>Nov</v>
      </c>
      <c r="J313" s="1">
        <f>YEAR(SalesTable[[#This Row],[Order_Date]])</f>
        <v>2022</v>
      </c>
      <c r="K313" s="4">
        <v>70.760000000000005</v>
      </c>
      <c r="L313" s="9">
        <f>SalesTable[[#This Row],[Profit]]/SalesTable[[#This Row],[Sales]]</f>
        <v>0.15037402244134648</v>
      </c>
    </row>
    <row r="314" spans="1:12" ht="14" x14ac:dyDescent="0.15">
      <c r="A314" s="1">
        <v>10313</v>
      </c>
      <c r="B314" s="2">
        <v>44874</v>
      </c>
      <c r="C314" s="1" t="s">
        <v>10</v>
      </c>
      <c r="D314" s="1" t="s">
        <v>13</v>
      </c>
      <c r="E314" s="1" t="s">
        <v>17</v>
      </c>
      <c r="F314" s="1" t="s">
        <v>21</v>
      </c>
      <c r="G314" s="4">
        <v>745.61</v>
      </c>
      <c r="H314" s="1">
        <v>9</v>
      </c>
      <c r="I314" s="1" t="str">
        <f>TEXT(SalesTable[[#This Row],[Order_Date]],"mmm")</f>
        <v>Nov</v>
      </c>
      <c r="J314" s="1">
        <f>YEAR(SalesTable[[#This Row],[Order_Date]])</f>
        <v>2022</v>
      </c>
      <c r="K314" s="4">
        <v>120.81</v>
      </c>
      <c r="L314" s="9">
        <f>SalesTable[[#This Row],[Profit]]/SalesTable[[#This Row],[Sales]]</f>
        <v>0.1620284062713751</v>
      </c>
    </row>
    <row r="315" spans="1:12" ht="14" x14ac:dyDescent="0.15">
      <c r="A315" s="1">
        <v>10314</v>
      </c>
      <c r="B315" s="2">
        <v>44875</v>
      </c>
      <c r="C315" s="1" t="s">
        <v>9</v>
      </c>
      <c r="D315" s="1" t="s">
        <v>13</v>
      </c>
      <c r="E315" s="1" t="s">
        <v>16</v>
      </c>
      <c r="F315" s="1" t="s">
        <v>24</v>
      </c>
      <c r="G315" s="4">
        <v>271.37</v>
      </c>
      <c r="H315" s="1">
        <v>4</v>
      </c>
      <c r="I315" s="1" t="str">
        <f>TEXT(SalesTable[[#This Row],[Order_Date]],"mmm")</f>
        <v>Nov</v>
      </c>
      <c r="J315" s="1">
        <f>YEAR(SalesTable[[#This Row],[Order_Date]])</f>
        <v>2022</v>
      </c>
      <c r="K315" s="4">
        <v>-7.62</v>
      </c>
      <c r="L315" s="9">
        <f>SalesTable[[#This Row],[Profit]]/SalesTable[[#This Row],[Sales]]</f>
        <v>-2.8079743523602461E-2</v>
      </c>
    </row>
    <row r="316" spans="1:12" ht="14" x14ac:dyDescent="0.15">
      <c r="A316" s="1">
        <v>10315</v>
      </c>
      <c r="B316" s="2">
        <v>44876</v>
      </c>
      <c r="C316" s="1" t="s">
        <v>9</v>
      </c>
      <c r="D316" s="1" t="s">
        <v>13</v>
      </c>
      <c r="E316" s="1" t="s">
        <v>20</v>
      </c>
      <c r="F316" s="1" t="s">
        <v>25</v>
      </c>
      <c r="G316" s="4">
        <v>822.48</v>
      </c>
      <c r="H316" s="1">
        <v>9</v>
      </c>
      <c r="I316" s="1" t="str">
        <f>TEXT(SalesTable[[#This Row],[Order_Date]],"mmm")</f>
        <v>Nov</v>
      </c>
      <c r="J316" s="1">
        <f>YEAR(SalesTable[[#This Row],[Order_Date]])</f>
        <v>2022</v>
      </c>
      <c r="K316" s="4">
        <v>197.4</v>
      </c>
      <c r="L316" s="9">
        <f>SalesTable[[#This Row],[Profit]]/SalesTable[[#This Row],[Sales]]</f>
        <v>0.24000583600817041</v>
      </c>
    </row>
    <row r="317" spans="1:12" ht="14" x14ac:dyDescent="0.15">
      <c r="A317" s="1">
        <v>10316</v>
      </c>
      <c r="B317" s="2">
        <v>44877</v>
      </c>
      <c r="C317" s="1" t="s">
        <v>10</v>
      </c>
      <c r="D317" s="1" t="s">
        <v>14</v>
      </c>
      <c r="E317" s="1" t="s">
        <v>16</v>
      </c>
      <c r="F317" s="1" t="s">
        <v>22</v>
      </c>
      <c r="G317" s="4">
        <v>609.01</v>
      </c>
      <c r="H317" s="1">
        <v>4</v>
      </c>
      <c r="I317" s="1" t="str">
        <f>TEXT(SalesTable[[#This Row],[Order_Date]],"mmm")</f>
        <v>Nov</v>
      </c>
      <c r="J317" s="1">
        <f>YEAR(SalesTable[[#This Row],[Order_Date]])</f>
        <v>2022</v>
      </c>
      <c r="K317" s="4">
        <v>112.8</v>
      </c>
      <c r="L317" s="9">
        <f>SalesTable[[#This Row],[Profit]]/SalesTable[[#This Row],[Sales]]</f>
        <v>0.18521863351997503</v>
      </c>
    </row>
    <row r="318" spans="1:12" ht="14" x14ac:dyDescent="0.15">
      <c r="A318" s="1">
        <v>10317</v>
      </c>
      <c r="B318" s="2">
        <v>44878</v>
      </c>
      <c r="C318" s="1" t="s">
        <v>9</v>
      </c>
      <c r="D318" s="1" t="s">
        <v>13</v>
      </c>
      <c r="E318" s="1" t="s">
        <v>16</v>
      </c>
      <c r="F318" s="1" t="s">
        <v>25</v>
      </c>
      <c r="G318" s="4">
        <v>250.22</v>
      </c>
      <c r="H318" s="1">
        <v>2</v>
      </c>
      <c r="I318" s="1" t="str">
        <f>TEXT(SalesTable[[#This Row],[Order_Date]],"mmm")</f>
        <v>Nov</v>
      </c>
      <c r="J318" s="1">
        <f>YEAR(SalesTable[[#This Row],[Order_Date]])</f>
        <v>2022</v>
      </c>
      <c r="K318" s="4">
        <v>223.61</v>
      </c>
      <c r="L318" s="9">
        <f>SalesTable[[#This Row],[Profit]]/SalesTable[[#This Row],[Sales]]</f>
        <v>0.89365358484533619</v>
      </c>
    </row>
    <row r="319" spans="1:12" ht="14" x14ac:dyDescent="0.15">
      <c r="A319" s="1">
        <v>10318</v>
      </c>
      <c r="B319" s="2">
        <v>44879</v>
      </c>
      <c r="C319" s="1" t="s">
        <v>11</v>
      </c>
      <c r="D319" s="1" t="s">
        <v>14</v>
      </c>
      <c r="E319" s="1" t="s">
        <v>16</v>
      </c>
      <c r="F319" s="1" t="s">
        <v>21</v>
      </c>
      <c r="G319" s="4">
        <v>274.88</v>
      </c>
      <c r="H319" s="1">
        <v>4</v>
      </c>
      <c r="I319" s="1" t="str">
        <f>TEXT(SalesTable[[#This Row],[Order_Date]],"mmm")</f>
        <v>Nov</v>
      </c>
      <c r="J319" s="1">
        <f>YEAR(SalesTable[[#This Row],[Order_Date]])</f>
        <v>2022</v>
      </c>
      <c r="K319" s="4">
        <v>212.29</v>
      </c>
      <c r="L319" s="9">
        <f>SalesTable[[#This Row],[Profit]]/SalesTable[[#This Row],[Sales]]</f>
        <v>0.7723006402793946</v>
      </c>
    </row>
    <row r="320" spans="1:12" ht="14" x14ac:dyDescent="0.15">
      <c r="A320" s="1">
        <v>10319</v>
      </c>
      <c r="B320" s="2">
        <v>44880</v>
      </c>
      <c r="C320" s="1" t="s">
        <v>9</v>
      </c>
      <c r="D320" s="1" t="s">
        <v>14</v>
      </c>
      <c r="E320" s="1" t="s">
        <v>17</v>
      </c>
      <c r="F320" s="1" t="s">
        <v>21</v>
      </c>
      <c r="G320" s="4">
        <v>646.63</v>
      </c>
      <c r="H320" s="1">
        <v>6</v>
      </c>
      <c r="I320" s="1" t="str">
        <f>TEXT(SalesTable[[#This Row],[Order_Date]],"mmm")</f>
        <v>Nov</v>
      </c>
      <c r="J320" s="1">
        <f>YEAR(SalesTable[[#This Row],[Order_Date]])</f>
        <v>2022</v>
      </c>
      <c r="K320" s="4">
        <v>-14</v>
      </c>
      <c r="L320" s="9">
        <f>SalesTable[[#This Row],[Profit]]/SalesTable[[#This Row],[Sales]]</f>
        <v>-2.1650712153781917E-2</v>
      </c>
    </row>
    <row r="321" spans="1:12" ht="14" x14ac:dyDescent="0.15">
      <c r="A321" s="1">
        <v>10320</v>
      </c>
      <c r="B321" s="2">
        <v>44881</v>
      </c>
      <c r="C321" s="1" t="s">
        <v>12</v>
      </c>
      <c r="D321" s="1" t="s">
        <v>14</v>
      </c>
      <c r="E321" s="1" t="s">
        <v>19</v>
      </c>
      <c r="F321" s="1" t="s">
        <v>25</v>
      </c>
      <c r="G321" s="4">
        <v>838.44</v>
      </c>
      <c r="H321" s="1">
        <v>6</v>
      </c>
      <c r="I321" s="1" t="str">
        <f>TEXT(SalesTable[[#This Row],[Order_Date]],"mmm")</f>
        <v>Nov</v>
      </c>
      <c r="J321" s="1">
        <f>YEAR(SalesTable[[#This Row],[Order_Date]])</f>
        <v>2022</v>
      </c>
      <c r="K321" s="4">
        <v>186.25</v>
      </c>
      <c r="L321" s="9">
        <f>SalesTable[[#This Row],[Profit]]/SalesTable[[#This Row],[Sales]]</f>
        <v>0.22213873383903437</v>
      </c>
    </row>
    <row r="322" spans="1:12" ht="14" x14ac:dyDescent="0.15">
      <c r="A322" s="1">
        <v>10321</v>
      </c>
      <c r="B322" s="2">
        <v>44882</v>
      </c>
      <c r="C322" s="1" t="s">
        <v>10</v>
      </c>
      <c r="D322" s="1" t="s">
        <v>14</v>
      </c>
      <c r="E322" s="1" t="s">
        <v>20</v>
      </c>
      <c r="F322" s="1" t="s">
        <v>21</v>
      </c>
      <c r="G322" s="4">
        <v>444.85</v>
      </c>
      <c r="H322" s="1">
        <v>5</v>
      </c>
      <c r="I322" s="1" t="str">
        <f>TEXT(SalesTable[[#This Row],[Order_Date]],"mmm")</f>
        <v>Nov</v>
      </c>
      <c r="J322" s="1">
        <f>YEAR(SalesTable[[#This Row],[Order_Date]])</f>
        <v>2022</v>
      </c>
      <c r="K322" s="4">
        <v>220.02</v>
      </c>
      <c r="L322" s="9">
        <f>SalesTable[[#This Row],[Profit]]/SalesTable[[#This Row],[Sales]]</f>
        <v>0.49459368326402159</v>
      </c>
    </row>
    <row r="323" spans="1:12" ht="14" x14ac:dyDescent="0.15">
      <c r="A323" s="1">
        <v>10322</v>
      </c>
      <c r="B323" s="2">
        <v>44883</v>
      </c>
      <c r="C323" s="1" t="s">
        <v>11</v>
      </c>
      <c r="D323" s="1" t="s">
        <v>15</v>
      </c>
      <c r="E323" s="1" t="s">
        <v>19</v>
      </c>
      <c r="F323" s="1" t="s">
        <v>23</v>
      </c>
      <c r="G323" s="4">
        <v>295.39</v>
      </c>
      <c r="H323" s="1">
        <v>1</v>
      </c>
      <c r="I323" s="1" t="str">
        <f>TEXT(SalesTable[[#This Row],[Order_Date]],"mmm")</f>
        <v>Nov</v>
      </c>
      <c r="J323" s="1">
        <f>YEAR(SalesTable[[#This Row],[Order_Date]])</f>
        <v>2022</v>
      </c>
      <c r="K323" s="4">
        <v>38.44</v>
      </c>
      <c r="L323" s="9">
        <f>SalesTable[[#This Row],[Profit]]/SalesTable[[#This Row],[Sales]]</f>
        <v>0.13013304444971055</v>
      </c>
    </row>
    <row r="324" spans="1:12" ht="14" x14ac:dyDescent="0.15">
      <c r="A324" s="1">
        <v>10323</v>
      </c>
      <c r="B324" s="2">
        <v>44884</v>
      </c>
      <c r="C324" s="1" t="s">
        <v>10</v>
      </c>
      <c r="D324" s="1" t="s">
        <v>15</v>
      </c>
      <c r="E324" s="1" t="s">
        <v>19</v>
      </c>
      <c r="F324" s="1" t="s">
        <v>23</v>
      </c>
      <c r="G324" s="4">
        <v>873.66</v>
      </c>
      <c r="H324" s="1">
        <v>3</v>
      </c>
      <c r="I324" s="1" t="str">
        <f>TEXT(SalesTable[[#This Row],[Order_Date]],"mmm")</f>
        <v>Nov</v>
      </c>
      <c r="J324" s="1">
        <f>YEAR(SalesTable[[#This Row],[Order_Date]])</f>
        <v>2022</v>
      </c>
      <c r="K324" s="4">
        <v>-30.96</v>
      </c>
      <c r="L324" s="9">
        <f>SalesTable[[#This Row],[Profit]]/SalesTable[[#This Row],[Sales]]</f>
        <v>-3.5437126570977272E-2</v>
      </c>
    </row>
    <row r="325" spans="1:12" ht="14" x14ac:dyDescent="0.15">
      <c r="A325" s="1">
        <v>10324</v>
      </c>
      <c r="B325" s="2">
        <v>44885</v>
      </c>
      <c r="C325" s="1" t="s">
        <v>12</v>
      </c>
      <c r="D325" s="1" t="s">
        <v>13</v>
      </c>
      <c r="E325" s="1" t="s">
        <v>19</v>
      </c>
      <c r="F325" s="1" t="s">
        <v>21</v>
      </c>
      <c r="G325" s="4">
        <v>685.8</v>
      </c>
      <c r="H325" s="1">
        <v>5</v>
      </c>
      <c r="I325" s="1" t="str">
        <f>TEXT(SalesTable[[#This Row],[Order_Date]],"mmm")</f>
        <v>Nov</v>
      </c>
      <c r="J325" s="1">
        <f>YEAR(SalesTable[[#This Row],[Order_Date]])</f>
        <v>2022</v>
      </c>
      <c r="K325" s="4">
        <v>-98.95</v>
      </c>
      <c r="L325" s="9">
        <f>SalesTable[[#This Row],[Profit]]/SalesTable[[#This Row],[Sales]]</f>
        <v>-0.14428404782735493</v>
      </c>
    </row>
    <row r="326" spans="1:12" ht="14" x14ac:dyDescent="0.15">
      <c r="A326" s="1">
        <v>10325</v>
      </c>
      <c r="B326" s="2">
        <v>44886</v>
      </c>
      <c r="C326" s="1" t="s">
        <v>12</v>
      </c>
      <c r="D326" s="1" t="s">
        <v>15</v>
      </c>
      <c r="E326" s="1" t="s">
        <v>16</v>
      </c>
      <c r="F326" s="1" t="s">
        <v>21</v>
      </c>
      <c r="G326" s="4">
        <v>475.68</v>
      </c>
      <c r="H326" s="1">
        <v>6</v>
      </c>
      <c r="I326" s="1" t="str">
        <f>TEXT(SalesTable[[#This Row],[Order_Date]],"mmm")</f>
        <v>Nov</v>
      </c>
      <c r="J326" s="1">
        <f>YEAR(SalesTable[[#This Row],[Order_Date]])</f>
        <v>2022</v>
      </c>
      <c r="K326" s="4">
        <v>80.36</v>
      </c>
      <c r="L326" s="9">
        <f>SalesTable[[#This Row],[Profit]]/SalesTable[[#This Row],[Sales]]</f>
        <v>0.16893710057181299</v>
      </c>
    </row>
    <row r="327" spans="1:12" ht="14" x14ac:dyDescent="0.15">
      <c r="A327" s="1">
        <v>10326</v>
      </c>
      <c r="B327" s="2">
        <v>44887</v>
      </c>
      <c r="C327" s="1" t="s">
        <v>12</v>
      </c>
      <c r="D327" s="1" t="s">
        <v>15</v>
      </c>
      <c r="E327" s="1" t="s">
        <v>18</v>
      </c>
      <c r="F327" s="1" t="s">
        <v>23</v>
      </c>
      <c r="G327" s="4">
        <v>513.51</v>
      </c>
      <c r="H327" s="1">
        <v>1</v>
      </c>
      <c r="I327" s="1" t="str">
        <f>TEXT(SalesTable[[#This Row],[Order_Date]],"mmm")</f>
        <v>Nov</v>
      </c>
      <c r="J327" s="1">
        <f>YEAR(SalesTable[[#This Row],[Order_Date]])</f>
        <v>2022</v>
      </c>
      <c r="K327" s="4">
        <v>40.97</v>
      </c>
      <c r="L327" s="9">
        <f>SalesTable[[#This Row],[Profit]]/SalesTable[[#This Row],[Sales]]</f>
        <v>7.9784230102627016E-2</v>
      </c>
    </row>
    <row r="328" spans="1:12" ht="14" x14ac:dyDescent="0.15">
      <c r="A328" s="1">
        <v>10327</v>
      </c>
      <c r="B328" s="2">
        <v>44888</v>
      </c>
      <c r="C328" s="1" t="s">
        <v>9</v>
      </c>
      <c r="D328" s="1" t="s">
        <v>13</v>
      </c>
      <c r="E328" s="1" t="s">
        <v>16</v>
      </c>
      <c r="F328" s="1" t="s">
        <v>21</v>
      </c>
      <c r="G328" s="4">
        <v>244.04</v>
      </c>
      <c r="H328" s="1">
        <v>9</v>
      </c>
      <c r="I328" s="1" t="str">
        <f>TEXT(SalesTable[[#This Row],[Order_Date]],"mmm")</f>
        <v>Nov</v>
      </c>
      <c r="J328" s="1">
        <f>YEAR(SalesTable[[#This Row],[Order_Date]])</f>
        <v>2022</v>
      </c>
      <c r="K328" s="4">
        <v>121.96</v>
      </c>
      <c r="L328" s="9">
        <f>SalesTable[[#This Row],[Profit]]/SalesTable[[#This Row],[Sales]]</f>
        <v>0.49975413866579249</v>
      </c>
    </row>
    <row r="329" spans="1:12" ht="14" x14ac:dyDescent="0.15">
      <c r="A329" s="1">
        <v>10328</v>
      </c>
      <c r="B329" s="2">
        <v>44889</v>
      </c>
      <c r="C329" s="1" t="s">
        <v>9</v>
      </c>
      <c r="D329" s="1" t="s">
        <v>13</v>
      </c>
      <c r="E329" s="1" t="s">
        <v>16</v>
      </c>
      <c r="F329" s="1" t="s">
        <v>21</v>
      </c>
      <c r="G329" s="4">
        <v>645.46</v>
      </c>
      <c r="H329" s="1">
        <v>3</v>
      </c>
      <c r="I329" s="1" t="str">
        <f>TEXT(SalesTable[[#This Row],[Order_Date]],"mmm")</f>
        <v>Nov</v>
      </c>
      <c r="J329" s="1">
        <f>YEAR(SalesTable[[#This Row],[Order_Date]])</f>
        <v>2022</v>
      </c>
      <c r="K329" s="4">
        <v>-24.78</v>
      </c>
      <c r="L329" s="9">
        <f>SalesTable[[#This Row],[Profit]]/SalesTable[[#This Row],[Sales]]</f>
        <v>-3.8391224862888484E-2</v>
      </c>
    </row>
    <row r="330" spans="1:12" ht="14" x14ac:dyDescent="0.15">
      <c r="A330" s="1">
        <v>10329</v>
      </c>
      <c r="B330" s="2">
        <v>44890</v>
      </c>
      <c r="C330" s="1" t="s">
        <v>10</v>
      </c>
      <c r="D330" s="1" t="s">
        <v>13</v>
      </c>
      <c r="E330" s="1" t="s">
        <v>19</v>
      </c>
      <c r="F330" s="1" t="s">
        <v>25</v>
      </c>
      <c r="G330" s="4">
        <v>390.81</v>
      </c>
      <c r="H330" s="1">
        <v>3</v>
      </c>
      <c r="I330" s="1" t="str">
        <f>TEXT(SalesTable[[#This Row],[Order_Date]],"mmm")</f>
        <v>Nov</v>
      </c>
      <c r="J330" s="1">
        <f>YEAR(SalesTable[[#This Row],[Order_Date]])</f>
        <v>2022</v>
      </c>
      <c r="K330" s="4">
        <v>243.87</v>
      </c>
      <c r="L330" s="9">
        <f>SalesTable[[#This Row],[Profit]]/SalesTable[[#This Row],[Sales]]</f>
        <v>0.62401166807400021</v>
      </c>
    </row>
    <row r="331" spans="1:12" ht="14" x14ac:dyDescent="0.15">
      <c r="A331" s="1">
        <v>10330</v>
      </c>
      <c r="B331" s="2">
        <v>44891</v>
      </c>
      <c r="C331" s="1" t="s">
        <v>10</v>
      </c>
      <c r="D331" s="1" t="s">
        <v>15</v>
      </c>
      <c r="E331" s="1" t="s">
        <v>16</v>
      </c>
      <c r="F331" s="1" t="s">
        <v>22</v>
      </c>
      <c r="G331" s="4">
        <v>995.86</v>
      </c>
      <c r="H331" s="1">
        <v>2</v>
      </c>
      <c r="I331" s="1" t="str">
        <f>TEXT(SalesTable[[#This Row],[Order_Date]],"mmm")</f>
        <v>Nov</v>
      </c>
      <c r="J331" s="1">
        <f>YEAR(SalesTable[[#This Row],[Order_Date]])</f>
        <v>2022</v>
      </c>
      <c r="K331" s="4">
        <v>3.1</v>
      </c>
      <c r="L331" s="9">
        <f>SalesTable[[#This Row],[Profit]]/SalesTable[[#This Row],[Sales]]</f>
        <v>3.1128873536440866E-3</v>
      </c>
    </row>
    <row r="332" spans="1:12" ht="14" x14ac:dyDescent="0.15">
      <c r="A332" s="1">
        <v>10331</v>
      </c>
      <c r="B332" s="2">
        <v>44892</v>
      </c>
      <c r="C332" s="1" t="s">
        <v>11</v>
      </c>
      <c r="D332" s="1" t="s">
        <v>15</v>
      </c>
      <c r="E332" s="1" t="s">
        <v>19</v>
      </c>
      <c r="F332" s="1" t="s">
        <v>23</v>
      </c>
      <c r="G332" s="4">
        <v>506.17</v>
      </c>
      <c r="H332" s="1">
        <v>8</v>
      </c>
      <c r="I332" s="1" t="str">
        <f>TEXT(SalesTable[[#This Row],[Order_Date]],"mmm")</f>
        <v>Nov</v>
      </c>
      <c r="J332" s="1">
        <f>YEAR(SalesTable[[#This Row],[Order_Date]])</f>
        <v>2022</v>
      </c>
      <c r="K332" s="4">
        <v>-9.43</v>
      </c>
      <c r="L332" s="9">
        <f>SalesTable[[#This Row],[Profit]]/SalesTable[[#This Row],[Sales]]</f>
        <v>-1.8630104510342374E-2</v>
      </c>
    </row>
    <row r="333" spans="1:12" ht="14" x14ac:dyDescent="0.15">
      <c r="A333" s="1">
        <v>10332</v>
      </c>
      <c r="B333" s="2">
        <v>44893</v>
      </c>
      <c r="C333" s="1" t="s">
        <v>11</v>
      </c>
      <c r="D333" s="1" t="s">
        <v>13</v>
      </c>
      <c r="E333" s="1" t="s">
        <v>18</v>
      </c>
      <c r="F333" s="1" t="s">
        <v>25</v>
      </c>
      <c r="G333" s="4">
        <v>511.59</v>
      </c>
      <c r="H333" s="1">
        <v>3</v>
      </c>
      <c r="I333" s="1" t="str">
        <f>TEXT(SalesTable[[#This Row],[Order_Date]],"mmm")</f>
        <v>Nov</v>
      </c>
      <c r="J333" s="1">
        <f>YEAR(SalesTable[[#This Row],[Order_Date]])</f>
        <v>2022</v>
      </c>
      <c r="K333" s="4">
        <v>92.29</v>
      </c>
      <c r="L333" s="9">
        <f>SalesTable[[#This Row],[Profit]]/SalesTable[[#This Row],[Sales]]</f>
        <v>0.18039836587892649</v>
      </c>
    </row>
    <row r="334" spans="1:12" ht="14" x14ac:dyDescent="0.15">
      <c r="A334" s="1">
        <v>10333</v>
      </c>
      <c r="B334" s="2">
        <v>44894</v>
      </c>
      <c r="C334" s="1" t="s">
        <v>10</v>
      </c>
      <c r="D334" s="1" t="s">
        <v>14</v>
      </c>
      <c r="E334" s="1" t="s">
        <v>20</v>
      </c>
      <c r="F334" s="1" t="s">
        <v>22</v>
      </c>
      <c r="G334" s="4">
        <v>587.55999999999995</v>
      </c>
      <c r="H334" s="1">
        <v>6</v>
      </c>
      <c r="I334" s="1" t="str">
        <f>TEXT(SalesTable[[#This Row],[Order_Date]],"mmm")</f>
        <v>Nov</v>
      </c>
      <c r="J334" s="1">
        <f>YEAR(SalesTable[[#This Row],[Order_Date]])</f>
        <v>2022</v>
      </c>
      <c r="K334" s="4">
        <v>99.54</v>
      </c>
      <c r="L334" s="9">
        <f>SalesTable[[#This Row],[Profit]]/SalesTable[[#This Row],[Sales]]</f>
        <v>0.16941248553339236</v>
      </c>
    </row>
    <row r="335" spans="1:12" ht="14" x14ac:dyDescent="0.15">
      <c r="A335" s="1">
        <v>10334</v>
      </c>
      <c r="B335" s="2">
        <v>44895</v>
      </c>
      <c r="C335" s="1" t="s">
        <v>9</v>
      </c>
      <c r="D335" s="1" t="s">
        <v>13</v>
      </c>
      <c r="E335" s="1" t="s">
        <v>19</v>
      </c>
      <c r="F335" s="1" t="s">
        <v>21</v>
      </c>
      <c r="G335" s="4">
        <v>920.92</v>
      </c>
      <c r="H335" s="1">
        <v>2</v>
      </c>
      <c r="I335" s="1" t="str">
        <f>TEXT(SalesTable[[#This Row],[Order_Date]],"mmm")</f>
        <v>Nov</v>
      </c>
      <c r="J335" s="1">
        <f>YEAR(SalesTable[[#This Row],[Order_Date]])</f>
        <v>2022</v>
      </c>
      <c r="K335" s="4">
        <v>-13.97</v>
      </c>
      <c r="L335" s="9">
        <f>SalesTable[[#This Row],[Profit]]/SalesTable[[#This Row],[Sales]]</f>
        <v>-1.5169612995699954E-2</v>
      </c>
    </row>
    <row r="336" spans="1:12" ht="14" x14ac:dyDescent="0.15">
      <c r="A336" s="1">
        <v>10335</v>
      </c>
      <c r="B336" s="2">
        <v>44896</v>
      </c>
      <c r="C336" s="1" t="s">
        <v>12</v>
      </c>
      <c r="D336" s="1" t="s">
        <v>14</v>
      </c>
      <c r="E336" s="1" t="s">
        <v>18</v>
      </c>
      <c r="F336" s="1" t="s">
        <v>21</v>
      </c>
      <c r="G336" s="4">
        <v>810.78</v>
      </c>
      <c r="H336" s="1">
        <v>7</v>
      </c>
      <c r="I336" s="1" t="str">
        <f>TEXT(SalesTable[[#This Row],[Order_Date]],"mmm")</f>
        <v>Dec</v>
      </c>
      <c r="J336" s="1">
        <f>YEAR(SalesTable[[#This Row],[Order_Date]])</f>
        <v>2022</v>
      </c>
      <c r="K336" s="4">
        <v>8.74</v>
      </c>
      <c r="L336" s="9">
        <f>SalesTable[[#This Row],[Profit]]/SalesTable[[#This Row],[Sales]]</f>
        <v>1.0779742963565949E-2</v>
      </c>
    </row>
    <row r="337" spans="1:12" ht="14" x14ac:dyDescent="0.15">
      <c r="A337" s="1">
        <v>10336</v>
      </c>
      <c r="B337" s="2">
        <v>44897</v>
      </c>
      <c r="C337" s="1" t="s">
        <v>10</v>
      </c>
      <c r="D337" s="1" t="s">
        <v>14</v>
      </c>
      <c r="E337" s="1" t="s">
        <v>20</v>
      </c>
      <c r="F337" s="1" t="s">
        <v>25</v>
      </c>
      <c r="G337" s="4">
        <v>478.57</v>
      </c>
      <c r="H337" s="1">
        <v>4</v>
      </c>
      <c r="I337" s="1" t="str">
        <f>TEXT(SalesTable[[#This Row],[Order_Date]],"mmm")</f>
        <v>Dec</v>
      </c>
      <c r="J337" s="1">
        <f>YEAR(SalesTable[[#This Row],[Order_Date]])</f>
        <v>2022</v>
      </c>
      <c r="K337" s="4">
        <v>-32.119999999999997</v>
      </c>
      <c r="L337" s="9">
        <f>SalesTable[[#This Row],[Profit]]/SalesTable[[#This Row],[Sales]]</f>
        <v>-6.7116618258561966E-2</v>
      </c>
    </row>
    <row r="338" spans="1:12" ht="14" x14ac:dyDescent="0.15">
      <c r="A338" s="1">
        <v>10337</v>
      </c>
      <c r="B338" s="2">
        <v>44898</v>
      </c>
      <c r="C338" s="1" t="s">
        <v>11</v>
      </c>
      <c r="D338" s="1" t="s">
        <v>13</v>
      </c>
      <c r="E338" s="1" t="s">
        <v>17</v>
      </c>
      <c r="F338" s="1" t="s">
        <v>21</v>
      </c>
      <c r="G338" s="4">
        <v>732.76</v>
      </c>
      <c r="H338" s="1">
        <v>9</v>
      </c>
      <c r="I338" s="1" t="str">
        <f>TEXT(SalesTable[[#This Row],[Order_Date]],"mmm")</f>
        <v>Dec</v>
      </c>
      <c r="J338" s="1">
        <f>YEAR(SalesTable[[#This Row],[Order_Date]])</f>
        <v>2022</v>
      </c>
      <c r="K338" s="4">
        <v>187.38</v>
      </c>
      <c r="L338" s="9">
        <f>SalesTable[[#This Row],[Profit]]/SalesTable[[#This Row],[Sales]]</f>
        <v>0.2557181068835635</v>
      </c>
    </row>
    <row r="339" spans="1:12" ht="14" x14ac:dyDescent="0.15">
      <c r="A339" s="1">
        <v>10338</v>
      </c>
      <c r="B339" s="2">
        <v>44899</v>
      </c>
      <c r="C339" s="1" t="s">
        <v>9</v>
      </c>
      <c r="D339" s="1" t="s">
        <v>13</v>
      </c>
      <c r="E339" s="1" t="s">
        <v>19</v>
      </c>
      <c r="F339" s="1" t="s">
        <v>24</v>
      </c>
      <c r="G339" s="4">
        <v>606.91999999999996</v>
      </c>
      <c r="H339" s="1">
        <v>9</v>
      </c>
      <c r="I339" s="1" t="str">
        <f>TEXT(SalesTable[[#This Row],[Order_Date]],"mmm")</f>
        <v>Dec</v>
      </c>
      <c r="J339" s="1">
        <f>YEAR(SalesTable[[#This Row],[Order_Date]])</f>
        <v>2022</v>
      </c>
      <c r="K339" s="4">
        <v>208.04</v>
      </c>
      <c r="L339" s="9">
        <f>SalesTable[[#This Row],[Profit]]/SalesTable[[#This Row],[Sales]]</f>
        <v>0.34277993804784818</v>
      </c>
    </row>
    <row r="340" spans="1:12" ht="14" x14ac:dyDescent="0.15">
      <c r="A340" s="1">
        <v>10339</v>
      </c>
      <c r="B340" s="2">
        <v>44900</v>
      </c>
      <c r="C340" s="1" t="s">
        <v>10</v>
      </c>
      <c r="D340" s="1" t="s">
        <v>13</v>
      </c>
      <c r="E340" s="1" t="s">
        <v>19</v>
      </c>
      <c r="F340" s="1" t="s">
        <v>25</v>
      </c>
      <c r="G340" s="4">
        <v>517.75</v>
      </c>
      <c r="H340" s="1">
        <v>7</v>
      </c>
      <c r="I340" s="1" t="str">
        <f>TEXT(SalesTable[[#This Row],[Order_Date]],"mmm")</f>
        <v>Dec</v>
      </c>
      <c r="J340" s="1">
        <f>YEAR(SalesTable[[#This Row],[Order_Date]])</f>
        <v>2022</v>
      </c>
      <c r="K340" s="4">
        <v>84.93</v>
      </c>
      <c r="L340" s="9">
        <f>SalesTable[[#This Row],[Profit]]/SalesTable[[#This Row],[Sales]]</f>
        <v>0.16403669724770645</v>
      </c>
    </row>
    <row r="341" spans="1:12" ht="14" x14ac:dyDescent="0.15">
      <c r="A341" s="1">
        <v>10340</v>
      </c>
      <c r="B341" s="2">
        <v>44901</v>
      </c>
      <c r="C341" s="1" t="s">
        <v>10</v>
      </c>
      <c r="D341" s="1" t="s">
        <v>15</v>
      </c>
      <c r="E341" s="1" t="s">
        <v>17</v>
      </c>
      <c r="F341" s="1" t="s">
        <v>22</v>
      </c>
      <c r="G341" s="4">
        <v>232.7</v>
      </c>
      <c r="H341" s="1">
        <v>8</v>
      </c>
      <c r="I341" s="1" t="str">
        <f>TEXT(SalesTable[[#This Row],[Order_Date]],"mmm")</f>
        <v>Dec</v>
      </c>
      <c r="J341" s="1">
        <f>YEAR(SalesTable[[#This Row],[Order_Date]])</f>
        <v>2022</v>
      </c>
      <c r="K341" s="4">
        <v>185.63</v>
      </c>
      <c r="L341" s="9">
        <f>SalesTable[[#This Row],[Profit]]/SalesTable[[#This Row],[Sales]]</f>
        <v>0.79772238934250106</v>
      </c>
    </row>
    <row r="342" spans="1:12" ht="14" x14ac:dyDescent="0.15">
      <c r="A342" s="1">
        <v>10341</v>
      </c>
      <c r="B342" s="2">
        <v>44902</v>
      </c>
      <c r="C342" s="1" t="s">
        <v>9</v>
      </c>
      <c r="D342" s="1" t="s">
        <v>14</v>
      </c>
      <c r="E342" s="1" t="s">
        <v>17</v>
      </c>
      <c r="F342" s="1" t="s">
        <v>25</v>
      </c>
      <c r="G342" s="4">
        <v>490.74</v>
      </c>
      <c r="H342" s="1">
        <v>3</v>
      </c>
      <c r="I342" s="1" t="str">
        <f>TEXT(SalesTable[[#This Row],[Order_Date]],"mmm")</f>
        <v>Dec</v>
      </c>
      <c r="J342" s="1">
        <f>YEAR(SalesTable[[#This Row],[Order_Date]])</f>
        <v>2022</v>
      </c>
      <c r="K342" s="4">
        <v>194.37</v>
      </c>
      <c r="L342" s="9">
        <f>SalesTable[[#This Row],[Profit]]/SalesTable[[#This Row],[Sales]]</f>
        <v>0.39607531483066388</v>
      </c>
    </row>
    <row r="343" spans="1:12" ht="14" x14ac:dyDescent="0.15">
      <c r="A343" s="1">
        <v>10342</v>
      </c>
      <c r="B343" s="2">
        <v>44903</v>
      </c>
      <c r="C343" s="1" t="s">
        <v>10</v>
      </c>
      <c r="D343" s="1" t="s">
        <v>15</v>
      </c>
      <c r="E343" s="1" t="s">
        <v>19</v>
      </c>
      <c r="F343" s="1" t="s">
        <v>23</v>
      </c>
      <c r="G343" s="4">
        <v>283.52999999999997</v>
      </c>
      <c r="H343" s="1">
        <v>5</v>
      </c>
      <c r="I343" s="1" t="str">
        <f>TEXT(SalesTable[[#This Row],[Order_Date]],"mmm")</f>
        <v>Dec</v>
      </c>
      <c r="J343" s="1">
        <f>YEAR(SalesTable[[#This Row],[Order_Date]])</f>
        <v>2022</v>
      </c>
      <c r="K343" s="4">
        <v>-44.69</v>
      </c>
      <c r="L343" s="9">
        <f>SalesTable[[#This Row],[Profit]]/SalesTable[[#This Row],[Sales]]</f>
        <v>-0.15762000493774911</v>
      </c>
    </row>
    <row r="344" spans="1:12" ht="14" x14ac:dyDescent="0.15">
      <c r="A344" s="1">
        <v>10343</v>
      </c>
      <c r="B344" s="2">
        <v>44904</v>
      </c>
      <c r="C344" s="1" t="s">
        <v>9</v>
      </c>
      <c r="D344" s="1" t="s">
        <v>15</v>
      </c>
      <c r="E344" s="1" t="s">
        <v>17</v>
      </c>
      <c r="F344" s="1" t="s">
        <v>25</v>
      </c>
      <c r="G344" s="4">
        <v>919.1</v>
      </c>
      <c r="H344" s="1">
        <v>2</v>
      </c>
      <c r="I344" s="1" t="str">
        <f>TEXT(SalesTable[[#This Row],[Order_Date]],"mmm")</f>
        <v>Dec</v>
      </c>
      <c r="J344" s="1">
        <f>YEAR(SalesTable[[#This Row],[Order_Date]])</f>
        <v>2022</v>
      </c>
      <c r="K344" s="4">
        <v>286.47000000000003</v>
      </c>
      <c r="L344" s="9">
        <f>SalesTable[[#This Row],[Profit]]/SalesTable[[#This Row],[Sales]]</f>
        <v>0.31168534435861173</v>
      </c>
    </row>
    <row r="345" spans="1:12" ht="14" x14ac:dyDescent="0.15">
      <c r="A345" s="1">
        <v>10344</v>
      </c>
      <c r="B345" s="2">
        <v>44905</v>
      </c>
      <c r="C345" s="1" t="s">
        <v>12</v>
      </c>
      <c r="D345" s="1" t="s">
        <v>13</v>
      </c>
      <c r="E345" s="1" t="s">
        <v>16</v>
      </c>
      <c r="F345" s="1" t="s">
        <v>21</v>
      </c>
      <c r="G345" s="4">
        <v>368.64</v>
      </c>
      <c r="H345" s="1">
        <v>7</v>
      </c>
      <c r="I345" s="1" t="str">
        <f>TEXT(SalesTable[[#This Row],[Order_Date]],"mmm")</f>
        <v>Dec</v>
      </c>
      <c r="J345" s="1">
        <f>YEAR(SalesTable[[#This Row],[Order_Date]])</f>
        <v>2022</v>
      </c>
      <c r="K345" s="4">
        <v>228.41</v>
      </c>
      <c r="L345" s="9">
        <f>SalesTable[[#This Row],[Profit]]/SalesTable[[#This Row],[Sales]]</f>
        <v>0.61960177951388895</v>
      </c>
    </row>
    <row r="346" spans="1:12" ht="14" x14ac:dyDescent="0.15">
      <c r="A346" s="1">
        <v>10345</v>
      </c>
      <c r="B346" s="2">
        <v>44906</v>
      </c>
      <c r="C346" s="1" t="s">
        <v>9</v>
      </c>
      <c r="D346" s="1" t="s">
        <v>15</v>
      </c>
      <c r="E346" s="1" t="s">
        <v>20</v>
      </c>
      <c r="F346" s="1" t="s">
        <v>21</v>
      </c>
      <c r="G346" s="4">
        <v>954.65</v>
      </c>
      <c r="H346" s="1">
        <v>8</v>
      </c>
      <c r="I346" s="1" t="str">
        <f>TEXT(SalesTable[[#This Row],[Order_Date]],"mmm")</f>
        <v>Dec</v>
      </c>
      <c r="J346" s="1">
        <f>YEAR(SalesTable[[#This Row],[Order_Date]])</f>
        <v>2022</v>
      </c>
      <c r="K346" s="4">
        <v>-18.21</v>
      </c>
      <c r="L346" s="9">
        <f>SalesTable[[#This Row],[Profit]]/SalesTable[[#This Row],[Sales]]</f>
        <v>-1.9075053684596451E-2</v>
      </c>
    </row>
    <row r="347" spans="1:12" ht="14" x14ac:dyDescent="0.15">
      <c r="A347" s="1">
        <v>10346</v>
      </c>
      <c r="B347" s="2">
        <v>44907</v>
      </c>
      <c r="C347" s="1" t="s">
        <v>9</v>
      </c>
      <c r="D347" s="1" t="s">
        <v>13</v>
      </c>
      <c r="E347" s="1" t="s">
        <v>20</v>
      </c>
      <c r="F347" s="1" t="s">
        <v>24</v>
      </c>
      <c r="G347" s="4">
        <v>556.4</v>
      </c>
      <c r="H347" s="1">
        <v>9</v>
      </c>
      <c r="I347" s="1" t="str">
        <f>TEXT(SalesTable[[#This Row],[Order_Date]],"mmm")</f>
        <v>Dec</v>
      </c>
      <c r="J347" s="1">
        <f>YEAR(SalesTable[[#This Row],[Order_Date]])</f>
        <v>2022</v>
      </c>
      <c r="K347" s="4">
        <v>-25.53</v>
      </c>
      <c r="L347" s="9">
        <f>SalesTable[[#This Row],[Profit]]/SalesTable[[#This Row],[Sales]]</f>
        <v>-4.5884255930984906E-2</v>
      </c>
    </row>
    <row r="348" spans="1:12" ht="14" x14ac:dyDescent="0.15">
      <c r="A348" s="1">
        <v>10347</v>
      </c>
      <c r="B348" s="2">
        <v>44908</v>
      </c>
      <c r="C348" s="1" t="s">
        <v>9</v>
      </c>
      <c r="D348" s="1" t="s">
        <v>14</v>
      </c>
      <c r="E348" s="1" t="s">
        <v>20</v>
      </c>
      <c r="F348" s="1" t="s">
        <v>24</v>
      </c>
      <c r="G348" s="4">
        <v>649.97</v>
      </c>
      <c r="H348" s="1">
        <v>7</v>
      </c>
      <c r="I348" s="1" t="str">
        <f>TEXT(SalesTable[[#This Row],[Order_Date]],"mmm")</f>
        <v>Dec</v>
      </c>
      <c r="J348" s="1">
        <f>YEAR(SalesTable[[#This Row],[Order_Date]])</f>
        <v>2022</v>
      </c>
      <c r="K348" s="4">
        <v>-49.74</v>
      </c>
      <c r="L348" s="9">
        <f>SalesTable[[#This Row],[Profit]]/SalesTable[[#This Row],[Sales]]</f>
        <v>-7.6526608920411715E-2</v>
      </c>
    </row>
    <row r="349" spans="1:12" ht="14" x14ac:dyDescent="0.15">
      <c r="A349" s="1">
        <v>10348</v>
      </c>
      <c r="B349" s="2">
        <v>44909</v>
      </c>
      <c r="C349" s="1" t="s">
        <v>10</v>
      </c>
      <c r="D349" s="1" t="s">
        <v>13</v>
      </c>
      <c r="E349" s="1" t="s">
        <v>16</v>
      </c>
      <c r="F349" s="1" t="s">
        <v>24</v>
      </c>
      <c r="G349" s="4">
        <v>565.79</v>
      </c>
      <c r="H349" s="1">
        <v>8</v>
      </c>
      <c r="I349" s="1" t="str">
        <f>TEXT(SalesTable[[#This Row],[Order_Date]],"mmm")</f>
        <v>Dec</v>
      </c>
      <c r="J349" s="1">
        <f>YEAR(SalesTable[[#This Row],[Order_Date]])</f>
        <v>2022</v>
      </c>
      <c r="K349" s="4">
        <v>-44.65</v>
      </c>
      <c r="L349" s="9">
        <f>SalesTable[[#This Row],[Profit]]/SalesTable[[#This Row],[Sales]]</f>
        <v>-7.8916205659343569E-2</v>
      </c>
    </row>
    <row r="350" spans="1:12" ht="14" x14ac:dyDescent="0.15">
      <c r="A350" s="1">
        <v>10349</v>
      </c>
      <c r="B350" s="2">
        <v>44910</v>
      </c>
      <c r="C350" s="1" t="s">
        <v>10</v>
      </c>
      <c r="D350" s="1" t="s">
        <v>15</v>
      </c>
      <c r="E350" s="1" t="s">
        <v>17</v>
      </c>
      <c r="F350" s="1" t="s">
        <v>22</v>
      </c>
      <c r="G350" s="4">
        <v>172.91</v>
      </c>
      <c r="H350" s="1">
        <v>9</v>
      </c>
      <c r="I350" s="1" t="str">
        <f>TEXT(SalesTable[[#This Row],[Order_Date]],"mmm")</f>
        <v>Dec</v>
      </c>
      <c r="J350" s="1">
        <f>YEAR(SalesTable[[#This Row],[Order_Date]])</f>
        <v>2022</v>
      </c>
      <c r="K350" s="4">
        <v>199.26</v>
      </c>
      <c r="L350" s="9">
        <f>SalesTable[[#This Row],[Profit]]/SalesTable[[#This Row],[Sales]]</f>
        <v>1.1523914175004337</v>
      </c>
    </row>
    <row r="351" spans="1:12" ht="14" x14ac:dyDescent="0.15">
      <c r="A351" s="1">
        <v>10350</v>
      </c>
      <c r="B351" s="2">
        <v>44911</v>
      </c>
      <c r="C351" s="1" t="s">
        <v>9</v>
      </c>
      <c r="D351" s="1" t="s">
        <v>15</v>
      </c>
      <c r="E351" s="1" t="s">
        <v>18</v>
      </c>
      <c r="F351" s="1" t="s">
        <v>24</v>
      </c>
      <c r="G351" s="4">
        <v>407.03</v>
      </c>
      <c r="H351" s="1">
        <v>6</v>
      </c>
      <c r="I351" s="1" t="str">
        <f>TEXT(SalesTable[[#This Row],[Order_Date]],"mmm")</f>
        <v>Dec</v>
      </c>
      <c r="J351" s="1">
        <f>YEAR(SalesTable[[#This Row],[Order_Date]])</f>
        <v>2022</v>
      </c>
      <c r="K351" s="4">
        <v>87.86</v>
      </c>
      <c r="L351" s="9">
        <f>SalesTable[[#This Row],[Profit]]/SalesTable[[#This Row],[Sales]]</f>
        <v>0.21585632508660296</v>
      </c>
    </row>
    <row r="352" spans="1:12" ht="14" x14ac:dyDescent="0.15">
      <c r="A352" s="1">
        <v>10351</v>
      </c>
      <c r="B352" s="2">
        <v>44912</v>
      </c>
      <c r="C352" s="1" t="s">
        <v>10</v>
      </c>
      <c r="D352" s="1" t="s">
        <v>13</v>
      </c>
      <c r="E352" s="1" t="s">
        <v>17</v>
      </c>
      <c r="F352" s="1" t="s">
        <v>22</v>
      </c>
      <c r="G352" s="4">
        <v>144.19</v>
      </c>
      <c r="H352" s="1">
        <v>2</v>
      </c>
      <c r="I352" s="1" t="str">
        <f>TEXT(SalesTable[[#This Row],[Order_Date]],"mmm")</f>
        <v>Dec</v>
      </c>
      <c r="J352" s="1">
        <f>YEAR(SalesTable[[#This Row],[Order_Date]])</f>
        <v>2022</v>
      </c>
      <c r="K352" s="4">
        <v>213.17</v>
      </c>
      <c r="L352" s="9">
        <f>SalesTable[[#This Row],[Profit]]/SalesTable[[#This Row],[Sales]]</f>
        <v>1.4783965600943199</v>
      </c>
    </row>
    <row r="353" spans="1:12" ht="14" x14ac:dyDescent="0.15">
      <c r="A353" s="1">
        <v>10352</v>
      </c>
      <c r="B353" s="2">
        <v>44913</v>
      </c>
      <c r="C353" s="1" t="s">
        <v>11</v>
      </c>
      <c r="D353" s="1" t="s">
        <v>13</v>
      </c>
      <c r="E353" s="1" t="s">
        <v>19</v>
      </c>
      <c r="F353" s="1" t="s">
        <v>24</v>
      </c>
      <c r="G353" s="4">
        <v>641.80999999999995</v>
      </c>
      <c r="H353" s="1">
        <v>2</v>
      </c>
      <c r="I353" s="1" t="str">
        <f>TEXT(SalesTable[[#This Row],[Order_Date]],"mmm")</f>
        <v>Dec</v>
      </c>
      <c r="J353" s="1">
        <f>YEAR(SalesTable[[#This Row],[Order_Date]])</f>
        <v>2022</v>
      </c>
      <c r="K353" s="4">
        <v>198.5</v>
      </c>
      <c r="L353" s="9">
        <f>SalesTable[[#This Row],[Profit]]/SalesTable[[#This Row],[Sales]]</f>
        <v>0.30928156307941607</v>
      </c>
    </row>
    <row r="354" spans="1:12" ht="14" x14ac:dyDescent="0.15">
      <c r="A354" s="1">
        <v>10353</v>
      </c>
      <c r="B354" s="2">
        <v>44914</v>
      </c>
      <c r="C354" s="1" t="s">
        <v>11</v>
      </c>
      <c r="D354" s="1" t="s">
        <v>15</v>
      </c>
      <c r="E354" s="1" t="s">
        <v>20</v>
      </c>
      <c r="F354" s="1" t="s">
        <v>22</v>
      </c>
      <c r="G354" s="4">
        <v>474.53</v>
      </c>
      <c r="H354" s="1">
        <v>4</v>
      </c>
      <c r="I354" s="1" t="str">
        <f>TEXT(SalesTable[[#This Row],[Order_Date]],"mmm")</f>
        <v>Dec</v>
      </c>
      <c r="J354" s="1">
        <f>YEAR(SalesTable[[#This Row],[Order_Date]])</f>
        <v>2022</v>
      </c>
      <c r="K354" s="4">
        <v>141.85</v>
      </c>
      <c r="L354" s="9">
        <f>SalesTable[[#This Row],[Profit]]/SalesTable[[#This Row],[Sales]]</f>
        <v>0.29892735970328538</v>
      </c>
    </row>
    <row r="355" spans="1:12" ht="14" x14ac:dyDescent="0.15">
      <c r="A355" s="1">
        <v>10354</v>
      </c>
      <c r="B355" s="2">
        <v>44915</v>
      </c>
      <c r="C355" s="1" t="s">
        <v>10</v>
      </c>
      <c r="D355" s="1" t="s">
        <v>14</v>
      </c>
      <c r="E355" s="1" t="s">
        <v>17</v>
      </c>
      <c r="F355" s="1" t="s">
        <v>25</v>
      </c>
      <c r="G355" s="4">
        <v>789.09</v>
      </c>
      <c r="H355" s="1">
        <v>9</v>
      </c>
      <c r="I355" s="1" t="str">
        <f>TEXT(SalesTable[[#This Row],[Order_Date]],"mmm")</f>
        <v>Dec</v>
      </c>
      <c r="J355" s="1">
        <f>YEAR(SalesTable[[#This Row],[Order_Date]])</f>
        <v>2022</v>
      </c>
      <c r="K355" s="4">
        <v>174.55</v>
      </c>
      <c r="L355" s="9">
        <f>SalesTable[[#This Row],[Profit]]/SalesTable[[#This Row],[Sales]]</f>
        <v>0.22120417189420727</v>
      </c>
    </row>
    <row r="356" spans="1:12" ht="14" x14ac:dyDescent="0.15">
      <c r="A356" s="1">
        <v>10355</v>
      </c>
      <c r="B356" s="2">
        <v>44916</v>
      </c>
      <c r="C356" s="1" t="s">
        <v>10</v>
      </c>
      <c r="D356" s="1" t="s">
        <v>14</v>
      </c>
      <c r="E356" s="1" t="s">
        <v>18</v>
      </c>
      <c r="F356" s="1" t="s">
        <v>25</v>
      </c>
      <c r="G356" s="4">
        <v>259.45</v>
      </c>
      <c r="H356" s="1">
        <v>7</v>
      </c>
      <c r="I356" s="1" t="str">
        <f>TEXT(SalesTable[[#This Row],[Order_Date]],"mmm")</f>
        <v>Dec</v>
      </c>
      <c r="J356" s="1">
        <f>YEAR(SalesTable[[#This Row],[Order_Date]])</f>
        <v>2022</v>
      </c>
      <c r="K356" s="4">
        <v>-92.66</v>
      </c>
      <c r="L356" s="9">
        <f>SalesTable[[#This Row],[Profit]]/SalesTable[[#This Row],[Sales]]</f>
        <v>-0.3571401040662941</v>
      </c>
    </row>
    <row r="357" spans="1:12" ht="14" x14ac:dyDescent="0.15">
      <c r="A357" s="1">
        <v>10356</v>
      </c>
      <c r="B357" s="2">
        <v>44917</v>
      </c>
      <c r="C357" s="1" t="s">
        <v>9</v>
      </c>
      <c r="D357" s="1" t="s">
        <v>13</v>
      </c>
      <c r="E357" s="1" t="s">
        <v>19</v>
      </c>
      <c r="F357" s="1" t="s">
        <v>21</v>
      </c>
      <c r="G357" s="4">
        <v>206.34</v>
      </c>
      <c r="H357" s="1">
        <v>2</v>
      </c>
      <c r="I357" s="1" t="str">
        <f>TEXT(SalesTable[[#This Row],[Order_Date]],"mmm")</f>
        <v>Dec</v>
      </c>
      <c r="J357" s="1">
        <f>YEAR(SalesTable[[#This Row],[Order_Date]])</f>
        <v>2022</v>
      </c>
      <c r="K357" s="4">
        <v>24.71</v>
      </c>
      <c r="L357" s="9">
        <f>SalesTable[[#This Row],[Profit]]/SalesTable[[#This Row],[Sales]]</f>
        <v>0.11975380440050402</v>
      </c>
    </row>
    <row r="358" spans="1:12" ht="14" x14ac:dyDescent="0.15">
      <c r="A358" s="1">
        <v>10357</v>
      </c>
      <c r="B358" s="2">
        <v>44918</v>
      </c>
      <c r="C358" s="1" t="s">
        <v>12</v>
      </c>
      <c r="D358" s="1" t="s">
        <v>14</v>
      </c>
      <c r="E358" s="1" t="s">
        <v>16</v>
      </c>
      <c r="F358" s="1" t="s">
        <v>22</v>
      </c>
      <c r="G358" s="4">
        <v>436.02</v>
      </c>
      <c r="H358" s="1">
        <v>8</v>
      </c>
      <c r="I358" s="1" t="str">
        <f>TEXT(SalesTable[[#This Row],[Order_Date]],"mmm")</f>
        <v>Dec</v>
      </c>
      <c r="J358" s="1">
        <f>YEAR(SalesTable[[#This Row],[Order_Date]])</f>
        <v>2022</v>
      </c>
      <c r="K358" s="4">
        <v>155.13</v>
      </c>
      <c r="L358" s="9">
        <f>SalesTable[[#This Row],[Profit]]/SalesTable[[#This Row],[Sales]]</f>
        <v>0.35578643181505437</v>
      </c>
    </row>
    <row r="359" spans="1:12" ht="14" x14ac:dyDescent="0.15">
      <c r="A359" s="1">
        <v>10358</v>
      </c>
      <c r="B359" s="2">
        <v>44919</v>
      </c>
      <c r="C359" s="1" t="s">
        <v>10</v>
      </c>
      <c r="D359" s="1" t="s">
        <v>15</v>
      </c>
      <c r="E359" s="1" t="s">
        <v>16</v>
      </c>
      <c r="F359" s="1" t="s">
        <v>23</v>
      </c>
      <c r="G359" s="4">
        <v>930.26</v>
      </c>
      <c r="H359" s="1">
        <v>7</v>
      </c>
      <c r="I359" s="1" t="str">
        <f>TEXT(SalesTable[[#This Row],[Order_Date]],"mmm")</f>
        <v>Dec</v>
      </c>
      <c r="J359" s="1">
        <f>YEAR(SalesTable[[#This Row],[Order_Date]])</f>
        <v>2022</v>
      </c>
      <c r="K359" s="4">
        <v>-96.26</v>
      </c>
      <c r="L359" s="9">
        <f>SalesTable[[#This Row],[Profit]]/SalesTable[[#This Row],[Sales]]</f>
        <v>-0.10347644744480039</v>
      </c>
    </row>
    <row r="360" spans="1:12" ht="14" x14ac:dyDescent="0.15">
      <c r="A360" s="1">
        <v>10359</v>
      </c>
      <c r="B360" s="2">
        <v>44920</v>
      </c>
      <c r="C360" s="1" t="s">
        <v>11</v>
      </c>
      <c r="D360" s="1" t="s">
        <v>13</v>
      </c>
      <c r="E360" s="1" t="s">
        <v>18</v>
      </c>
      <c r="F360" s="1" t="s">
        <v>21</v>
      </c>
      <c r="G360" s="4">
        <v>724.9</v>
      </c>
      <c r="H360" s="1">
        <v>9</v>
      </c>
      <c r="I360" s="1" t="str">
        <f>TEXT(SalesTable[[#This Row],[Order_Date]],"mmm")</f>
        <v>Dec</v>
      </c>
      <c r="J360" s="1">
        <f>YEAR(SalesTable[[#This Row],[Order_Date]])</f>
        <v>2022</v>
      </c>
      <c r="K360" s="4">
        <v>-86.81</v>
      </c>
      <c r="L360" s="9">
        <f>SalesTable[[#This Row],[Profit]]/SalesTable[[#This Row],[Sales]]</f>
        <v>-0.11975444888950201</v>
      </c>
    </row>
    <row r="361" spans="1:12" ht="14" x14ac:dyDescent="0.15">
      <c r="A361" s="1">
        <v>10360</v>
      </c>
      <c r="B361" s="2">
        <v>44921</v>
      </c>
      <c r="C361" s="1" t="s">
        <v>9</v>
      </c>
      <c r="D361" s="1" t="s">
        <v>15</v>
      </c>
      <c r="E361" s="1" t="s">
        <v>19</v>
      </c>
      <c r="F361" s="1" t="s">
        <v>25</v>
      </c>
      <c r="G361" s="4">
        <v>447.98</v>
      </c>
      <c r="H361" s="1">
        <v>8</v>
      </c>
      <c r="I361" s="1" t="str">
        <f>TEXT(SalesTable[[#This Row],[Order_Date]],"mmm")</f>
        <v>Dec</v>
      </c>
      <c r="J361" s="1">
        <f>YEAR(SalesTable[[#This Row],[Order_Date]])</f>
        <v>2022</v>
      </c>
      <c r="K361" s="4">
        <v>240.76</v>
      </c>
      <c r="L361" s="9">
        <f>SalesTable[[#This Row],[Profit]]/SalesTable[[#This Row],[Sales]]</f>
        <v>0.53743470690655826</v>
      </c>
    </row>
    <row r="362" spans="1:12" ht="14" x14ac:dyDescent="0.15">
      <c r="A362" s="1">
        <v>10361</v>
      </c>
      <c r="B362" s="2">
        <v>44922</v>
      </c>
      <c r="C362" s="1" t="s">
        <v>10</v>
      </c>
      <c r="D362" s="1" t="s">
        <v>15</v>
      </c>
      <c r="E362" s="1" t="s">
        <v>20</v>
      </c>
      <c r="F362" s="1" t="s">
        <v>22</v>
      </c>
      <c r="G362" s="4">
        <v>541.41</v>
      </c>
      <c r="H362" s="1">
        <v>3</v>
      </c>
      <c r="I362" s="1" t="str">
        <f>TEXT(SalesTable[[#This Row],[Order_Date]],"mmm")</f>
        <v>Dec</v>
      </c>
      <c r="J362" s="1">
        <f>YEAR(SalesTable[[#This Row],[Order_Date]])</f>
        <v>2022</v>
      </c>
      <c r="K362" s="4">
        <v>173.61</v>
      </c>
      <c r="L362" s="9">
        <f>SalesTable[[#This Row],[Profit]]/SalesTable[[#This Row],[Sales]]</f>
        <v>0.32066271402449165</v>
      </c>
    </row>
    <row r="363" spans="1:12" ht="14" x14ac:dyDescent="0.15">
      <c r="A363" s="1">
        <v>10362</v>
      </c>
      <c r="B363" s="2">
        <v>44923</v>
      </c>
      <c r="C363" s="1" t="s">
        <v>11</v>
      </c>
      <c r="D363" s="1" t="s">
        <v>14</v>
      </c>
      <c r="E363" s="1" t="s">
        <v>17</v>
      </c>
      <c r="F363" s="1" t="s">
        <v>24</v>
      </c>
      <c r="G363" s="4">
        <v>130</v>
      </c>
      <c r="H363" s="1">
        <v>1</v>
      </c>
      <c r="I363" s="1" t="str">
        <f>TEXT(SalesTable[[#This Row],[Order_Date]],"mmm")</f>
        <v>Dec</v>
      </c>
      <c r="J363" s="1">
        <f>YEAR(SalesTable[[#This Row],[Order_Date]])</f>
        <v>2022</v>
      </c>
      <c r="K363" s="4">
        <v>6.15</v>
      </c>
      <c r="L363" s="9">
        <f>SalesTable[[#This Row],[Profit]]/SalesTable[[#This Row],[Sales]]</f>
        <v>4.7307692307692308E-2</v>
      </c>
    </row>
    <row r="364" spans="1:12" ht="14" x14ac:dyDescent="0.15">
      <c r="A364" s="1">
        <v>10363</v>
      </c>
      <c r="B364" s="2">
        <v>44924</v>
      </c>
      <c r="C364" s="1" t="s">
        <v>11</v>
      </c>
      <c r="D364" s="1" t="s">
        <v>13</v>
      </c>
      <c r="E364" s="1" t="s">
        <v>19</v>
      </c>
      <c r="F364" s="1" t="s">
        <v>23</v>
      </c>
      <c r="G364" s="4">
        <v>985.35</v>
      </c>
      <c r="H364" s="1">
        <v>2</v>
      </c>
      <c r="I364" s="1" t="str">
        <f>TEXT(SalesTable[[#This Row],[Order_Date]],"mmm")</f>
        <v>Dec</v>
      </c>
      <c r="J364" s="1">
        <f>YEAR(SalesTable[[#This Row],[Order_Date]])</f>
        <v>2022</v>
      </c>
      <c r="K364" s="4">
        <v>175.19</v>
      </c>
      <c r="L364" s="9">
        <f>SalesTable[[#This Row],[Profit]]/SalesTable[[#This Row],[Sales]]</f>
        <v>0.17779469224133557</v>
      </c>
    </row>
    <row r="365" spans="1:12" ht="14" x14ac:dyDescent="0.15">
      <c r="A365" s="1">
        <v>10364</v>
      </c>
      <c r="B365" s="2">
        <v>44925</v>
      </c>
      <c r="C365" s="1" t="s">
        <v>12</v>
      </c>
      <c r="D365" s="1" t="s">
        <v>13</v>
      </c>
      <c r="E365" s="1" t="s">
        <v>16</v>
      </c>
      <c r="F365" s="1" t="s">
        <v>25</v>
      </c>
      <c r="G365" s="4">
        <v>683.09</v>
      </c>
      <c r="H365" s="1">
        <v>2</v>
      </c>
      <c r="I365" s="1" t="str">
        <f>TEXT(SalesTable[[#This Row],[Order_Date]],"mmm")</f>
        <v>Dec</v>
      </c>
      <c r="J365" s="1">
        <f>YEAR(SalesTable[[#This Row],[Order_Date]])</f>
        <v>2022</v>
      </c>
      <c r="K365" s="4">
        <v>216.98</v>
      </c>
      <c r="L365" s="9">
        <f>SalesTable[[#This Row],[Profit]]/SalesTable[[#This Row],[Sales]]</f>
        <v>0.31764481986268278</v>
      </c>
    </row>
    <row r="366" spans="1:12" ht="14" x14ac:dyDescent="0.15">
      <c r="A366" s="1">
        <v>10365</v>
      </c>
      <c r="B366" s="2">
        <v>44926</v>
      </c>
      <c r="C366" s="1" t="s">
        <v>9</v>
      </c>
      <c r="D366" s="1" t="s">
        <v>14</v>
      </c>
      <c r="E366" s="1" t="s">
        <v>18</v>
      </c>
      <c r="F366" s="1" t="s">
        <v>21</v>
      </c>
      <c r="G366" s="4">
        <v>321.13</v>
      </c>
      <c r="H366" s="1">
        <v>4</v>
      </c>
      <c r="I366" s="1" t="str">
        <f>TEXT(SalesTable[[#This Row],[Order_Date]],"mmm")</f>
        <v>Dec</v>
      </c>
      <c r="J366" s="1">
        <f>YEAR(SalesTable[[#This Row],[Order_Date]])</f>
        <v>2022</v>
      </c>
      <c r="K366" s="4">
        <v>22.72</v>
      </c>
      <c r="L366" s="9">
        <f>SalesTable[[#This Row],[Profit]]/SalesTable[[#This Row],[Sales]]</f>
        <v>7.0750163485192905E-2</v>
      </c>
    </row>
    <row r="367" spans="1:12" ht="14" x14ac:dyDescent="0.15">
      <c r="A367" s="1">
        <v>10366</v>
      </c>
      <c r="B367" s="2">
        <v>44927</v>
      </c>
      <c r="C367" s="1" t="s">
        <v>9</v>
      </c>
      <c r="D367" s="1" t="s">
        <v>15</v>
      </c>
      <c r="E367" s="1" t="s">
        <v>18</v>
      </c>
      <c r="F367" s="1" t="s">
        <v>22</v>
      </c>
      <c r="G367" s="4">
        <v>606.52</v>
      </c>
      <c r="H367" s="1">
        <v>6</v>
      </c>
      <c r="I367" s="1" t="str">
        <f>TEXT(SalesTable[[#This Row],[Order_Date]],"mmm")</f>
        <v>Jan</v>
      </c>
      <c r="J367" s="1">
        <f>YEAR(SalesTable[[#This Row],[Order_Date]])</f>
        <v>2023</v>
      </c>
      <c r="K367" s="4">
        <v>-85.59</v>
      </c>
      <c r="L367" s="9">
        <f>SalesTable[[#This Row],[Profit]]/SalesTable[[#This Row],[Sales]]</f>
        <v>-0.14111653366748006</v>
      </c>
    </row>
    <row r="368" spans="1:12" ht="14" x14ac:dyDescent="0.15">
      <c r="A368" s="1">
        <v>10367</v>
      </c>
      <c r="B368" s="2">
        <v>44928</v>
      </c>
      <c r="C368" s="1" t="s">
        <v>12</v>
      </c>
      <c r="D368" s="1" t="s">
        <v>15</v>
      </c>
      <c r="E368" s="1" t="s">
        <v>17</v>
      </c>
      <c r="F368" s="1" t="s">
        <v>23</v>
      </c>
      <c r="G368" s="4">
        <v>154.01</v>
      </c>
      <c r="H368" s="1">
        <v>4</v>
      </c>
      <c r="I368" s="1" t="str">
        <f>TEXT(SalesTable[[#This Row],[Order_Date]],"mmm")</f>
        <v>Jan</v>
      </c>
      <c r="J368" s="1">
        <f>YEAR(SalesTable[[#This Row],[Order_Date]])</f>
        <v>2023</v>
      </c>
      <c r="K368" s="4">
        <v>273.11</v>
      </c>
      <c r="L368" s="9">
        <f>SalesTable[[#This Row],[Profit]]/SalesTable[[#This Row],[Sales]]</f>
        <v>1.7733264073761446</v>
      </c>
    </row>
    <row r="369" spans="1:12" ht="14" x14ac:dyDescent="0.15">
      <c r="A369" s="1">
        <v>10368</v>
      </c>
      <c r="B369" s="2">
        <v>44929</v>
      </c>
      <c r="C369" s="1" t="s">
        <v>12</v>
      </c>
      <c r="D369" s="1" t="s">
        <v>15</v>
      </c>
      <c r="E369" s="1" t="s">
        <v>18</v>
      </c>
      <c r="F369" s="1" t="s">
        <v>22</v>
      </c>
      <c r="G369" s="4">
        <v>967.54</v>
      </c>
      <c r="H369" s="1">
        <v>9</v>
      </c>
      <c r="I369" s="1" t="str">
        <f>TEXT(SalesTable[[#This Row],[Order_Date]],"mmm")</f>
        <v>Jan</v>
      </c>
      <c r="J369" s="1">
        <f>YEAR(SalesTable[[#This Row],[Order_Date]])</f>
        <v>2023</v>
      </c>
      <c r="K369" s="4">
        <v>38.07</v>
      </c>
      <c r="L369" s="9">
        <f>SalesTable[[#This Row],[Profit]]/SalesTable[[#This Row],[Sales]]</f>
        <v>3.9347210451247498E-2</v>
      </c>
    </row>
    <row r="370" spans="1:12" ht="14" x14ac:dyDescent="0.15">
      <c r="A370" s="1">
        <v>10369</v>
      </c>
      <c r="B370" s="2">
        <v>44930</v>
      </c>
      <c r="C370" s="1" t="s">
        <v>9</v>
      </c>
      <c r="D370" s="1" t="s">
        <v>15</v>
      </c>
      <c r="E370" s="1" t="s">
        <v>18</v>
      </c>
      <c r="F370" s="1" t="s">
        <v>24</v>
      </c>
      <c r="G370" s="4">
        <v>216.05</v>
      </c>
      <c r="H370" s="1">
        <v>4</v>
      </c>
      <c r="I370" s="1" t="str">
        <f>TEXT(SalesTable[[#This Row],[Order_Date]],"mmm")</f>
        <v>Jan</v>
      </c>
      <c r="J370" s="1">
        <f>YEAR(SalesTable[[#This Row],[Order_Date]])</f>
        <v>2023</v>
      </c>
      <c r="K370" s="4">
        <v>-57.41</v>
      </c>
      <c r="L370" s="9">
        <f>SalesTable[[#This Row],[Profit]]/SalesTable[[#This Row],[Sales]]</f>
        <v>-0.26572552649849568</v>
      </c>
    </row>
    <row r="371" spans="1:12" ht="14" x14ac:dyDescent="0.15">
      <c r="A371" s="1">
        <v>10370</v>
      </c>
      <c r="B371" s="2">
        <v>44931</v>
      </c>
      <c r="C371" s="1" t="s">
        <v>9</v>
      </c>
      <c r="D371" s="1" t="s">
        <v>13</v>
      </c>
      <c r="E371" s="1" t="s">
        <v>19</v>
      </c>
      <c r="F371" s="1" t="s">
        <v>21</v>
      </c>
      <c r="G371" s="4">
        <v>665.63</v>
      </c>
      <c r="H371" s="1">
        <v>6</v>
      </c>
      <c r="I371" s="1" t="str">
        <f>TEXT(SalesTable[[#This Row],[Order_Date]],"mmm")</f>
        <v>Jan</v>
      </c>
      <c r="J371" s="1">
        <f>YEAR(SalesTable[[#This Row],[Order_Date]])</f>
        <v>2023</v>
      </c>
      <c r="K371" s="4">
        <v>96.74</v>
      </c>
      <c r="L371" s="9">
        <f>SalesTable[[#This Row],[Profit]]/SalesTable[[#This Row],[Sales]]</f>
        <v>0.14533599747607528</v>
      </c>
    </row>
    <row r="372" spans="1:12" ht="14" x14ac:dyDescent="0.15">
      <c r="A372" s="1">
        <v>10371</v>
      </c>
      <c r="B372" s="2">
        <v>44932</v>
      </c>
      <c r="C372" s="1" t="s">
        <v>10</v>
      </c>
      <c r="D372" s="1" t="s">
        <v>13</v>
      </c>
      <c r="E372" s="1" t="s">
        <v>20</v>
      </c>
      <c r="F372" s="1" t="s">
        <v>22</v>
      </c>
      <c r="G372" s="4">
        <v>283.18</v>
      </c>
      <c r="H372" s="1">
        <v>6</v>
      </c>
      <c r="I372" s="1" t="str">
        <f>TEXT(SalesTable[[#This Row],[Order_Date]],"mmm")</f>
        <v>Jan</v>
      </c>
      <c r="J372" s="1">
        <f>YEAR(SalesTable[[#This Row],[Order_Date]])</f>
        <v>2023</v>
      </c>
      <c r="K372" s="4">
        <v>207.39</v>
      </c>
      <c r="L372" s="9">
        <f>SalesTable[[#This Row],[Profit]]/SalesTable[[#This Row],[Sales]]</f>
        <v>0.73236104244650035</v>
      </c>
    </row>
    <row r="373" spans="1:12" ht="14" x14ac:dyDescent="0.15">
      <c r="A373" s="1">
        <v>10372</v>
      </c>
      <c r="B373" s="2">
        <v>44933</v>
      </c>
      <c r="C373" s="1" t="s">
        <v>10</v>
      </c>
      <c r="D373" s="1" t="s">
        <v>14</v>
      </c>
      <c r="E373" s="1" t="s">
        <v>17</v>
      </c>
      <c r="F373" s="1" t="s">
        <v>25</v>
      </c>
      <c r="G373" s="4">
        <v>731.68</v>
      </c>
      <c r="H373" s="1">
        <v>1</v>
      </c>
      <c r="I373" s="1" t="str">
        <f>TEXT(SalesTable[[#This Row],[Order_Date]],"mmm")</f>
        <v>Jan</v>
      </c>
      <c r="J373" s="1">
        <f>YEAR(SalesTable[[#This Row],[Order_Date]])</f>
        <v>2023</v>
      </c>
      <c r="K373" s="4">
        <v>-11.34</v>
      </c>
      <c r="L373" s="9">
        <f>SalesTable[[#This Row],[Profit]]/SalesTable[[#This Row],[Sales]]</f>
        <v>-1.5498578613601575E-2</v>
      </c>
    </row>
    <row r="374" spans="1:12" ht="14" x14ac:dyDescent="0.15">
      <c r="A374" s="1">
        <v>10373</v>
      </c>
      <c r="B374" s="2">
        <v>44934</v>
      </c>
      <c r="C374" s="1" t="s">
        <v>12</v>
      </c>
      <c r="D374" s="1" t="s">
        <v>14</v>
      </c>
      <c r="E374" s="1" t="s">
        <v>19</v>
      </c>
      <c r="F374" s="1" t="s">
        <v>21</v>
      </c>
      <c r="G374" s="4">
        <v>787.98</v>
      </c>
      <c r="H374" s="1">
        <v>8</v>
      </c>
      <c r="I374" s="1" t="str">
        <f>TEXT(SalesTable[[#This Row],[Order_Date]],"mmm")</f>
        <v>Jan</v>
      </c>
      <c r="J374" s="1">
        <f>YEAR(SalesTable[[#This Row],[Order_Date]])</f>
        <v>2023</v>
      </c>
      <c r="K374" s="4">
        <v>7.8</v>
      </c>
      <c r="L374" s="9">
        <f>SalesTable[[#This Row],[Profit]]/SalesTable[[#This Row],[Sales]]</f>
        <v>9.898728394121677E-3</v>
      </c>
    </row>
    <row r="375" spans="1:12" ht="14" x14ac:dyDescent="0.15">
      <c r="A375" s="1">
        <v>10374</v>
      </c>
      <c r="B375" s="2">
        <v>44935</v>
      </c>
      <c r="C375" s="1" t="s">
        <v>10</v>
      </c>
      <c r="D375" s="1" t="s">
        <v>13</v>
      </c>
      <c r="E375" s="1" t="s">
        <v>20</v>
      </c>
      <c r="F375" s="1" t="s">
        <v>25</v>
      </c>
      <c r="G375" s="4">
        <v>689.75</v>
      </c>
      <c r="H375" s="1">
        <v>3</v>
      </c>
      <c r="I375" s="1" t="str">
        <f>TEXT(SalesTable[[#This Row],[Order_Date]],"mmm")</f>
        <v>Jan</v>
      </c>
      <c r="J375" s="1">
        <f>YEAR(SalesTable[[#This Row],[Order_Date]])</f>
        <v>2023</v>
      </c>
      <c r="K375" s="4">
        <v>-2.91</v>
      </c>
      <c r="L375" s="9">
        <f>SalesTable[[#This Row],[Profit]]/SalesTable[[#This Row],[Sales]]</f>
        <v>-4.2189198985139549E-3</v>
      </c>
    </row>
    <row r="376" spans="1:12" ht="14" x14ac:dyDescent="0.15">
      <c r="A376" s="1">
        <v>10375</v>
      </c>
      <c r="B376" s="2">
        <v>44936</v>
      </c>
      <c r="C376" s="1" t="s">
        <v>11</v>
      </c>
      <c r="D376" s="1" t="s">
        <v>13</v>
      </c>
      <c r="E376" s="1" t="s">
        <v>19</v>
      </c>
      <c r="F376" s="1" t="s">
        <v>22</v>
      </c>
      <c r="G376" s="4">
        <v>633.77</v>
      </c>
      <c r="H376" s="1">
        <v>6</v>
      </c>
      <c r="I376" s="1" t="str">
        <f>TEXT(SalesTable[[#This Row],[Order_Date]],"mmm")</f>
        <v>Jan</v>
      </c>
      <c r="J376" s="1">
        <f>YEAR(SalesTable[[#This Row],[Order_Date]])</f>
        <v>2023</v>
      </c>
      <c r="K376" s="4">
        <v>296.67</v>
      </c>
      <c r="L376" s="9">
        <f>SalesTable[[#This Row],[Profit]]/SalesTable[[#This Row],[Sales]]</f>
        <v>0.46810357069599384</v>
      </c>
    </row>
    <row r="377" spans="1:12" ht="14" x14ac:dyDescent="0.15">
      <c r="A377" s="1">
        <v>10376</v>
      </c>
      <c r="B377" s="2">
        <v>44937</v>
      </c>
      <c r="C377" s="1" t="s">
        <v>10</v>
      </c>
      <c r="D377" s="1" t="s">
        <v>15</v>
      </c>
      <c r="E377" s="1" t="s">
        <v>19</v>
      </c>
      <c r="F377" s="1" t="s">
        <v>21</v>
      </c>
      <c r="G377" s="4">
        <v>897.85</v>
      </c>
      <c r="H377" s="1">
        <v>3</v>
      </c>
      <c r="I377" s="1" t="str">
        <f>TEXT(SalesTable[[#This Row],[Order_Date]],"mmm")</f>
        <v>Jan</v>
      </c>
      <c r="J377" s="1">
        <f>YEAR(SalesTable[[#This Row],[Order_Date]])</f>
        <v>2023</v>
      </c>
      <c r="K377" s="4">
        <v>-21.04</v>
      </c>
      <c r="L377" s="9">
        <f>SalesTable[[#This Row],[Profit]]/SalesTable[[#This Row],[Sales]]</f>
        <v>-2.3433758422899145E-2</v>
      </c>
    </row>
    <row r="378" spans="1:12" ht="14" x14ac:dyDescent="0.15">
      <c r="A378" s="1">
        <v>10377</v>
      </c>
      <c r="B378" s="2">
        <v>44938</v>
      </c>
      <c r="C378" s="1" t="s">
        <v>10</v>
      </c>
      <c r="D378" s="1" t="s">
        <v>15</v>
      </c>
      <c r="E378" s="1" t="s">
        <v>18</v>
      </c>
      <c r="F378" s="1" t="s">
        <v>25</v>
      </c>
      <c r="G378" s="4">
        <v>124.7</v>
      </c>
      <c r="H378" s="1">
        <v>2</v>
      </c>
      <c r="I378" s="1" t="str">
        <f>TEXT(SalesTable[[#This Row],[Order_Date]],"mmm")</f>
        <v>Jan</v>
      </c>
      <c r="J378" s="1">
        <f>YEAR(SalesTable[[#This Row],[Order_Date]])</f>
        <v>2023</v>
      </c>
      <c r="K378" s="4">
        <v>130.21</v>
      </c>
      <c r="L378" s="9">
        <f>SalesTable[[#This Row],[Profit]]/SalesTable[[#This Row],[Sales]]</f>
        <v>1.0441860465116279</v>
      </c>
    </row>
    <row r="379" spans="1:12" ht="14" x14ac:dyDescent="0.15">
      <c r="A379" s="1">
        <v>10378</v>
      </c>
      <c r="B379" s="2">
        <v>44939</v>
      </c>
      <c r="C379" s="1" t="s">
        <v>11</v>
      </c>
      <c r="D379" s="1" t="s">
        <v>14</v>
      </c>
      <c r="E379" s="1" t="s">
        <v>20</v>
      </c>
      <c r="F379" s="1" t="s">
        <v>24</v>
      </c>
      <c r="G379" s="4">
        <v>364.37</v>
      </c>
      <c r="H379" s="1">
        <v>5</v>
      </c>
      <c r="I379" s="1" t="str">
        <f>TEXT(SalesTable[[#This Row],[Order_Date]],"mmm")</f>
        <v>Jan</v>
      </c>
      <c r="J379" s="1">
        <f>YEAR(SalesTable[[#This Row],[Order_Date]])</f>
        <v>2023</v>
      </c>
      <c r="K379" s="4">
        <v>270.11</v>
      </c>
      <c r="L379" s="9">
        <f>SalesTable[[#This Row],[Profit]]/SalesTable[[#This Row],[Sales]]</f>
        <v>0.74130691330241238</v>
      </c>
    </row>
    <row r="380" spans="1:12" ht="14" x14ac:dyDescent="0.15">
      <c r="A380" s="1">
        <v>10379</v>
      </c>
      <c r="B380" s="2">
        <v>44940</v>
      </c>
      <c r="C380" s="1" t="s">
        <v>12</v>
      </c>
      <c r="D380" s="1" t="s">
        <v>13</v>
      </c>
      <c r="E380" s="1" t="s">
        <v>17</v>
      </c>
      <c r="F380" s="1" t="s">
        <v>24</v>
      </c>
      <c r="G380" s="4">
        <v>285.87</v>
      </c>
      <c r="H380" s="1">
        <v>1</v>
      </c>
      <c r="I380" s="1" t="str">
        <f>TEXT(SalesTable[[#This Row],[Order_Date]],"mmm")</f>
        <v>Jan</v>
      </c>
      <c r="J380" s="1">
        <f>YEAR(SalesTable[[#This Row],[Order_Date]])</f>
        <v>2023</v>
      </c>
      <c r="K380" s="4">
        <v>-41.24</v>
      </c>
      <c r="L380" s="9">
        <f>SalesTable[[#This Row],[Profit]]/SalesTable[[#This Row],[Sales]]</f>
        <v>-0.14426137754923568</v>
      </c>
    </row>
    <row r="381" spans="1:12" ht="14" x14ac:dyDescent="0.15">
      <c r="A381" s="1">
        <v>10380</v>
      </c>
      <c r="B381" s="2">
        <v>44941</v>
      </c>
      <c r="C381" s="1" t="s">
        <v>11</v>
      </c>
      <c r="D381" s="1" t="s">
        <v>14</v>
      </c>
      <c r="E381" s="1" t="s">
        <v>17</v>
      </c>
      <c r="F381" s="1" t="s">
        <v>22</v>
      </c>
      <c r="G381" s="4">
        <v>988.61</v>
      </c>
      <c r="H381" s="1">
        <v>9</v>
      </c>
      <c r="I381" s="1" t="str">
        <f>TEXT(SalesTable[[#This Row],[Order_Date]],"mmm")</f>
        <v>Jan</v>
      </c>
      <c r="J381" s="1">
        <f>YEAR(SalesTable[[#This Row],[Order_Date]])</f>
        <v>2023</v>
      </c>
      <c r="K381" s="4">
        <v>288.33999999999997</v>
      </c>
      <c r="L381" s="9">
        <f>SalesTable[[#This Row],[Profit]]/SalesTable[[#This Row],[Sales]]</f>
        <v>0.29166203052771061</v>
      </c>
    </row>
    <row r="382" spans="1:12" ht="14" x14ac:dyDescent="0.15">
      <c r="A382" s="1">
        <v>10381</v>
      </c>
      <c r="B382" s="2">
        <v>44942</v>
      </c>
      <c r="C382" s="1" t="s">
        <v>10</v>
      </c>
      <c r="D382" s="1" t="s">
        <v>13</v>
      </c>
      <c r="E382" s="1" t="s">
        <v>20</v>
      </c>
      <c r="F382" s="1" t="s">
        <v>21</v>
      </c>
      <c r="G382" s="4">
        <v>419.92</v>
      </c>
      <c r="H382" s="1">
        <v>7</v>
      </c>
      <c r="I382" s="1" t="str">
        <f>TEXT(SalesTable[[#This Row],[Order_Date]],"mmm")</f>
        <v>Jan</v>
      </c>
      <c r="J382" s="1">
        <f>YEAR(SalesTable[[#This Row],[Order_Date]])</f>
        <v>2023</v>
      </c>
      <c r="K382" s="4">
        <v>278.99</v>
      </c>
      <c r="L382" s="9">
        <f>SalesTable[[#This Row],[Profit]]/SalesTable[[#This Row],[Sales]]</f>
        <v>0.66438845494379883</v>
      </c>
    </row>
    <row r="383" spans="1:12" ht="14" x14ac:dyDescent="0.15">
      <c r="A383" s="1">
        <v>10382</v>
      </c>
      <c r="B383" s="2">
        <v>44943</v>
      </c>
      <c r="C383" s="1" t="s">
        <v>12</v>
      </c>
      <c r="D383" s="1" t="s">
        <v>15</v>
      </c>
      <c r="E383" s="1" t="s">
        <v>18</v>
      </c>
      <c r="F383" s="1" t="s">
        <v>23</v>
      </c>
      <c r="G383" s="4">
        <v>745.98</v>
      </c>
      <c r="H383" s="1">
        <v>3</v>
      </c>
      <c r="I383" s="1" t="str">
        <f>TEXT(SalesTable[[#This Row],[Order_Date]],"mmm")</f>
        <v>Jan</v>
      </c>
      <c r="J383" s="1">
        <f>YEAR(SalesTable[[#This Row],[Order_Date]])</f>
        <v>2023</v>
      </c>
      <c r="K383" s="4">
        <v>253.83</v>
      </c>
      <c r="L383" s="9">
        <f>SalesTable[[#This Row],[Profit]]/SalesTable[[#This Row],[Sales]]</f>
        <v>0.34026381404327194</v>
      </c>
    </row>
    <row r="384" spans="1:12" ht="14" x14ac:dyDescent="0.15">
      <c r="A384" s="1">
        <v>10383</v>
      </c>
      <c r="B384" s="2">
        <v>44944</v>
      </c>
      <c r="C384" s="1" t="s">
        <v>10</v>
      </c>
      <c r="D384" s="1" t="s">
        <v>14</v>
      </c>
      <c r="E384" s="1" t="s">
        <v>16</v>
      </c>
      <c r="F384" s="1" t="s">
        <v>21</v>
      </c>
      <c r="G384" s="4">
        <v>700.49</v>
      </c>
      <c r="H384" s="1">
        <v>4</v>
      </c>
      <c r="I384" s="1" t="str">
        <f>TEXT(SalesTable[[#This Row],[Order_Date]],"mmm")</f>
        <v>Jan</v>
      </c>
      <c r="J384" s="1">
        <f>YEAR(SalesTable[[#This Row],[Order_Date]])</f>
        <v>2023</v>
      </c>
      <c r="K384" s="4">
        <v>-14.18</v>
      </c>
      <c r="L384" s="9">
        <f>SalesTable[[#This Row],[Profit]]/SalesTable[[#This Row],[Sales]]</f>
        <v>-2.0242972776199516E-2</v>
      </c>
    </row>
    <row r="385" spans="1:12" ht="14" x14ac:dyDescent="0.15">
      <c r="A385" s="1">
        <v>10384</v>
      </c>
      <c r="B385" s="2">
        <v>44945</v>
      </c>
      <c r="C385" s="1" t="s">
        <v>11</v>
      </c>
      <c r="D385" s="1" t="s">
        <v>14</v>
      </c>
      <c r="E385" s="1" t="s">
        <v>19</v>
      </c>
      <c r="F385" s="1" t="s">
        <v>24</v>
      </c>
      <c r="G385" s="4">
        <v>251.48</v>
      </c>
      <c r="H385" s="1">
        <v>6</v>
      </c>
      <c r="I385" s="1" t="str">
        <f>TEXT(SalesTable[[#This Row],[Order_Date]],"mmm")</f>
        <v>Jan</v>
      </c>
      <c r="J385" s="1">
        <f>YEAR(SalesTable[[#This Row],[Order_Date]])</f>
        <v>2023</v>
      </c>
      <c r="K385" s="4">
        <v>153.62</v>
      </c>
      <c r="L385" s="9">
        <f>SalesTable[[#This Row],[Profit]]/SalesTable[[#This Row],[Sales]]</f>
        <v>0.61086368697311921</v>
      </c>
    </row>
    <row r="386" spans="1:12" ht="14" x14ac:dyDescent="0.15">
      <c r="A386" s="1">
        <v>10385</v>
      </c>
      <c r="B386" s="2">
        <v>44946</v>
      </c>
      <c r="C386" s="1" t="s">
        <v>11</v>
      </c>
      <c r="D386" s="1" t="s">
        <v>13</v>
      </c>
      <c r="E386" s="1" t="s">
        <v>18</v>
      </c>
      <c r="F386" s="1" t="s">
        <v>25</v>
      </c>
      <c r="G386" s="4">
        <v>277.05</v>
      </c>
      <c r="H386" s="1">
        <v>3</v>
      </c>
      <c r="I386" s="1" t="str">
        <f>TEXT(SalesTable[[#This Row],[Order_Date]],"mmm")</f>
        <v>Jan</v>
      </c>
      <c r="J386" s="1">
        <f>YEAR(SalesTable[[#This Row],[Order_Date]])</f>
        <v>2023</v>
      </c>
      <c r="K386" s="4">
        <v>204.36</v>
      </c>
      <c r="L386" s="9">
        <f>SalesTable[[#This Row],[Profit]]/SalesTable[[#This Row],[Sales]]</f>
        <v>0.73762858689767197</v>
      </c>
    </row>
    <row r="387" spans="1:12" ht="14" x14ac:dyDescent="0.15">
      <c r="A387" s="1">
        <v>10386</v>
      </c>
      <c r="B387" s="2">
        <v>44947</v>
      </c>
      <c r="C387" s="1" t="s">
        <v>10</v>
      </c>
      <c r="D387" s="1" t="s">
        <v>15</v>
      </c>
      <c r="E387" s="1" t="s">
        <v>20</v>
      </c>
      <c r="F387" s="1" t="s">
        <v>23</v>
      </c>
      <c r="G387" s="4">
        <v>317.22000000000003</v>
      </c>
      <c r="H387" s="1">
        <v>7</v>
      </c>
      <c r="I387" s="1" t="str">
        <f>TEXT(SalesTable[[#This Row],[Order_Date]],"mmm")</f>
        <v>Jan</v>
      </c>
      <c r="J387" s="1">
        <f>YEAR(SalesTable[[#This Row],[Order_Date]])</f>
        <v>2023</v>
      </c>
      <c r="K387" s="4">
        <v>294.41000000000003</v>
      </c>
      <c r="L387" s="9">
        <f>SalesTable[[#This Row],[Profit]]/SalesTable[[#This Row],[Sales]]</f>
        <v>0.9280940672088771</v>
      </c>
    </row>
    <row r="388" spans="1:12" ht="14" x14ac:dyDescent="0.15">
      <c r="A388" s="1">
        <v>10387</v>
      </c>
      <c r="B388" s="2">
        <v>44948</v>
      </c>
      <c r="C388" s="1" t="s">
        <v>9</v>
      </c>
      <c r="D388" s="1" t="s">
        <v>14</v>
      </c>
      <c r="E388" s="1" t="s">
        <v>19</v>
      </c>
      <c r="F388" s="1" t="s">
        <v>22</v>
      </c>
      <c r="G388" s="4">
        <v>440.57</v>
      </c>
      <c r="H388" s="1">
        <v>6</v>
      </c>
      <c r="I388" s="1" t="str">
        <f>TEXT(SalesTable[[#This Row],[Order_Date]],"mmm")</f>
        <v>Jan</v>
      </c>
      <c r="J388" s="1">
        <f>YEAR(SalesTable[[#This Row],[Order_Date]])</f>
        <v>2023</v>
      </c>
      <c r="K388" s="4">
        <v>-27.83</v>
      </c>
      <c r="L388" s="9">
        <f>SalesTable[[#This Row],[Profit]]/SalesTable[[#This Row],[Sales]]</f>
        <v>-6.316816850897701E-2</v>
      </c>
    </row>
    <row r="389" spans="1:12" ht="14" x14ac:dyDescent="0.15">
      <c r="A389" s="1">
        <v>10388</v>
      </c>
      <c r="B389" s="2">
        <v>44949</v>
      </c>
      <c r="C389" s="1" t="s">
        <v>9</v>
      </c>
      <c r="D389" s="1" t="s">
        <v>15</v>
      </c>
      <c r="E389" s="1" t="s">
        <v>17</v>
      </c>
      <c r="F389" s="1" t="s">
        <v>23</v>
      </c>
      <c r="G389" s="4">
        <v>272.61</v>
      </c>
      <c r="H389" s="1">
        <v>9</v>
      </c>
      <c r="I389" s="1" t="str">
        <f>TEXT(SalesTable[[#This Row],[Order_Date]],"mmm")</f>
        <v>Jan</v>
      </c>
      <c r="J389" s="1">
        <f>YEAR(SalesTable[[#This Row],[Order_Date]])</f>
        <v>2023</v>
      </c>
      <c r="K389" s="4">
        <v>206.41</v>
      </c>
      <c r="L389" s="9">
        <f>SalesTable[[#This Row],[Profit]]/SalesTable[[#This Row],[Sales]]</f>
        <v>0.75716224643263264</v>
      </c>
    </row>
    <row r="390" spans="1:12" ht="14" x14ac:dyDescent="0.15">
      <c r="A390" s="1">
        <v>10389</v>
      </c>
      <c r="B390" s="2">
        <v>44950</v>
      </c>
      <c r="C390" s="1" t="s">
        <v>11</v>
      </c>
      <c r="D390" s="1" t="s">
        <v>14</v>
      </c>
      <c r="E390" s="1" t="s">
        <v>16</v>
      </c>
      <c r="F390" s="1" t="s">
        <v>22</v>
      </c>
      <c r="G390" s="4">
        <v>68.67</v>
      </c>
      <c r="H390" s="1">
        <v>5</v>
      </c>
      <c r="I390" s="1" t="str">
        <f>TEXT(SalesTable[[#This Row],[Order_Date]],"mmm")</f>
        <v>Jan</v>
      </c>
      <c r="J390" s="1">
        <f>YEAR(SalesTable[[#This Row],[Order_Date]])</f>
        <v>2023</v>
      </c>
      <c r="K390" s="4">
        <v>35.520000000000003</v>
      </c>
      <c r="L390" s="9">
        <f>SalesTable[[#This Row],[Profit]]/SalesTable[[#This Row],[Sales]]</f>
        <v>0.51725644386194847</v>
      </c>
    </row>
    <row r="391" spans="1:12" ht="14" x14ac:dyDescent="0.15">
      <c r="A391" s="1">
        <v>10390</v>
      </c>
      <c r="B391" s="2">
        <v>44951</v>
      </c>
      <c r="C391" s="1" t="s">
        <v>11</v>
      </c>
      <c r="D391" s="1" t="s">
        <v>15</v>
      </c>
      <c r="E391" s="1" t="s">
        <v>17</v>
      </c>
      <c r="F391" s="1" t="s">
        <v>23</v>
      </c>
      <c r="G391" s="4">
        <v>885.42</v>
      </c>
      <c r="H391" s="1">
        <v>4</v>
      </c>
      <c r="I391" s="1" t="str">
        <f>TEXT(SalesTable[[#This Row],[Order_Date]],"mmm")</f>
        <v>Jan</v>
      </c>
      <c r="J391" s="1">
        <f>YEAR(SalesTable[[#This Row],[Order_Date]])</f>
        <v>2023</v>
      </c>
      <c r="K391" s="4">
        <v>-29.75</v>
      </c>
      <c r="L391" s="9">
        <f>SalesTable[[#This Row],[Profit]]/SalesTable[[#This Row],[Sales]]</f>
        <v>-3.3599873506358569E-2</v>
      </c>
    </row>
    <row r="392" spans="1:12" ht="14" x14ac:dyDescent="0.15">
      <c r="A392" s="1">
        <v>10391</v>
      </c>
      <c r="B392" s="2">
        <v>44952</v>
      </c>
      <c r="C392" s="1" t="s">
        <v>9</v>
      </c>
      <c r="D392" s="1" t="s">
        <v>13</v>
      </c>
      <c r="E392" s="1" t="s">
        <v>20</v>
      </c>
      <c r="F392" s="1" t="s">
        <v>22</v>
      </c>
      <c r="G392" s="4">
        <v>967.33</v>
      </c>
      <c r="H392" s="1">
        <v>3</v>
      </c>
      <c r="I392" s="1" t="str">
        <f>TEXT(SalesTable[[#This Row],[Order_Date]],"mmm")</f>
        <v>Jan</v>
      </c>
      <c r="J392" s="1">
        <f>YEAR(SalesTable[[#This Row],[Order_Date]])</f>
        <v>2023</v>
      </c>
      <c r="K392" s="4">
        <v>68.55</v>
      </c>
      <c r="L392" s="9">
        <f>SalesTable[[#This Row],[Profit]]/SalesTable[[#This Row],[Sales]]</f>
        <v>7.0865164938542169E-2</v>
      </c>
    </row>
    <row r="393" spans="1:12" ht="14" x14ac:dyDescent="0.15">
      <c r="A393" s="1">
        <v>10392</v>
      </c>
      <c r="B393" s="2">
        <v>44953</v>
      </c>
      <c r="C393" s="1" t="s">
        <v>9</v>
      </c>
      <c r="D393" s="1" t="s">
        <v>14</v>
      </c>
      <c r="E393" s="1" t="s">
        <v>19</v>
      </c>
      <c r="F393" s="1" t="s">
        <v>22</v>
      </c>
      <c r="G393" s="4">
        <v>374.49</v>
      </c>
      <c r="H393" s="1">
        <v>1</v>
      </c>
      <c r="I393" s="1" t="str">
        <f>TEXT(SalesTable[[#This Row],[Order_Date]],"mmm")</f>
        <v>Jan</v>
      </c>
      <c r="J393" s="1">
        <f>YEAR(SalesTable[[#This Row],[Order_Date]])</f>
        <v>2023</v>
      </c>
      <c r="K393" s="4">
        <v>217.53</v>
      </c>
      <c r="L393" s="9">
        <f>SalesTable[[#This Row],[Profit]]/SalesTable[[#This Row],[Sales]]</f>
        <v>0.58086998317712091</v>
      </c>
    </row>
    <row r="394" spans="1:12" ht="14" x14ac:dyDescent="0.15">
      <c r="A394" s="1">
        <v>10393</v>
      </c>
      <c r="B394" s="2">
        <v>44954</v>
      </c>
      <c r="C394" s="1" t="s">
        <v>10</v>
      </c>
      <c r="D394" s="1" t="s">
        <v>14</v>
      </c>
      <c r="E394" s="1" t="s">
        <v>20</v>
      </c>
      <c r="F394" s="1" t="s">
        <v>23</v>
      </c>
      <c r="G394" s="4">
        <v>371.58</v>
      </c>
      <c r="H394" s="1">
        <v>3</v>
      </c>
      <c r="I394" s="1" t="str">
        <f>TEXT(SalesTable[[#This Row],[Order_Date]],"mmm")</f>
        <v>Jan</v>
      </c>
      <c r="J394" s="1">
        <f>YEAR(SalesTable[[#This Row],[Order_Date]])</f>
        <v>2023</v>
      </c>
      <c r="K394" s="4">
        <v>85.94</v>
      </c>
      <c r="L394" s="9">
        <f>SalesTable[[#This Row],[Profit]]/SalesTable[[#This Row],[Sales]]</f>
        <v>0.23128263092739115</v>
      </c>
    </row>
    <row r="395" spans="1:12" ht="14" x14ac:dyDescent="0.15">
      <c r="A395" s="1">
        <v>10394</v>
      </c>
      <c r="B395" s="2">
        <v>44955</v>
      </c>
      <c r="C395" s="1" t="s">
        <v>10</v>
      </c>
      <c r="D395" s="1" t="s">
        <v>15</v>
      </c>
      <c r="E395" s="1" t="s">
        <v>19</v>
      </c>
      <c r="F395" s="1" t="s">
        <v>23</v>
      </c>
      <c r="G395" s="4">
        <v>56.74</v>
      </c>
      <c r="H395" s="1">
        <v>3</v>
      </c>
      <c r="I395" s="1" t="str">
        <f>TEXT(SalesTable[[#This Row],[Order_Date]],"mmm")</f>
        <v>Jan</v>
      </c>
      <c r="J395" s="1">
        <f>YEAR(SalesTable[[#This Row],[Order_Date]])</f>
        <v>2023</v>
      </c>
      <c r="K395" s="4">
        <v>115.01</v>
      </c>
      <c r="L395" s="9">
        <f>SalesTable[[#This Row],[Profit]]/SalesTable[[#This Row],[Sales]]</f>
        <v>2.0269651039830809</v>
      </c>
    </row>
    <row r="396" spans="1:12" ht="14" x14ac:dyDescent="0.15">
      <c r="A396" s="1">
        <v>10395</v>
      </c>
      <c r="B396" s="2">
        <v>44956</v>
      </c>
      <c r="C396" s="1" t="s">
        <v>9</v>
      </c>
      <c r="D396" s="1" t="s">
        <v>15</v>
      </c>
      <c r="E396" s="1" t="s">
        <v>18</v>
      </c>
      <c r="F396" s="1" t="s">
        <v>22</v>
      </c>
      <c r="G396" s="4">
        <v>696.24</v>
      </c>
      <c r="H396" s="1">
        <v>7</v>
      </c>
      <c r="I396" s="1" t="str">
        <f>TEXT(SalesTable[[#This Row],[Order_Date]],"mmm")</f>
        <v>Jan</v>
      </c>
      <c r="J396" s="1">
        <f>YEAR(SalesTable[[#This Row],[Order_Date]])</f>
        <v>2023</v>
      </c>
      <c r="K396" s="4">
        <v>298.06</v>
      </c>
      <c r="L396" s="9">
        <f>SalesTable[[#This Row],[Profit]]/SalesTable[[#This Row],[Sales]]</f>
        <v>0.42809950591749973</v>
      </c>
    </row>
    <row r="397" spans="1:12" ht="14" x14ac:dyDescent="0.15">
      <c r="A397" s="1">
        <v>10396</v>
      </c>
      <c r="B397" s="2">
        <v>44957</v>
      </c>
      <c r="C397" s="1" t="s">
        <v>10</v>
      </c>
      <c r="D397" s="1" t="s">
        <v>14</v>
      </c>
      <c r="E397" s="1" t="s">
        <v>16</v>
      </c>
      <c r="F397" s="1" t="s">
        <v>24</v>
      </c>
      <c r="G397" s="4">
        <v>834.17</v>
      </c>
      <c r="H397" s="1">
        <v>7</v>
      </c>
      <c r="I397" s="1" t="str">
        <f>TEXT(SalesTable[[#This Row],[Order_Date]],"mmm")</f>
        <v>Jan</v>
      </c>
      <c r="J397" s="1">
        <f>YEAR(SalesTable[[#This Row],[Order_Date]])</f>
        <v>2023</v>
      </c>
      <c r="K397" s="4">
        <v>59.64</v>
      </c>
      <c r="L397" s="9">
        <f>SalesTable[[#This Row],[Profit]]/SalesTable[[#This Row],[Sales]]</f>
        <v>7.1496217797331479E-2</v>
      </c>
    </row>
    <row r="398" spans="1:12" ht="14" x14ac:dyDescent="0.15">
      <c r="A398" s="1">
        <v>10397</v>
      </c>
      <c r="B398" s="2">
        <v>44958</v>
      </c>
      <c r="C398" s="1" t="s">
        <v>10</v>
      </c>
      <c r="D398" s="1" t="s">
        <v>13</v>
      </c>
      <c r="E398" s="1" t="s">
        <v>18</v>
      </c>
      <c r="F398" s="1" t="s">
        <v>23</v>
      </c>
      <c r="G398" s="4">
        <v>189.28</v>
      </c>
      <c r="H398" s="1">
        <v>1</v>
      </c>
      <c r="I398" s="1" t="str">
        <f>TEXT(SalesTable[[#This Row],[Order_Date]],"mmm")</f>
        <v>Feb</v>
      </c>
      <c r="J398" s="1">
        <f>YEAR(SalesTable[[#This Row],[Order_Date]])</f>
        <v>2023</v>
      </c>
      <c r="K398" s="4">
        <v>146.16</v>
      </c>
      <c r="L398" s="9">
        <f>SalesTable[[#This Row],[Profit]]/SalesTable[[#This Row],[Sales]]</f>
        <v>0.77218934911242598</v>
      </c>
    </row>
    <row r="399" spans="1:12" ht="14" x14ac:dyDescent="0.15">
      <c r="A399" s="1">
        <v>10398</v>
      </c>
      <c r="B399" s="2">
        <v>44959</v>
      </c>
      <c r="C399" s="1" t="s">
        <v>12</v>
      </c>
      <c r="D399" s="1" t="s">
        <v>15</v>
      </c>
      <c r="E399" s="1" t="s">
        <v>18</v>
      </c>
      <c r="F399" s="1" t="s">
        <v>21</v>
      </c>
      <c r="G399" s="4">
        <v>201.68</v>
      </c>
      <c r="H399" s="1">
        <v>3</v>
      </c>
      <c r="I399" s="1" t="str">
        <f>TEXT(SalesTable[[#This Row],[Order_Date]],"mmm")</f>
        <v>Feb</v>
      </c>
      <c r="J399" s="1">
        <f>YEAR(SalesTable[[#This Row],[Order_Date]])</f>
        <v>2023</v>
      </c>
      <c r="K399" s="4">
        <v>46.1</v>
      </c>
      <c r="L399" s="9">
        <f>SalesTable[[#This Row],[Profit]]/SalesTable[[#This Row],[Sales]]</f>
        <v>0.22857992859976201</v>
      </c>
    </row>
    <row r="400" spans="1:12" ht="14" x14ac:dyDescent="0.15">
      <c r="A400" s="1">
        <v>10399</v>
      </c>
      <c r="B400" s="2">
        <v>44960</v>
      </c>
      <c r="C400" s="1" t="s">
        <v>10</v>
      </c>
      <c r="D400" s="1" t="s">
        <v>15</v>
      </c>
      <c r="E400" s="1" t="s">
        <v>20</v>
      </c>
      <c r="F400" s="1" t="s">
        <v>25</v>
      </c>
      <c r="G400" s="4">
        <v>800.58</v>
      </c>
      <c r="H400" s="1">
        <v>8</v>
      </c>
      <c r="I400" s="1" t="str">
        <f>TEXT(SalesTable[[#This Row],[Order_Date]],"mmm")</f>
        <v>Feb</v>
      </c>
      <c r="J400" s="1">
        <f>YEAR(SalesTable[[#This Row],[Order_Date]])</f>
        <v>2023</v>
      </c>
      <c r="K400" s="4">
        <v>57.11</v>
      </c>
      <c r="L400" s="9">
        <f>SalesTable[[#This Row],[Profit]]/SalesTable[[#This Row],[Sales]]</f>
        <v>7.133578155837017E-2</v>
      </c>
    </row>
    <row r="401" spans="1:12" ht="14" x14ac:dyDescent="0.15">
      <c r="A401" s="1">
        <v>10400</v>
      </c>
      <c r="B401" s="2">
        <v>44961</v>
      </c>
      <c r="C401" s="1" t="s">
        <v>11</v>
      </c>
      <c r="D401" s="1" t="s">
        <v>15</v>
      </c>
      <c r="E401" s="1" t="s">
        <v>16</v>
      </c>
      <c r="F401" s="1" t="s">
        <v>22</v>
      </c>
      <c r="G401" s="4">
        <v>635.48</v>
      </c>
      <c r="H401" s="1">
        <v>9</v>
      </c>
      <c r="I401" s="1" t="str">
        <f>TEXT(SalesTable[[#This Row],[Order_Date]],"mmm")</f>
        <v>Feb</v>
      </c>
      <c r="J401" s="1">
        <f>YEAR(SalesTable[[#This Row],[Order_Date]])</f>
        <v>2023</v>
      </c>
      <c r="K401" s="4">
        <v>178.26</v>
      </c>
      <c r="L401" s="9">
        <f>SalesTable[[#This Row],[Profit]]/SalesTable[[#This Row],[Sales]]</f>
        <v>0.28051236860326051</v>
      </c>
    </row>
    <row r="402" spans="1:12" ht="14" x14ac:dyDescent="0.15">
      <c r="A402" s="1">
        <v>10401</v>
      </c>
      <c r="B402" s="2">
        <v>44962</v>
      </c>
      <c r="C402" s="1" t="s">
        <v>10</v>
      </c>
      <c r="D402" s="1" t="s">
        <v>14</v>
      </c>
      <c r="E402" s="1" t="s">
        <v>19</v>
      </c>
      <c r="F402" s="1" t="s">
        <v>22</v>
      </c>
      <c r="G402" s="4">
        <v>92.62</v>
      </c>
      <c r="H402" s="1">
        <v>7</v>
      </c>
      <c r="I402" s="1" t="str">
        <f>TEXT(SalesTable[[#This Row],[Order_Date]],"mmm")</f>
        <v>Feb</v>
      </c>
      <c r="J402" s="1">
        <f>YEAR(SalesTable[[#This Row],[Order_Date]])</f>
        <v>2023</v>
      </c>
      <c r="K402" s="4">
        <v>275.14999999999998</v>
      </c>
      <c r="L402" s="9">
        <f>SalesTable[[#This Row],[Profit]]/SalesTable[[#This Row],[Sales]]</f>
        <v>2.9707406607644131</v>
      </c>
    </row>
    <row r="403" spans="1:12" ht="14" x14ac:dyDescent="0.15">
      <c r="A403" s="1">
        <v>10402</v>
      </c>
      <c r="B403" s="2">
        <v>44963</v>
      </c>
      <c r="C403" s="1" t="s">
        <v>10</v>
      </c>
      <c r="D403" s="1" t="s">
        <v>14</v>
      </c>
      <c r="E403" s="1" t="s">
        <v>19</v>
      </c>
      <c r="F403" s="1" t="s">
        <v>25</v>
      </c>
      <c r="G403" s="4">
        <v>641.41999999999996</v>
      </c>
      <c r="H403" s="1">
        <v>7</v>
      </c>
      <c r="I403" s="1" t="str">
        <f>TEXT(SalesTable[[#This Row],[Order_Date]],"mmm")</f>
        <v>Feb</v>
      </c>
      <c r="J403" s="1">
        <f>YEAR(SalesTable[[#This Row],[Order_Date]])</f>
        <v>2023</v>
      </c>
      <c r="K403" s="4">
        <v>116.94</v>
      </c>
      <c r="L403" s="9">
        <f>SalesTable[[#This Row],[Profit]]/SalesTable[[#This Row],[Sales]]</f>
        <v>0.18231424027938015</v>
      </c>
    </row>
    <row r="404" spans="1:12" ht="14" x14ac:dyDescent="0.15">
      <c r="A404" s="1">
        <v>10403</v>
      </c>
      <c r="B404" s="2">
        <v>44964</v>
      </c>
      <c r="C404" s="1" t="s">
        <v>9</v>
      </c>
      <c r="D404" s="1" t="s">
        <v>14</v>
      </c>
      <c r="E404" s="1" t="s">
        <v>17</v>
      </c>
      <c r="F404" s="1" t="s">
        <v>24</v>
      </c>
      <c r="G404" s="4">
        <v>343.47</v>
      </c>
      <c r="H404" s="1">
        <v>8</v>
      </c>
      <c r="I404" s="1" t="str">
        <f>TEXT(SalesTable[[#This Row],[Order_Date]],"mmm")</f>
        <v>Feb</v>
      </c>
      <c r="J404" s="1">
        <f>YEAR(SalesTable[[#This Row],[Order_Date]])</f>
        <v>2023</v>
      </c>
      <c r="K404" s="4">
        <v>207.36</v>
      </c>
      <c r="L404" s="9">
        <f>SalesTable[[#This Row],[Profit]]/SalesTable[[#This Row],[Sales]]</f>
        <v>0.60372084898244383</v>
      </c>
    </row>
    <row r="405" spans="1:12" ht="14" x14ac:dyDescent="0.15">
      <c r="A405" s="1">
        <v>10404</v>
      </c>
      <c r="B405" s="2">
        <v>44965</v>
      </c>
      <c r="C405" s="1" t="s">
        <v>11</v>
      </c>
      <c r="D405" s="1" t="s">
        <v>14</v>
      </c>
      <c r="E405" s="1" t="s">
        <v>19</v>
      </c>
      <c r="F405" s="1" t="s">
        <v>25</v>
      </c>
      <c r="G405" s="4">
        <v>400.29</v>
      </c>
      <c r="H405" s="1">
        <v>6</v>
      </c>
      <c r="I405" s="1" t="str">
        <f>TEXT(SalesTable[[#This Row],[Order_Date]],"mmm")</f>
        <v>Feb</v>
      </c>
      <c r="J405" s="1">
        <f>YEAR(SalesTable[[#This Row],[Order_Date]])</f>
        <v>2023</v>
      </c>
      <c r="K405" s="4">
        <v>-64.319999999999993</v>
      </c>
      <c r="L405" s="9">
        <f>SalesTable[[#This Row],[Profit]]/SalesTable[[#This Row],[Sales]]</f>
        <v>-0.16068350445926702</v>
      </c>
    </row>
    <row r="406" spans="1:12" ht="14" x14ac:dyDescent="0.15">
      <c r="A406" s="1">
        <v>10405</v>
      </c>
      <c r="B406" s="2">
        <v>44966</v>
      </c>
      <c r="C406" s="1" t="s">
        <v>10</v>
      </c>
      <c r="D406" s="1" t="s">
        <v>13</v>
      </c>
      <c r="E406" s="1" t="s">
        <v>20</v>
      </c>
      <c r="F406" s="1" t="s">
        <v>23</v>
      </c>
      <c r="G406" s="4">
        <v>781.24</v>
      </c>
      <c r="H406" s="1">
        <v>3</v>
      </c>
      <c r="I406" s="1" t="str">
        <f>TEXT(SalesTable[[#This Row],[Order_Date]],"mmm")</f>
        <v>Feb</v>
      </c>
      <c r="J406" s="1">
        <f>YEAR(SalesTable[[#This Row],[Order_Date]])</f>
        <v>2023</v>
      </c>
      <c r="K406" s="4">
        <v>-15.54</v>
      </c>
      <c r="L406" s="9">
        <f>SalesTable[[#This Row],[Profit]]/SalesTable[[#This Row],[Sales]]</f>
        <v>-1.9891454610619013E-2</v>
      </c>
    </row>
    <row r="407" spans="1:12" ht="14" x14ac:dyDescent="0.15">
      <c r="A407" s="1">
        <v>10406</v>
      </c>
      <c r="B407" s="2">
        <v>44967</v>
      </c>
      <c r="C407" s="1" t="s">
        <v>10</v>
      </c>
      <c r="D407" s="1" t="s">
        <v>13</v>
      </c>
      <c r="E407" s="1" t="s">
        <v>18</v>
      </c>
      <c r="F407" s="1" t="s">
        <v>25</v>
      </c>
      <c r="G407" s="4">
        <v>820.39</v>
      </c>
      <c r="H407" s="1">
        <v>1</v>
      </c>
      <c r="I407" s="1" t="str">
        <f>TEXT(SalesTable[[#This Row],[Order_Date]],"mmm")</f>
        <v>Feb</v>
      </c>
      <c r="J407" s="1">
        <f>YEAR(SalesTable[[#This Row],[Order_Date]])</f>
        <v>2023</v>
      </c>
      <c r="K407" s="4">
        <v>100.85</v>
      </c>
      <c r="L407" s="9">
        <f>SalesTable[[#This Row],[Profit]]/SalesTable[[#This Row],[Sales]]</f>
        <v>0.12292933848535452</v>
      </c>
    </row>
    <row r="408" spans="1:12" ht="14" x14ac:dyDescent="0.15">
      <c r="A408" s="1">
        <v>10407</v>
      </c>
      <c r="B408" s="2">
        <v>44968</v>
      </c>
      <c r="C408" s="1" t="s">
        <v>12</v>
      </c>
      <c r="D408" s="1" t="s">
        <v>14</v>
      </c>
      <c r="E408" s="1" t="s">
        <v>18</v>
      </c>
      <c r="F408" s="1" t="s">
        <v>22</v>
      </c>
      <c r="G408" s="4">
        <v>430.34</v>
      </c>
      <c r="H408" s="1">
        <v>7</v>
      </c>
      <c r="I408" s="1" t="str">
        <f>TEXT(SalesTable[[#This Row],[Order_Date]],"mmm")</f>
        <v>Feb</v>
      </c>
      <c r="J408" s="1">
        <f>YEAR(SalesTable[[#This Row],[Order_Date]])</f>
        <v>2023</v>
      </c>
      <c r="K408" s="4">
        <v>-92</v>
      </c>
      <c r="L408" s="9">
        <f>SalesTable[[#This Row],[Profit]]/SalesTable[[#This Row],[Sales]]</f>
        <v>-0.21378444950504252</v>
      </c>
    </row>
    <row r="409" spans="1:12" ht="14" x14ac:dyDescent="0.15">
      <c r="A409" s="1">
        <v>10408</v>
      </c>
      <c r="B409" s="2">
        <v>44969</v>
      </c>
      <c r="C409" s="1" t="s">
        <v>10</v>
      </c>
      <c r="D409" s="1" t="s">
        <v>13</v>
      </c>
      <c r="E409" s="1" t="s">
        <v>18</v>
      </c>
      <c r="F409" s="1" t="s">
        <v>25</v>
      </c>
      <c r="G409" s="4">
        <v>949.8</v>
      </c>
      <c r="H409" s="1">
        <v>1</v>
      </c>
      <c r="I409" s="1" t="str">
        <f>TEXT(SalesTable[[#This Row],[Order_Date]],"mmm")</f>
        <v>Feb</v>
      </c>
      <c r="J409" s="1">
        <f>YEAR(SalesTable[[#This Row],[Order_Date]])</f>
        <v>2023</v>
      </c>
      <c r="K409" s="4">
        <v>1.1399999999999999</v>
      </c>
      <c r="L409" s="9">
        <f>SalesTable[[#This Row],[Profit]]/SalesTable[[#This Row],[Sales]]</f>
        <v>1.2002526847757421E-3</v>
      </c>
    </row>
    <row r="410" spans="1:12" ht="14" x14ac:dyDescent="0.15">
      <c r="A410" s="1">
        <v>10409</v>
      </c>
      <c r="B410" s="2">
        <v>44970</v>
      </c>
      <c r="C410" s="1" t="s">
        <v>10</v>
      </c>
      <c r="D410" s="1" t="s">
        <v>15</v>
      </c>
      <c r="E410" s="1" t="s">
        <v>16</v>
      </c>
      <c r="F410" s="1" t="s">
        <v>21</v>
      </c>
      <c r="G410" s="4">
        <v>436.14</v>
      </c>
      <c r="H410" s="1">
        <v>1</v>
      </c>
      <c r="I410" s="1" t="str">
        <f>TEXT(SalesTable[[#This Row],[Order_Date]],"mmm")</f>
        <v>Feb</v>
      </c>
      <c r="J410" s="1">
        <f>YEAR(SalesTable[[#This Row],[Order_Date]])</f>
        <v>2023</v>
      </c>
      <c r="K410" s="4">
        <v>106.96</v>
      </c>
      <c r="L410" s="9">
        <f>SalesTable[[#This Row],[Profit]]/SalesTable[[#This Row],[Sales]]</f>
        <v>0.2452423533727702</v>
      </c>
    </row>
    <row r="411" spans="1:12" ht="14" x14ac:dyDescent="0.15">
      <c r="A411" s="1">
        <v>10410</v>
      </c>
      <c r="B411" s="2">
        <v>44971</v>
      </c>
      <c r="C411" s="1" t="s">
        <v>12</v>
      </c>
      <c r="D411" s="1" t="s">
        <v>15</v>
      </c>
      <c r="E411" s="1" t="s">
        <v>19</v>
      </c>
      <c r="F411" s="1" t="s">
        <v>23</v>
      </c>
      <c r="G411" s="4">
        <v>783.24</v>
      </c>
      <c r="H411" s="1">
        <v>9</v>
      </c>
      <c r="I411" s="1" t="str">
        <f>TEXT(SalesTable[[#This Row],[Order_Date]],"mmm")</f>
        <v>Feb</v>
      </c>
      <c r="J411" s="1">
        <f>YEAR(SalesTable[[#This Row],[Order_Date]])</f>
        <v>2023</v>
      </c>
      <c r="K411" s="4">
        <v>-94.02</v>
      </c>
      <c r="L411" s="9">
        <f>SalesTable[[#This Row],[Profit]]/SalesTable[[#This Row],[Sales]]</f>
        <v>-0.12003983453347632</v>
      </c>
    </row>
    <row r="412" spans="1:12" ht="14" x14ac:dyDescent="0.15">
      <c r="A412" s="1">
        <v>10411</v>
      </c>
      <c r="B412" s="2">
        <v>44972</v>
      </c>
      <c r="C412" s="1" t="s">
        <v>9</v>
      </c>
      <c r="D412" s="1" t="s">
        <v>15</v>
      </c>
      <c r="E412" s="1" t="s">
        <v>20</v>
      </c>
      <c r="F412" s="1" t="s">
        <v>25</v>
      </c>
      <c r="G412" s="4">
        <v>509.68</v>
      </c>
      <c r="H412" s="1">
        <v>7</v>
      </c>
      <c r="I412" s="1" t="str">
        <f>TEXT(SalesTable[[#This Row],[Order_Date]],"mmm")</f>
        <v>Feb</v>
      </c>
      <c r="J412" s="1">
        <f>YEAR(SalesTable[[#This Row],[Order_Date]])</f>
        <v>2023</v>
      </c>
      <c r="K412" s="4">
        <v>5.82</v>
      </c>
      <c r="L412" s="9">
        <f>SalesTable[[#This Row],[Profit]]/SalesTable[[#This Row],[Sales]]</f>
        <v>1.1418929524407472E-2</v>
      </c>
    </row>
    <row r="413" spans="1:12" ht="14" x14ac:dyDescent="0.15">
      <c r="A413" s="1">
        <v>10412</v>
      </c>
      <c r="B413" s="2">
        <v>44973</v>
      </c>
      <c r="C413" s="1" t="s">
        <v>10</v>
      </c>
      <c r="D413" s="1" t="s">
        <v>14</v>
      </c>
      <c r="E413" s="1" t="s">
        <v>16</v>
      </c>
      <c r="F413" s="1" t="s">
        <v>22</v>
      </c>
      <c r="G413" s="4">
        <v>902.66</v>
      </c>
      <c r="H413" s="1">
        <v>4</v>
      </c>
      <c r="I413" s="1" t="str">
        <f>TEXT(SalesTable[[#This Row],[Order_Date]],"mmm")</f>
        <v>Feb</v>
      </c>
      <c r="J413" s="1">
        <f>YEAR(SalesTable[[#This Row],[Order_Date]])</f>
        <v>2023</v>
      </c>
      <c r="K413" s="4">
        <v>105.61</v>
      </c>
      <c r="L413" s="9">
        <f>SalesTable[[#This Row],[Profit]]/SalesTable[[#This Row],[Sales]]</f>
        <v>0.1169986484390579</v>
      </c>
    </row>
    <row r="414" spans="1:12" ht="14" x14ac:dyDescent="0.15">
      <c r="A414" s="1">
        <v>10413</v>
      </c>
      <c r="B414" s="2">
        <v>44974</v>
      </c>
      <c r="C414" s="1" t="s">
        <v>12</v>
      </c>
      <c r="D414" s="1" t="s">
        <v>15</v>
      </c>
      <c r="E414" s="1" t="s">
        <v>17</v>
      </c>
      <c r="F414" s="1" t="s">
        <v>23</v>
      </c>
      <c r="G414" s="4">
        <v>912.37</v>
      </c>
      <c r="H414" s="1">
        <v>6</v>
      </c>
      <c r="I414" s="1" t="str">
        <f>TEXT(SalesTable[[#This Row],[Order_Date]],"mmm")</f>
        <v>Feb</v>
      </c>
      <c r="J414" s="1">
        <f>YEAR(SalesTable[[#This Row],[Order_Date]])</f>
        <v>2023</v>
      </c>
      <c r="K414" s="4">
        <v>129.26</v>
      </c>
      <c r="L414" s="9">
        <f>SalesTable[[#This Row],[Profit]]/SalesTable[[#This Row],[Sales]]</f>
        <v>0.14167497835308043</v>
      </c>
    </row>
    <row r="415" spans="1:12" ht="14" x14ac:dyDescent="0.15">
      <c r="A415" s="1">
        <v>10414</v>
      </c>
      <c r="B415" s="2">
        <v>44975</v>
      </c>
      <c r="C415" s="1" t="s">
        <v>11</v>
      </c>
      <c r="D415" s="1" t="s">
        <v>13</v>
      </c>
      <c r="E415" s="1" t="s">
        <v>20</v>
      </c>
      <c r="F415" s="1" t="s">
        <v>22</v>
      </c>
      <c r="G415" s="4">
        <v>133.05000000000001</v>
      </c>
      <c r="H415" s="1">
        <v>1</v>
      </c>
      <c r="I415" s="1" t="str">
        <f>TEXT(SalesTable[[#This Row],[Order_Date]],"mmm")</f>
        <v>Feb</v>
      </c>
      <c r="J415" s="1">
        <f>YEAR(SalesTable[[#This Row],[Order_Date]])</f>
        <v>2023</v>
      </c>
      <c r="K415" s="4">
        <v>270.3</v>
      </c>
      <c r="L415" s="9">
        <f>SalesTable[[#This Row],[Profit]]/SalesTable[[#This Row],[Sales]]</f>
        <v>2.0315670800450958</v>
      </c>
    </row>
    <row r="416" spans="1:12" ht="14" x14ac:dyDescent="0.15">
      <c r="A416" s="1">
        <v>10415</v>
      </c>
      <c r="B416" s="2">
        <v>44976</v>
      </c>
      <c r="C416" s="1" t="s">
        <v>9</v>
      </c>
      <c r="D416" s="1" t="s">
        <v>14</v>
      </c>
      <c r="E416" s="1" t="s">
        <v>20</v>
      </c>
      <c r="F416" s="1" t="s">
        <v>24</v>
      </c>
      <c r="G416" s="4">
        <v>939.67</v>
      </c>
      <c r="H416" s="1">
        <v>7</v>
      </c>
      <c r="I416" s="1" t="str">
        <f>TEXT(SalesTable[[#This Row],[Order_Date]],"mmm")</f>
        <v>Feb</v>
      </c>
      <c r="J416" s="1">
        <f>YEAR(SalesTable[[#This Row],[Order_Date]])</f>
        <v>2023</v>
      </c>
      <c r="K416" s="4">
        <v>158.13999999999999</v>
      </c>
      <c r="L416" s="9">
        <f>SalesTable[[#This Row],[Profit]]/SalesTable[[#This Row],[Sales]]</f>
        <v>0.16829312418189363</v>
      </c>
    </row>
    <row r="417" spans="1:12" ht="14" x14ac:dyDescent="0.15">
      <c r="A417" s="1">
        <v>10416</v>
      </c>
      <c r="B417" s="2">
        <v>44977</v>
      </c>
      <c r="C417" s="1" t="s">
        <v>11</v>
      </c>
      <c r="D417" s="1" t="s">
        <v>13</v>
      </c>
      <c r="E417" s="1" t="s">
        <v>20</v>
      </c>
      <c r="F417" s="1" t="s">
        <v>21</v>
      </c>
      <c r="G417" s="4">
        <v>834.26</v>
      </c>
      <c r="H417" s="1">
        <v>6</v>
      </c>
      <c r="I417" s="1" t="str">
        <f>TEXT(SalesTable[[#This Row],[Order_Date]],"mmm")</f>
        <v>Feb</v>
      </c>
      <c r="J417" s="1">
        <f>YEAR(SalesTable[[#This Row],[Order_Date]])</f>
        <v>2023</v>
      </c>
      <c r="K417" s="4">
        <v>65.89</v>
      </c>
      <c r="L417" s="9">
        <f>SalesTable[[#This Row],[Profit]]/SalesTable[[#This Row],[Sales]]</f>
        <v>7.8980174046460336E-2</v>
      </c>
    </row>
    <row r="418" spans="1:12" ht="14" x14ac:dyDescent="0.15">
      <c r="A418" s="1">
        <v>10417</v>
      </c>
      <c r="B418" s="2">
        <v>44978</v>
      </c>
      <c r="C418" s="1" t="s">
        <v>11</v>
      </c>
      <c r="D418" s="1" t="s">
        <v>15</v>
      </c>
      <c r="E418" s="1" t="s">
        <v>18</v>
      </c>
      <c r="F418" s="1" t="s">
        <v>24</v>
      </c>
      <c r="G418" s="4">
        <v>801.75</v>
      </c>
      <c r="H418" s="1">
        <v>4</v>
      </c>
      <c r="I418" s="1" t="str">
        <f>TEXT(SalesTable[[#This Row],[Order_Date]],"mmm")</f>
        <v>Feb</v>
      </c>
      <c r="J418" s="1">
        <f>YEAR(SalesTable[[#This Row],[Order_Date]])</f>
        <v>2023</v>
      </c>
      <c r="K418" s="4">
        <v>272.14</v>
      </c>
      <c r="L418" s="9">
        <f>SalesTable[[#This Row],[Profit]]/SalesTable[[#This Row],[Sales]]</f>
        <v>0.33943249142500775</v>
      </c>
    </row>
    <row r="419" spans="1:12" ht="14" x14ac:dyDescent="0.15">
      <c r="A419" s="1">
        <v>10418</v>
      </c>
      <c r="B419" s="2">
        <v>44979</v>
      </c>
      <c r="C419" s="1" t="s">
        <v>12</v>
      </c>
      <c r="D419" s="1" t="s">
        <v>15</v>
      </c>
      <c r="E419" s="1" t="s">
        <v>20</v>
      </c>
      <c r="F419" s="1" t="s">
        <v>21</v>
      </c>
      <c r="G419" s="4">
        <v>240.87</v>
      </c>
      <c r="H419" s="1">
        <v>7</v>
      </c>
      <c r="I419" s="1" t="str">
        <f>TEXT(SalesTable[[#This Row],[Order_Date]],"mmm")</f>
        <v>Feb</v>
      </c>
      <c r="J419" s="1">
        <f>YEAR(SalesTable[[#This Row],[Order_Date]])</f>
        <v>2023</v>
      </c>
      <c r="K419" s="4">
        <v>213.95</v>
      </c>
      <c r="L419" s="9">
        <f>SalesTable[[#This Row],[Profit]]/SalesTable[[#This Row],[Sales]]</f>
        <v>0.88823846888363012</v>
      </c>
    </row>
    <row r="420" spans="1:12" ht="14" x14ac:dyDescent="0.15">
      <c r="A420" s="1">
        <v>10419</v>
      </c>
      <c r="B420" s="2">
        <v>44980</v>
      </c>
      <c r="C420" s="1" t="s">
        <v>10</v>
      </c>
      <c r="D420" s="1" t="s">
        <v>15</v>
      </c>
      <c r="E420" s="1" t="s">
        <v>19</v>
      </c>
      <c r="F420" s="1" t="s">
        <v>25</v>
      </c>
      <c r="G420" s="4">
        <v>814.86</v>
      </c>
      <c r="H420" s="1">
        <v>3</v>
      </c>
      <c r="I420" s="1" t="str">
        <f>TEXT(SalesTable[[#This Row],[Order_Date]],"mmm")</f>
        <v>Feb</v>
      </c>
      <c r="J420" s="1">
        <f>YEAR(SalesTable[[#This Row],[Order_Date]])</f>
        <v>2023</v>
      </c>
      <c r="K420" s="4">
        <v>-20</v>
      </c>
      <c r="L420" s="9">
        <f>SalesTable[[#This Row],[Profit]]/SalesTable[[#This Row],[Sales]]</f>
        <v>-2.4544093463907912E-2</v>
      </c>
    </row>
    <row r="421" spans="1:12" ht="14" x14ac:dyDescent="0.15">
      <c r="A421" s="1">
        <v>10420</v>
      </c>
      <c r="B421" s="2">
        <v>44981</v>
      </c>
      <c r="C421" s="1" t="s">
        <v>12</v>
      </c>
      <c r="D421" s="1" t="s">
        <v>14</v>
      </c>
      <c r="E421" s="1" t="s">
        <v>20</v>
      </c>
      <c r="F421" s="1" t="s">
        <v>23</v>
      </c>
      <c r="G421" s="4">
        <v>857.63</v>
      </c>
      <c r="H421" s="1">
        <v>1</v>
      </c>
      <c r="I421" s="1" t="str">
        <f>TEXT(SalesTable[[#This Row],[Order_Date]],"mmm")</f>
        <v>Feb</v>
      </c>
      <c r="J421" s="1">
        <f>YEAR(SalesTable[[#This Row],[Order_Date]])</f>
        <v>2023</v>
      </c>
      <c r="K421" s="4">
        <v>-47.66</v>
      </c>
      <c r="L421" s="9">
        <f>SalesTable[[#This Row],[Profit]]/SalesTable[[#This Row],[Sales]]</f>
        <v>-5.5571750055385186E-2</v>
      </c>
    </row>
    <row r="422" spans="1:12" ht="14" x14ac:dyDescent="0.15">
      <c r="A422" s="1">
        <v>10421</v>
      </c>
      <c r="B422" s="2">
        <v>44982</v>
      </c>
      <c r="C422" s="1" t="s">
        <v>12</v>
      </c>
      <c r="D422" s="1" t="s">
        <v>13</v>
      </c>
      <c r="E422" s="1" t="s">
        <v>18</v>
      </c>
      <c r="F422" s="1" t="s">
        <v>25</v>
      </c>
      <c r="G422" s="4">
        <v>324.69</v>
      </c>
      <c r="H422" s="1">
        <v>4</v>
      </c>
      <c r="I422" s="1" t="str">
        <f>TEXT(SalesTable[[#This Row],[Order_Date]],"mmm")</f>
        <v>Feb</v>
      </c>
      <c r="J422" s="1">
        <f>YEAR(SalesTable[[#This Row],[Order_Date]])</f>
        <v>2023</v>
      </c>
      <c r="K422" s="4">
        <v>170.32</v>
      </c>
      <c r="L422" s="9">
        <f>SalesTable[[#This Row],[Profit]]/SalesTable[[#This Row],[Sales]]</f>
        <v>0.52456188980258089</v>
      </c>
    </row>
    <row r="423" spans="1:12" ht="14" x14ac:dyDescent="0.15">
      <c r="A423" s="1">
        <v>10422</v>
      </c>
      <c r="B423" s="2">
        <v>44983</v>
      </c>
      <c r="C423" s="1" t="s">
        <v>12</v>
      </c>
      <c r="D423" s="1" t="s">
        <v>14</v>
      </c>
      <c r="E423" s="1" t="s">
        <v>20</v>
      </c>
      <c r="F423" s="1" t="s">
        <v>21</v>
      </c>
      <c r="G423" s="4">
        <v>954.65</v>
      </c>
      <c r="H423" s="1">
        <v>3</v>
      </c>
      <c r="I423" s="1" t="str">
        <f>TEXT(SalesTable[[#This Row],[Order_Date]],"mmm")</f>
        <v>Feb</v>
      </c>
      <c r="J423" s="1">
        <f>YEAR(SalesTable[[#This Row],[Order_Date]])</f>
        <v>2023</v>
      </c>
      <c r="K423" s="4">
        <v>123.95</v>
      </c>
      <c r="L423" s="9">
        <f>SalesTable[[#This Row],[Profit]]/SalesTable[[#This Row],[Sales]]</f>
        <v>0.1298381605824124</v>
      </c>
    </row>
    <row r="424" spans="1:12" ht="14" x14ac:dyDescent="0.15">
      <c r="A424" s="1">
        <v>10423</v>
      </c>
      <c r="B424" s="2">
        <v>44984</v>
      </c>
      <c r="C424" s="1" t="s">
        <v>12</v>
      </c>
      <c r="D424" s="1" t="s">
        <v>14</v>
      </c>
      <c r="E424" s="1" t="s">
        <v>17</v>
      </c>
      <c r="F424" s="1" t="s">
        <v>21</v>
      </c>
      <c r="G424" s="4">
        <v>97.37</v>
      </c>
      <c r="H424" s="1">
        <v>1</v>
      </c>
      <c r="I424" s="1" t="str">
        <f>TEXT(SalesTable[[#This Row],[Order_Date]],"mmm")</f>
        <v>Feb</v>
      </c>
      <c r="J424" s="1">
        <f>YEAR(SalesTable[[#This Row],[Order_Date]])</f>
        <v>2023</v>
      </c>
      <c r="K424" s="4">
        <v>215.87</v>
      </c>
      <c r="L424" s="9">
        <f>SalesTable[[#This Row],[Profit]]/SalesTable[[#This Row],[Sales]]</f>
        <v>2.2170072917736467</v>
      </c>
    </row>
    <row r="425" spans="1:12" ht="14" x14ac:dyDescent="0.15">
      <c r="A425" s="1">
        <v>10424</v>
      </c>
      <c r="B425" s="2">
        <v>44985</v>
      </c>
      <c r="C425" s="1" t="s">
        <v>9</v>
      </c>
      <c r="D425" s="1" t="s">
        <v>15</v>
      </c>
      <c r="E425" s="1" t="s">
        <v>17</v>
      </c>
      <c r="F425" s="1" t="s">
        <v>21</v>
      </c>
      <c r="G425" s="4">
        <v>192.41</v>
      </c>
      <c r="H425" s="1">
        <v>2</v>
      </c>
      <c r="I425" s="1" t="str">
        <f>TEXT(SalesTable[[#This Row],[Order_Date]],"mmm")</f>
        <v>Feb</v>
      </c>
      <c r="J425" s="1">
        <f>YEAR(SalesTable[[#This Row],[Order_Date]])</f>
        <v>2023</v>
      </c>
      <c r="K425" s="4">
        <v>195.52</v>
      </c>
      <c r="L425" s="9">
        <f>SalesTable[[#This Row],[Profit]]/SalesTable[[#This Row],[Sales]]</f>
        <v>1.0161634010706304</v>
      </c>
    </row>
    <row r="426" spans="1:12" ht="14" x14ac:dyDescent="0.15">
      <c r="A426" s="1">
        <v>10425</v>
      </c>
      <c r="B426" s="2">
        <v>44986</v>
      </c>
      <c r="C426" s="1" t="s">
        <v>10</v>
      </c>
      <c r="D426" s="1" t="s">
        <v>14</v>
      </c>
      <c r="E426" s="1" t="s">
        <v>18</v>
      </c>
      <c r="F426" s="1" t="s">
        <v>22</v>
      </c>
      <c r="G426" s="4">
        <v>560.70000000000005</v>
      </c>
      <c r="H426" s="1">
        <v>5</v>
      </c>
      <c r="I426" s="1" t="str">
        <f>TEXT(SalesTable[[#This Row],[Order_Date]],"mmm")</f>
        <v>Mar</v>
      </c>
      <c r="J426" s="1">
        <f>YEAR(SalesTable[[#This Row],[Order_Date]])</f>
        <v>2023</v>
      </c>
      <c r="K426" s="4">
        <v>150.08000000000001</v>
      </c>
      <c r="L426" s="9">
        <f>SalesTable[[#This Row],[Profit]]/SalesTable[[#This Row],[Sales]]</f>
        <v>0.26766541822721596</v>
      </c>
    </row>
    <row r="427" spans="1:12" ht="14" x14ac:dyDescent="0.15">
      <c r="A427" s="1">
        <v>10426</v>
      </c>
      <c r="B427" s="2">
        <v>44987</v>
      </c>
      <c r="C427" s="1" t="s">
        <v>11</v>
      </c>
      <c r="D427" s="1" t="s">
        <v>14</v>
      </c>
      <c r="E427" s="1" t="s">
        <v>19</v>
      </c>
      <c r="F427" s="1" t="s">
        <v>23</v>
      </c>
      <c r="G427" s="4">
        <v>597</v>
      </c>
      <c r="H427" s="1">
        <v>8</v>
      </c>
      <c r="I427" s="1" t="str">
        <f>TEXT(SalesTable[[#This Row],[Order_Date]],"mmm")</f>
        <v>Mar</v>
      </c>
      <c r="J427" s="1">
        <f>YEAR(SalesTable[[#This Row],[Order_Date]])</f>
        <v>2023</v>
      </c>
      <c r="K427" s="4">
        <v>294.55</v>
      </c>
      <c r="L427" s="9">
        <f>SalesTable[[#This Row],[Profit]]/SalesTable[[#This Row],[Sales]]</f>
        <v>0.49338358458961473</v>
      </c>
    </row>
    <row r="428" spans="1:12" ht="14" x14ac:dyDescent="0.15">
      <c r="A428" s="1">
        <v>10427</v>
      </c>
      <c r="B428" s="2">
        <v>44988</v>
      </c>
      <c r="C428" s="1" t="s">
        <v>11</v>
      </c>
      <c r="D428" s="1" t="s">
        <v>15</v>
      </c>
      <c r="E428" s="1" t="s">
        <v>19</v>
      </c>
      <c r="F428" s="1" t="s">
        <v>25</v>
      </c>
      <c r="G428" s="4">
        <v>662.89</v>
      </c>
      <c r="H428" s="1">
        <v>1</v>
      </c>
      <c r="I428" s="1" t="str">
        <f>TEXT(SalesTable[[#This Row],[Order_Date]],"mmm")</f>
        <v>Mar</v>
      </c>
      <c r="J428" s="1">
        <f>YEAR(SalesTable[[#This Row],[Order_Date]])</f>
        <v>2023</v>
      </c>
      <c r="K428" s="4">
        <v>113.44</v>
      </c>
      <c r="L428" s="9">
        <f>SalesTable[[#This Row],[Profit]]/SalesTable[[#This Row],[Sales]]</f>
        <v>0.17112944832475976</v>
      </c>
    </row>
    <row r="429" spans="1:12" ht="14" x14ac:dyDescent="0.15">
      <c r="A429" s="1">
        <v>10428</v>
      </c>
      <c r="B429" s="2">
        <v>44989</v>
      </c>
      <c r="C429" s="1" t="s">
        <v>10</v>
      </c>
      <c r="D429" s="1" t="s">
        <v>14</v>
      </c>
      <c r="E429" s="1" t="s">
        <v>16</v>
      </c>
      <c r="F429" s="1" t="s">
        <v>25</v>
      </c>
      <c r="G429" s="4">
        <v>66.12</v>
      </c>
      <c r="H429" s="1">
        <v>4</v>
      </c>
      <c r="I429" s="1" t="str">
        <f>TEXT(SalesTable[[#This Row],[Order_Date]],"mmm")</f>
        <v>Mar</v>
      </c>
      <c r="J429" s="1">
        <f>YEAR(SalesTable[[#This Row],[Order_Date]])</f>
        <v>2023</v>
      </c>
      <c r="K429" s="4">
        <v>-54.76</v>
      </c>
      <c r="L429" s="9">
        <f>SalesTable[[#This Row],[Profit]]/SalesTable[[#This Row],[Sales]]</f>
        <v>-0.8281911675741076</v>
      </c>
    </row>
    <row r="430" spans="1:12" ht="14" x14ac:dyDescent="0.15">
      <c r="A430" s="1">
        <v>10429</v>
      </c>
      <c r="B430" s="2">
        <v>44990</v>
      </c>
      <c r="C430" s="1" t="s">
        <v>11</v>
      </c>
      <c r="D430" s="1" t="s">
        <v>15</v>
      </c>
      <c r="E430" s="1" t="s">
        <v>18</v>
      </c>
      <c r="F430" s="1" t="s">
        <v>24</v>
      </c>
      <c r="G430" s="4">
        <v>962.35</v>
      </c>
      <c r="H430" s="1">
        <v>4</v>
      </c>
      <c r="I430" s="1" t="str">
        <f>TEXT(SalesTable[[#This Row],[Order_Date]],"mmm")</f>
        <v>Mar</v>
      </c>
      <c r="J430" s="1">
        <f>YEAR(SalesTable[[#This Row],[Order_Date]])</f>
        <v>2023</v>
      </c>
      <c r="K430" s="4">
        <v>231.31</v>
      </c>
      <c r="L430" s="9">
        <f>SalesTable[[#This Row],[Profit]]/SalesTable[[#This Row],[Sales]]</f>
        <v>0.24035953655115083</v>
      </c>
    </row>
    <row r="431" spans="1:12" ht="14" x14ac:dyDescent="0.15">
      <c r="A431" s="1">
        <v>10430</v>
      </c>
      <c r="B431" s="2">
        <v>44991</v>
      </c>
      <c r="C431" s="1" t="s">
        <v>10</v>
      </c>
      <c r="D431" s="1" t="s">
        <v>15</v>
      </c>
      <c r="E431" s="1" t="s">
        <v>20</v>
      </c>
      <c r="F431" s="1" t="s">
        <v>21</v>
      </c>
      <c r="G431" s="4">
        <v>92.36</v>
      </c>
      <c r="H431" s="1">
        <v>5</v>
      </c>
      <c r="I431" s="1" t="str">
        <f>TEXT(SalesTable[[#This Row],[Order_Date]],"mmm")</f>
        <v>Mar</v>
      </c>
      <c r="J431" s="1">
        <f>YEAR(SalesTable[[#This Row],[Order_Date]])</f>
        <v>2023</v>
      </c>
      <c r="K431" s="4">
        <v>0.74</v>
      </c>
      <c r="L431" s="9">
        <f>SalesTable[[#This Row],[Profit]]/SalesTable[[#This Row],[Sales]]</f>
        <v>8.0121264616717196E-3</v>
      </c>
    </row>
    <row r="432" spans="1:12" ht="14" x14ac:dyDescent="0.15">
      <c r="A432" s="1">
        <v>10431</v>
      </c>
      <c r="B432" s="2">
        <v>44992</v>
      </c>
      <c r="C432" s="1" t="s">
        <v>11</v>
      </c>
      <c r="D432" s="1" t="s">
        <v>15</v>
      </c>
      <c r="E432" s="1" t="s">
        <v>18</v>
      </c>
      <c r="F432" s="1" t="s">
        <v>21</v>
      </c>
      <c r="G432" s="4">
        <v>185.91</v>
      </c>
      <c r="H432" s="1">
        <v>7</v>
      </c>
      <c r="I432" s="1" t="str">
        <f>TEXT(SalesTable[[#This Row],[Order_Date]],"mmm")</f>
        <v>Mar</v>
      </c>
      <c r="J432" s="1">
        <f>YEAR(SalesTable[[#This Row],[Order_Date]])</f>
        <v>2023</v>
      </c>
      <c r="K432" s="4">
        <v>210.92</v>
      </c>
      <c r="L432" s="9">
        <f>SalesTable[[#This Row],[Profit]]/SalesTable[[#This Row],[Sales]]</f>
        <v>1.1345274595234254</v>
      </c>
    </row>
    <row r="433" spans="1:12" ht="14" x14ac:dyDescent="0.15">
      <c r="A433" s="1">
        <v>10432</v>
      </c>
      <c r="B433" s="2">
        <v>44993</v>
      </c>
      <c r="C433" s="1" t="s">
        <v>12</v>
      </c>
      <c r="D433" s="1" t="s">
        <v>15</v>
      </c>
      <c r="E433" s="1" t="s">
        <v>16</v>
      </c>
      <c r="F433" s="1" t="s">
        <v>21</v>
      </c>
      <c r="G433" s="4">
        <v>63.31</v>
      </c>
      <c r="H433" s="1">
        <v>8</v>
      </c>
      <c r="I433" s="1" t="str">
        <f>TEXT(SalesTable[[#This Row],[Order_Date]],"mmm")</f>
        <v>Mar</v>
      </c>
      <c r="J433" s="1">
        <f>YEAR(SalesTable[[#This Row],[Order_Date]])</f>
        <v>2023</v>
      </c>
      <c r="K433" s="4">
        <v>282.83999999999997</v>
      </c>
      <c r="L433" s="9">
        <f>SalesTable[[#This Row],[Profit]]/SalesTable[[#This Row],[Sales]]</f>
        <v>4.4675406728794815</v>
      </c>
    </row>
    <row r="434" spans="1:12" ht="14" x14ac:dyDescent="0.15">
      <c r="A434" s="1">
        <v>10433</v>
      </c>
      <c r="B434" s="2">
        <v>44994</v>
      </c>
      <c r="C434" s="1" t="s">
        <v>11</v>
      </c>
      <c r="D434" s="1" t="s">
        <v>14</v>
      </c>
      <c r="E434" s="1" t="s">
        <v>18</v>
      </c>
      <c r="F434" s="1" t="s">
        <v>25</v>
      </c>
      <c r="G434" s="4">
        <v>588.52</v>
      </c>
      <c r="H434" s="1">
        <v>6</v>
      </c>
      <c r="I434" s="1" t="str">
        <f>TEXT(SalesTable[[#This Row],[Order_Date]],"mmm")</f>
        <v>Mar</v>
      </c>
      <c r="J434" s="1">
        <f>YEAR(SalesTable[[#This Row],[Order_Date]])</f>
        <v>2023</v>
      </c>
      <c r="K434" s="4">
        <v>178.72</v>
      </c>
      <c r="L434" s="9">
        <f>SalesTable[[#This Row],[Profit]]/SalesTable[[#This Row],[Sales]]</f>
        <v>0.30367702032216409</v>
      </c>
    </row>
    <row r="435" spans="1:12" ht="14" x14ac:dyDescent="0.15">
      <c r="A435" s="1">
        <v>10434</v>
      </c>
      <c r="B435" s="2">
        <v>44995</v>
      </c>
      <c r="C435" s="1" t="s">
        <v>10</v>
      </c>
      <c r="D435" s="1" t="s">
        <v>15</v>
      </c>
      <c r="E435" s="1" t="s">
        <v>18</v>
      </c>
      <c r="F435" s="1" t="s">
        <v>24</v>
      </c>
      <c r="G435" s="4">
        <v>935.65</v>
      </c>
      <c r="H435" s="1">
        <v>1</v>
      </c>
      <c r="I435" s="1" t="str">
        <f>TEXT(SalesTable[[#This Row],[Order_Date]],"mmm")</f>
        <v>Mar</v>
      </c>
      <c r="J435" s="1">
        <f>YEAR(SalesTable[[#This Row],[Order_Date]])</f>
        <v>2023</v>
      </c>
      <c r="K435" s="4">
        <v>138.41</v>
      </c>
      <c r="L435" s="9">
        <f>SalesTable[[#This Row],[Profit]]/SalesTable[[#This Row],[Sales]]</f>
        <v>0.14792924704750707</v>
      </c>
    </row>
    <row r="436" spans="1:12" ht="14" x14ac:dyDescent="0.15">
      <c r="A436" s="1">
        <v>10435</v>
      </c>
      <c r="B436" s="2">
        <v>44996</v>
      </c>
      <c r="C436" s="1" t="s">
        <v>10</v>
      </c>
      <c r="D436" s="1" t="s">
        <v>15</v>
      </c>
      <c r="E436" s="1" t="s">
        <v>16</v>
      </c>
      <c r="F436" s="1" t="s">
        <v>22</v>
      </c>
      <c r="G436" s="4">
        <v>682.65</v>
      </c>
      <c r="H436" s="1">
        <v>7</v>
      </c>
      <c r="I436" s="1" t="str">
        <f>TEXT(SalesTable[[#This Row],[Order_Date]],"mmm")</f>
        <v>Mar</v>
      </c>
      <c r="J436" s="1">
        <f>YEAR(SalesTable[[#This Row],[Order_Date]])</f>
        <v>2023</v>
      </c>
      <c r="K436" s="4">
        <v>84.15</v>
      </c>
      <c r="L436" s="9">
        <f>SalesTable[[#This Row],[Profit]]/SalesTable[[#This Row],[Sales]]</f>
        <v>0.12326961107448914</v>
      </c>
    </row>
    <row r="437" spans="1:12" ht="14" x14ac:dyDescent="0.15">
      <c r="A437" s="1">
        <v>10436</v>
      </c>
      <c r="B437" s="2">
        <v>44997</v>
      </c>
      <c r="C437" s="1" t="s">
        <v>10</v>
      </c>
      <c r="D437" s="1" t="s">
        <v>14</v>
      </c>
      <c r="E437" s="1" t="s">
        <v>19</v>
      </c>
      <c r="F437" s="1" t="s">
        <v>23</v>
      </c>
      <c r="G437" s="4">
        <v>831.52</v>
      </c>
      <c r="H437" s="1">
        <v>3</v>
      </c>
      <c r="I437" s="1" t="str">
        <f>TEXT(SalesTable[[#This Row],[Order_Date]],"mmm")</f>
        <v>Mar</v>
      </c>
      <c r="J437" s="1">
        <f>YEAR(SalesTable[[#This Row],[Order_Date]])</f>
        <v>2023</v>
      </c>
      <c r="K437" s="4">
        <v>45.76</v>
      </c>
      <c r="L437" s="9">
        <f>SalesTable[[#This Row],[Profit]]/SalesTable[[#This Row],[Sales]]</f>
        <v>5.5031749086011161E-2</v>
      </c>
    </row>
    <row r="438" spans="1:12" ht="14" x14ac:dyDescent="0.15">
      <c r="A438" s="1">
        <v>10437</v>
      </c>
      <c r="B438" s="2">
        <v>44998</v>
      </c>
      <c r="C438" s="1" t="s">
        <v>10</v>
      </c>
      <c r="D438" s="1" t="s">
        <v>14</v>
      </c>
      <c r="E438" s="1" t="s">
        <v>20</v>
      </c>
      <c r="F438" s="1" t="s">
        <v>22</v>
      </c>
      <c r="G438" s="4">
        <v>62.62</v>
      </c>
      <c r="H438" s="1">
        <v>6</v>
      </c>
      <c r="I438" s="1" t="str">
        <f>TEXT(SalesTable[[#This Row],[Order_Date]],"mmm")</f>
        <v>Mar</v>
      </c>
      <c r="J438" s="1">
        <f>YEAR(SalesTable[[#This Row],[Order_Date]])</f>
        <v>2023</v>
      </c>
      <c r="K438" s="4">
        <v>41.2</v>
      </c>
      <c r="L438" s="9">
        <f>SalesTable[[#This Row],[Profit]]/SalesTable[[#This Row],[Sales]]</f>
        <v>0.65793676141807733</v>
      </c>
    </row>
    <row r="439" spans="1:12" ht="14" x14ac:dyDescent="0.15">
      <c r="A439" s="1">
        <v>10438</v>
      </c>
      <c r="B439" s="2">
        <v>44999</v>
      </c>
      <c r="C439" s="1" t="s">
        <v>10</v>
      </c>
      <c r="D439" s="1" t="s">
        <v>13</v>
      </c>
      <c r="E439" s="1" t="s">
        <v>16</v>
      </c>
      <c r="F439" s="1" t="s">
        <v>25</v>
      </c>
      <c r="G439" s="4">
        <v>564.91</v>
      </c>
      <c r="H439" s="1">
        <v>8</v>
      </c>
      <c r="I439" s="1" t="str">
        <f>TEXT(SalesTable[[#This Row],[Order_Date]],"mmm")</f>
        <v>Mar</v>
      </c>
      <c r="J439" s="1">
        <f>YEAR(SalesTable[[#This Row],[Order_Date]])</f>
        <v>2023</v>
      </c>
      <c r="K439" s="4">
        <v>154.55000000000001</v>
      </c>
      <c r="L439" s="9">
        <f>SalesTable[[#This Row],[Profit]]/SalesTable[[#This Row],[Sales]]</f>
        <v>0.27358340266591141</v>
      </c>
    </row>
    <row r="440" spans="1:12" ht="14" x14ac:dyDescent="0.15">
      <c r="A440" s="1">
        <v>10439</v>
      </c>
      <c r="B440" s="2">
        <v>45000</v>
      </c>
      <c r="C440" s="1" t="s">
        <v>9</v>
      </c>
      <c r="D440" s="1" t="s">
        <v>14</v>
      </c>
      <c r="E440" s="1" t="s">
        <v>17</v>
      </c>
      <c r="F440" s="1" t="s">
        <v>21</v>
      </c>
      <c r="G440" s="4">
        <v>486.58</v>
      </c>
      <c r="H440" s="1">
        <v>7</v>
      </c>
      <c r="I440" s="1" t="str">
        <f>TEXT(SalesTable[[#This Row],[Order_Date]],"mmm")</f>
        <v>Mar</v>
      </c>
      <c r="J440" s="1">
        <f>YEAR(SalesTable[[#This Row],[Order_Date]])</f>
        <v>2023</v>
      </c>
      <c r="K440" s="4">
        <v>200.51</v>
      </c>
      <c r="L440" s="9">
        <f>SalesTable[[#This Row],[Profit]]/SalesTable[[#This Row],[Sales]]</f>
        <v>0.41208023346623368</v>
      </c>
    </row>
    <row r="441" spans="1:12" ht="14" x14ac:dyDescent="0.15">
      <c r="A441" s="1">
        <v>10440</v>
      </c>
      <c r="B441" s="2">
        <v>45001</v>
      </c>
      <c r="C441" s="1" t="s">
        <v>9</v>
      </c>
      <c r="D441" s="1" t="s">
        <v>14</v>
      </c>
      <c r="E441" s="1" t="s">
        <v>19</v>
      </c>
      <c r="F441" s="1" t="s">
        <v>23</v>
      </c>
      <c r="G441" s="4">
        <v>524.02</v>
      </c>
      <c r="H441" s="1">
        <v>6</v>
      </c>
      <c r="I441" s="1" t="str">
        <f>TEXT(SalesTable[[#This Row],[Order_Date]],"mmm")</f>
        <v>Mar</v>
      </c>
      <c r="J441" s="1">
        <f>YEAR(SalesTable[[#This Row],[Order_Date]])</f>
        <v>2023</v>
      </c>
      <c r="K441" s="4">
        <v>171.41</v>
      </c>
      <c r="L441" s="9">
        <f>SalesTable[[#This Row],[Profit]]/SalesTable[[#This Row],[Sales]]</f>
        <v>0.32710583565512769</v>
      </c>
    </row>
    <row r="442" spans="1:12" ht="14" x14ac:dyDescent="0.15">
      <c r="A442" s="1">
        <v>10441</v>
      </c>
      <c r="B442" s="2">
        <v>45002</v>
      </c>
      <c r="C442" s="1" t="s">
        <v>11</v>
      </c>
      <c r="D442" s="1" t="s">
        <v>13</v>
      </c>
      <c r="E442" s="1" t="s">
        <v>17</v>
      </c>
      <c r="F442" s="1" t="s">
        <v>25</v>
      </c>
      <c r="G442" s="4">
        <v>118.6</v>
      </c>
      <c r="H442" s="1">
        <v>9</v>
      </c>
      <c r="I442" s="1" t="str">
        <f>TEXT(SalesTable[[#This Row],[Order_Date]],"mmm")</f>
        <v>Mar</v>
      </c>
      <c r="J442" s="1">
        <f>YEAR(SalesTable[[#This Row],[Order_Date]])</f>
        <v>2023</v>
      </c>
      <c r="K442" s="4">
        <v>-20.64</v>
      </c>
      <c r="L442" s="9">
        <f>SalesTable[[#This Row],[Profit]]/SalesTable[[#This Row],[Sales]]</f>
        <v>-0.17403035413153459</v>
      </c>
    </row>
    <row r="443" spans="1:12" ht="14" x14ac:dyDescent="0.15">
      <c r="A443" s="1">
        <v>10442</v>
      </c>
      <c r="B443" s="2">
        <v>45003</v>
      </c>
      <c r="C443" s="1" t="s">
        <v>10</v>
      </c>
      <c r="D443" s="1" t="s">
        <v>14</v>
      </c>
      <c r="E443" s="1" t="s">
        <v>19</v>
      </c>
      <c r="F443" s="1" t="s">
        <v>25</v>
      </c>
      <c r="G443" s="4">
        <v>700.21</v>
      </c>
      <c r="H443" s="1">
        <v>9</v>
      </c>
      <c r="I443" s="1" t="str">
        <f>TEXT(SalesTable[[#This Row],[Order_Date]],"mmm")</f>
        <v>Mar</v>
      </c>
      <c r="J443" s="1">
        <f>YEAR(SalesTable[[#This Row],[Order_Date]])</f>
        <v>2023</v>
      </c>
      <c r="K443" s="4">
        <v>97.59</v>
      </c>
      <c r="L443" s="9">
        <f>SalesTable[[#This Row],[Profit]]/SalesTable[[#This Row],[Sales]]</f>
        <v>0.1393724739720941</v>
      </c>
    </row>
    <row r="444" spans="1:12" ht="14" x14ac:dyDescent="0.15">
      <c r="A444" s="1">
        <v>10443</v>
      </c>
      <c r="B444" s="2">
        <v>45004</v>
      </c>
      <c r="C444" s="1" t="s">
        <v>11</v>
      </c>
      <c r="D444" s="1" t="s">
        <v>14</v>
      </c>
      <c r="E444" s="1" t="s">
        <v>20</v>
      </c>
      <c r="F444" s="1" t="s">
        <v>25</v>
      </c>
      <c r="G444" s="4">
        <v>528.05999999999995</v>
      </c>
      <c r="H444" s="1">
        <v>1</v>
      </c>
      <c r="I444" s="1" t="str">
        <f>TEXT(SalesTable[[#This Row],[Order_Date]],"mmm")</f>
        <v>Mar</v>
      </c>
      <c r="J444" s="1">
        <f>YEAR(SalesTable[[#This Row],[Order_Date]])</f>
        <v>2023</v>
      </c>
      <c r="K444" s="4">
        <v>216.66</v>
      </c>
      <c r="L444" s="9">
        <f>SalesTable[[#This Row],[Profit]]/SalesTable[[#This Row],[Sales]]</f>
        <v>0.41029428474037044</v>
      </c>
    </row>
    <row r="445" spans="1:12" ht="14" x14ac:dyDescent="0.15">
      <c r="A445" s="1">
        <v>10444</v>
      </c>
      <c r="B445" s="2">
        <v>45005</v>
      </c>
      <c r="C445" s="1" t="s">
        <v>10</v>
      </c>
      <c r="D445" s="1" t="s">
        <v>14</v>
      </c>
      <c r="E445" s="1" t="s">
        <v>20</v>
      </c>
      <c r="F445" s="1" t="s">
        <v>23</v>
      </c>
      <c r="G445" s="4">
        <v>776.89</v>
      </c>
      <c r="H445" s="1">
        <v>1</v>
      </c>
      <c r="I445" s="1" t="str">
        <f>TEXT(SalesTable[[#This Row],[Order_Date]],"mmm")</f>
        <v>Mar</v>
      </c>
      <c r="J445" s="1">
        <f>YEAR(SalesTable[[#This Row],[Order_Date]])</f>
        <v>2023</v>
      </c>
      <c r="K445" s="4">
        <v>90.28</v>
      </c>
      <c r="L445" s="9">
        <f>SalesTable[[#This Row],[Profit]]/SalesTable[[#This Row],[Sales]]</f>
        <v>0.11620692762167102</v>
      </c>
    </row>
    <row r="446" spans="1:12" ht="14" x14ac:dyDescent="0.15">
      <c r="A446" s="1">
        <v>10445</v>
      </c>
      <c r="B446" s="2">
        <v>45006</v>
      </c>
      <c r="C446" s="1" t="s">
        <v>10</v>
      </c>
      <c r="D446" s="1" t="s">
        <v>14</v>
      </c>
      <c r="E446" s="1" t="s">
        <v>18</v>
      </c>
      <c r="F446" s="1" t="s">
        <v>23</v>
      </c>
      <c r="G446" s="4">
        <v>511.03</v>
      </c>
      <c r="H446" s="1">
        <v>1</v>
      </c>
      <c r="I446" s="1" t="str">
        <f>TEXT(SalesTable[[#This Row],[Order_Date]],"mmm")</f>
        <v>Mar</v>
      </c>
      <c r="J446" s="1">
        <f>YEAR(SalesTable[[#This Row],[Order_Date]])</f>
        <v>2023</v>
      </c>
      <c r="K446" s="4">
        <v>114.65</v>
      </c>
      <c r="L446" s="9">
        <f>SalesTable[[#This Row],[Profit]]/SalesTable[[#This Row],[Sales]]</f>
        <v>0.22435082089114144</v>
      </c>
    </row>
    <row r="447" spans="1:12" ht="14" x14ac:dyDescent="0.15">
      <c r="A447" s="1">
        <v>10446</v>
      </c>
      <c r="B447" s="2">
        <v>45007</v>
      </c>
      <c r="C447" s="1" t="s">
        <v>9</v>
      </c>
      <c r="D447" s="1" t="s">
        <v>13</v>
      </c>
      <c r="E447" s="1" t="s">
        <v>17</v>
      </c>
      <c r="F447" s="1" t="s">
        <v>24</v>
      </c>
      <c r="G447" s="4">
        <v>191.91</v>
      </c>
      <c r="H447" s="1">
        <v>8</v>
      </c>
      <c r="I447" s="1" t="str">
        <f>TEXT(SalesTable[[#This Row],[Order_Date]],"mmm")</f>
        <v>Mar</v>
      </c>
      <c r="J447" s="1">
        <f>YEAR(SalesTable[[#This Row],[Order_Date]])</f>
        <v>2023</v>
      </c>
      <c r="K447" s="4">
        <v>208.45</v>
      </c>
      <c r="L447" s="9">
        <f>SalesTable[[#This Row],[Profit]]/SalesTable[[#This Row],[Sales]]</f>
        <v>1.0861862331301131</v>
      </c>
    </row>
    <row r="448" spans="1:12" ht="14" x14ac:dyDescent="0.15">
      <c r="A448" s="1">
        <v>10447</v>
      </c>
      <c r="B448" s="2">
        <v>45008</v>
      </c>
      <c r="C448" s="1" t="s">
        <v>9</v>
      </c>
      <c r="D448" s="1" t="s">
        <v>14</v>
      </c>
      <c r="E448" s="1" t="s">
        <v>19</v>
      </c>
      <c r="F448" s="1" t="s">
        <v>24</v>
      </c>
      <c r="G448" s="4">
        <v>665.84</v>
      </c>
      <c r="H448" s="1">
        <v>7</v>
      </c>
      <c r="I448" s="1" t="str">
        <f>TEXT(SalesTable[[#This Row],[Order_Date]],"mmm")</f>
        <v>Mar</v>
      </c>
      <c r="J448" s="1">
        <f>YEAR(SalesTable[[#This Row],[Order_Date]])</f>
        <v>2023</v>
      </c>
      <c r="K448" s="4">
        <v>164.51</v>
      </c>
      <c r="L448" s="9">
        <f>SalesTable[[#This Row],[Profit]]/SalesTable[[#This Row],[Sales]]</f>
        <v>0.24707136849693617</v>
      </c>
    </row>
    <row r="449" spans="1:12" ht="14" x14ac:dyDescent="0.15">
      <c r="A449" s="1">
        <v>10448</v>
      </c>
      <c r="B449" s="2">
        <v>45009</v>
      </c>
      <c r="C449" s="1" t="s">
        <v>12</v>
      </c>
      <c r="D449" s="1" t="s">
        <v>14</v>
      </c>
      <c r="E449" s="1" t="s">
        <v>20</v>
      </c>
      <c r="F449" s="1" t="s">
        <v>22</v>
      </c>
      <c r="G449" s="4">
        <v>213.77</v>
      </c>
      <c r="H449" s="1">
        <v>3</v>
      </c>
      <c r="I449" s="1" t="str">
        <f>TEXT(SalesTable[[#This Row],[Order_Date]],"mmm")</f>
        <v>Mar</v>
      </c>
      <c r="J449" s="1">
        <f>YEAR(SalesTable[[#This Row],[Order_Date]])</f>
        <v>2023</v>
      </c>
      <c r="K449" s="4">
        <v>63.74</v>
      </c>
      <c r="L449" s="9">
        <f>SalesTable[[#This Row],[Profit]]/SalesTable[[#This Row],[Sales]]</f>
        <v>0.29817093137484213</v>
      </c>
    </row>
    <row r="450" spans="1:12" ht="14" x14ac:dyDescent="0.15">
      <c r="A450" s="1">
        <v>10449</v>
      </c>
      <c r="B450" s="2">
        <v>45010</v>
      </c>
      <c r="C450" s="1" t="s">
        <v>9</v>
      </c>
      <c r="D450" s="1" t="s">
        <v>13</v>
      </c>
      <c r="E450" s="1" t="s">
        <v>16</v>
      </c>
      <c r="F450" s="1" t="s">
        <v>23</v>
      </c>
      <c r="G450" s="4">
        <v>878.77</v>
      </c>
      <c r="H450" s="1">
        <v>2</v>
      </c>
      <c r="I450" s="1" t="str">
        <f>TEXT(SalesTable[[#This Row],[Order_Date]],"mmm")</f>
        <v>Mar</v>
      </c>
      <c r="J450" s="1">
        <f>YEAR(SalesTable[[#This Row],[Order_Date]])</f>
        <v>2023</v>
      </c>
      <c r="K450" s="4">
        <v>258.17</v>
      </c>
      <c r="L450" s="9">
        <f>SalesTable[[#This Row],[Profit]]/SalesTable[[#This Row],[Sales]]</f>
        <v>0.29378563219044801</v>
      </c>
    </row>
    <row r="451" spans="1:12" ht="14" x14ac:dyDescent="0.15">
      <c r="A451" s="1">
        <v>10450</v>
      </c>
      <c r="B451" s="2">
        <v>45011</v>
      </c>
      <c r="C451" s="1" t="s">
        <v>12</v>
      </c>
      <c r="D451" s="1" t="s">
        <v>15</v>
      </c>
      <c r="E451" s="1" t="s">
        <v>20</v>
      </c>
      <c r="F451" s="1" t="s">
        <v>23</v>
      </c>
      <c r="G451" s="4">
        <v>632.46</v>
      </c>
      <c r="H451" s="1">
        <v>4</v>
      </c>
      <c r="I451" s="1" t="str">
        <f>TEXT(SalesTable[[#This Row],[Order_Date]],"mmm")</f>
        <v>Mar</v>
      </c>
      <c r="J451" s="1">
        <f>YEAR(SalesTable[[#This Row],[Order_Date]])</f>
        <v>2023</v>
      </c>
      <c r="K451" s="4">
        <v>-34.97</v>
      </c>
      <c r="L451" s="9">
        <f>SalesTable[[#This Row],[Profit]]/SalesTable[[#This Row],[Sales]]</f>
        <v>-5.5292034278847671E-2</v>
      </c>
    </row>
    <row r="452" spans="1:12" ht="14" x14ac:dyDescent="0.15">
      <c r="A452" s="1">
        <v>10451</v>
      </c>
      <c r="B452" s="2">
        <v>45012</v>
      </c>
      <c r="C452" s="1" t="s">
        <v>12</v>
      </c>
      <c r="D452" s="1" t="s">
        <v>13</v>
      </c>
      <c r="E452" s="1" t="s">
        <v>16</v>
      </c>
      <c r="F452" s="1" t="s">
        <v>23</v>
      </c>
      <c r="G452" s="4">
        <v>199.34</v>
      </c>
      <c r="H452" s="1">
        <v>3</v>
      </c>
      <c r="I452" s="1" t="str">
        <f>TEXT(SalesTable[[#This Row],[Order_Date]],"mmm")</f>
        <v>Mar</v>
      </c>
      <c r="J452" s="1">
        <f>YEAR(SalesTable[[#This Row],[Order_Date]])</f>
        <v>2023</v>
      </c>
      <c r="K452" s="4">
        <v>298.20999999999998</v>
      </c>
      <c r="L452" s="9">
        <f>SalesTable[[#This Row],[Profit]]/SalesTable[[#This Row],[Sales]]</f>
        <v>1.495986756295776</v>
      </c>
    </row>
    <row r="453" spans="1:12" ht="14" x14ac:dyDescent="0.15">
      <c r="A453" s="1">
        <v>10452</v>
      </c>
      <c r="B453" s="2">
        <v>45013</v>
      </c>
      <c r="C453" s="1" t="s">
        <v>12</v>
      </c>
      <c r="D453" s="1" t="s">
        <v>15</v>
      </c>
      <c r="E453" s="1" t="s">
        <v>19</v>
      </c>
      <c r="F453" s="1" t="s">
        <v>24</v>
      </c>
      <c r="G453" s="4">
        <v>964.22</v>
      </c>
      <c r="H453" s="1">
        <v>7</v>
      </c>
      <c r="I453" s="1" t="str">
        <f>TEXT(SalesTable[[#This Row],[Order_Date]],"mmm")</f>
        <v>Mar</v>
      </c>
      <c r="J453" s="1">
        <f>YEAR(SalesTable[[#This Row],[Order_Date]])</f>
        <v>2023</v>
      </c>
      <c r="K453" s="4">
        <v>-52.46</v>
      </c>
      <c r="L453" s="9">
        <f>SalesTable[[#This Row],[Profit]]/SalesTable[[#This Row],[Sales]]</f>
        <v>-5.4406670676816496E-2</v>
      </c>
    </row>
    <row r="454" spans="1:12" ht="14" x14ac:dyDescent="0.15">
      <c r="A454" s="1">
        <v>10453</v>
      </c>
      <c r="B454" s="2">
        <v>45014</v>
      </c>
      <c r="C454" s="1" t="s">
        <v>12</v>
      </c>
      <c r="D454" s="1" t="s">
        <v>13</v>
      </c>
      <c r="E454" s="1" t="s">
        <v>20</v>
      </c>
      <c r="F454" s="1" t="s">
        <v>25</v>
      </c>
      <c r="G454" s="4">
        <v>542.45000000000005</v>
      </c>
      <c r="H454" s="1">
        <v>8</v>
      </c>
      <c r="I454" s="1" t="str">
        <f>TEXT(SalesTable[[#This Row],[Order_Date]],"mmm")</f>
        <v>Mar</v>
      </c>
      <c r="J454" s="1">
        <f>YEAR(SalesTable[[#This Row],[Order_Date]])</f>
        <v>2023</v>
      </c>
      <c r="K454" s="4">
        <v>-94.02</v>
      </c>
      <c r="L454" s="9">
        <f>SalesTable[[#This Row],[Profit]]/SalesTable[[#This Row],[Sales]]</f>
        <v>-0.17332473038989765</v>
      </c>
    </row>
    <row r="455" spans="1:12" ht="14" x14ac:dyDescent="0.15">
      <c r="A455" s="1">
        <v>10454</v>
      </c>
      <c r="B455" s="2">
        <v>45015</v>
      </c>
      <c r="C455" s="1" t="s">
        <v>12</v>
      </c>
      <c r="D455" s="1" t="s">
        <v>13</v>
      </c>
      <c r="E455" s="1" t="s">
        <v>20</v>
      </c>
      <c r="F455" s="1" t="s">
        <v>21</v>
      </c>
      <c r="G455" s="4">
        <v>119.25</v>
      </c>
      <c r="H455" s="1">
        <v>6</v>
      </c>
      <c r="I455" s="1" t="str">
        <f>TEXT(SalesTable[[#This Row],[Order_Date]],"mmm")</f>
        <v>Mar</v>
      </c>
      <c r="J455" s="1">
        <f>YEAR(SalesTable[[#This Row],[Order_Date]])</f>
        <v>2023</v>
      </c>
      <c r="K455" s="4">
        <v>256.01</v>
      </c>
      <c r="L455" s="9">
        <f>SalesTable[[#This Row],[Profit]]/SalesTable[[#This Row],[Sales]]</f>
        <v>2.1468343815513626</v>
      </c>
    </row>
    <row r="456" spans="1:12" ht="14" x14ac:dyDescent="0.15">
      <c r="A456" s="1">
        <v>10455</v>
      </c>
      <c r="B456" s="2">
        <v>45016</v>
      </c>
      <c r="C456" s="1" t="s">
        <v>11</v>
      </c>
      <c r="D456" s="1" t="s">
        <v>14</v>
      </c>
      <c r="E456" s="1" t="s">
        <v>19</v>
      </c>
      <c r="F456" s="1" t="s">
        <v>24</v>
      </c>
      <c r="G456" s="4">
        <v>645.49</v>
      </c>
      <c r="H456" s="1">
        <v>3</v>
      </c>
      <c r="I456" s="1" t="str">
        <f>TEXT(SalesTable[[#This Row],[Order_Date]],"mmm")</f>
        <v>Mar</v>
      </c>
      <c r="J456" s="1">
        <f>YEAR(SalesTable[[#This Row],[Order_Date]])</f>
        <v>2023</v>
      </c>
      <c r="K456" s="4">
        <v>-2.02</v>
      </c>
      <c r="L456" s="9">
        <f>SalesTable[[#This Row],[Profit]]/SalesTable[[#This Row],[Sales]]</f>
        <v>-3.1294055678631736E-3</v>
      </c>
    </row>
    <row r="457" spans="1:12" ht="14" x14ac:dyDescent="0.15">
      <c r="A457" s="1">
        <v>10456</v>
      </c>
      <c r="B457" s="2">
        <v>45017</v>
      </c>
      <c r="C457" s="1" t="s">
        <v>9</v>
      </c>
      <c r="D457" s="1" t="s">
        <v>15</v>
      </c>
      <c r="E457" s="1" t="s">
        <v>20</v>
      </c>
      <c r="F457" s="1" t="s">
        <v>23</v>
      </c>
      <c r="G457" s="4">
        <v>290.54000000000002</v>
      </c>
      <c r="H457" s="1">
        <v>6</v>
      </c>
      <c r="I457" s="1" t="str">
        <f>TEXT(SalesTable[[#This Row],[Order_Date]],"mmm")</f>
        <v>Apr</v>
      </c>
      <c r="J457" s="1">
        <f>YEAR(SalesTable[[#This Row],[Order_Date]])</f>
        <v>2023</v>
      </c>
      <c r="K457" s="4">
        <v>191.88</v>
      </c>
      <c r="L457" s="9">
        <f>SalesTable[[#This Row],[Profit]]/SalesTable[[#This Row],[Sales]]</f>
        <v>0.66042541474495764</v>
      </c>
    </row>
    <row r="458" spans="1:12" ht="14" x14ac:dyDescent="0.15">
      <c r="A458" s="1">
        <v>10457</v>
      </c>
      <c r="B458" s="2">
        <v>45018</v>
      </c>
      <c r="C458" s="1" t="s">
        <v>12</v>
      </c>
      <c r="D458" s="1" t="s">
        <v>14</v>
      </c>
      <c r="E458" s="1" t="s">
        <v>16</v>
      </c>
      <c r="F458" s="1" t="s">
        <v>24</v>
      </c>
      <c r="G458" s="4">
        <v>813.51</v>
      </c>
      <c r="H458" s="1">
        <v>2</v>
      </c>
      <c r="I458" s="1" t="str">
        <f>TEXT(SalesTable[[#This Row],[Order_Date]],"mmm")</f>
        <v>Apr</v>
      </c>
      <c r="J458" s="1">
        <f>YEAR(SalesTable[[#This Row],[Order_Date]])</f>
        <v>2023</v>
      </c>
      <c r="K458" s="4">
        <v>224.41</v>
      </c>
      <c r="L458" s="9">
        <f>SalesTable[[#This Row],[Profit]]/SalesTable[[#This Row],[Sales]]</f>
        <v>0.27585401531634524</v>
      </c>
    </row>
    <row r="459" spans="1:12" ht="14" x14ac:dyDescent="0.15">
      <c r="A459" s="1">
        <v>10458</v>
      </c>
      <c r="B459" s="2">
        <v>45019</v>
      </c>
      <c r="C459" s="1" t="s">
        <v>10</v>
      </c>
      <c r="D459" s="1" t="s">
        <v>15</v>
      </c>
      <c r="E459" s="1" t="s">
        <v>20</v>
      </c>
      <c r="F459" s="1" t="s">
        <v>22</v>
      </c>
      <c r="G459" s="4">
        <v>826.93</v>
      </c>
      <c r="H459" s="1">
        <v>7</v>
      </c>
      <c r="I459" s="1" t="str">
        <f>TEXT(SalesTable[[#This Row],[Order_Date]],"mmm")</f>
        <v>Apr</v>
      </c>
      <c r="J459" s="1">
        <f>YEAR(SalesTable[[#This Row],[Order_Date]])</f>
        <v>2023</v>
      </c>
      <c r="K459" s="4">
        <v>243.59</v>
      </c>
      <c r="L459" s="9">
        <f>SalesTable[[#This Row],[Profit]]/SalesTable[[#This Row],[Sales]]</f>
        <v>0.29457148730847837</v>
      </c>
    </row>
    <row r="460" spans="1:12" ht="14" x14ac:dyDescent="0.15">
      <c r="A460" s="1">
        <v>10459</v>
      </c>
      <c r="B460" s="2">
        <v>45020</v>
      </c>
      <c r="C460" s="1" t="s">
        <v>9</v>
      </c>
      <c r="D460" s="1" t="s">
        <v>13</v>
      </c>
      <c r="E460" s="1" t="s">
        <v>17</v>
      </c>
      <c r="F460" s="1" t="s">
        <v>23</v>
      </c>
      <c r="G460" s="4">
        <v>980</v>
      </c>
      <c r="H460" s="1">
        <v>7</v>
      </c>
      <c r="I460" s="1" t="str">
        <f>TEXT(SalesTable[[#This Row],[Order_Date]],"mmm")</f>
        <v>Apr</v>
      </c>
      <c r="J460" s="1">
        <f>YEAR(SalesTable[[#This Row],[Order_Date]])</f>
        <v>2023</v>
      </c>
      <c r="K460" s="4">
        <v>296.64</v>
      </c>
      <c r="L460" s="9">
        <f>SalesTable[[#This Row],[Profit]]/SalesTable[[#This Row],[Sales]]</f>
        <v>0.3026938775510204</v>
      </c>
    </row>
    <row r="461" spans="1:12" ht="14" x14ac:dyDescent="0.15">
      <c r="A461" s="1">
        <v>10460</v>
      </c>
      <c r="B461" s="2">
        <v>45021</v>
      </c>
      <c r="C461" s="1" t="s">
        <v>9</v>
      </c>
      <c r="D461" s="1" t="s">
        <v>13</v>
      </c>
      <c r="E461" s="1" t="s">
        <v>18</v>
      </c>
      <c r="F461" s="1" t="s">
        <v>22</v>
      </c>
      <c r="G461" s="4">
        <v>526.78</v>
      </c>
      <c r="H461" s="1">
        <v>4</v>
      </c>
      <c r="I461" s="1" t="str">
        <f>TEXT(SalesTable[[#This Row],[Order_Date]],"mmm")</f>
        <v>Apr</v>
      </c>
      <c r="J461" s="1">
        <f>YEAR(SalesTable[[#This Row],[Order_Date]])</f>
        <v>2023</v>
      </c>
      <c r="K461" s="4">
        <v>17.62</v>
      </c>
      <c r="L461" s="9">
        <f>SalesTable[[#This Row],[Profit]]/SalesTable[[#This Row],[Sales]]</f>
        <v>3.344849842438969E-2</v>
      </c>
    </row>
    <row r="462" spans="1:12" ht="14" x14ac:dyDescent="0.15">
      <c r="A462" s="1">
        <v>10461</v>
      </c>
      <c r="B462" s="2">
        <v>45022</v>
      </c>
      <c r="C462" s="1" t="s">
        <v>12</v>
      </c>
      <c r="D462" s="1" t="s">
        <v>15</v>
      </c>
      <c r="E462" s="1" t="s">
        <v>16</v>
      </c>
      <c r="F462" s="1" t="s">
        <v>23</v>
      </c>
      <c r="G462" s="4">
        <v>482.21</v>
      </c>
      <c r="H462" s="1">
        <v>8</v>
      </c>
      <c r="I462" s="1" t="str">
        <f>TEXT(SalesTable[[#This Row],[Order_Date]],"mmm")</f>
        <v>Apr</v>
      </c>
      <c r="J462" s="1">
        <f>YEAR(SalesTable[[#This Row],[Order_Date]])</f>
        <v>2023</v>
      </c>
      <c r="K462" s="4">
        <v>184.1</v>
      </c>
      <c r="L462" s="9">
        <f>SalesTable[[#This Row],[Profit]]/SalesTable[[#This Row],[Sales]]</f>
        <v>0.38178387009809006</v>
      </c>
    </row>
    <row r="463" spans="1:12" ht="14" x14ac:dyDescent="0.15">
      <c r="A463" s="1">
        <v>10462</v>
      </c>
      <c r="B463" s="2">
        <v>45023</v>
      </c>
      <c r="C463" s="1" t="s">
        <v>11</v>
      </c>
      <c r="D463" s="1" t="s">
        <v>14</v>
      </c>
      <c r="E463" s="1" t="s">
        <v>17</v>
      </c>
      <c r="F463" s="1" t="s">
        <v>24</v>
      </c>
      <c r="G463" s="4">
        <v>765.8</v>
      </c>
      <c r="H463" s="1">
        <v>4</v>
      </c>
      <c r="I463" s="1" t="str">
        <f>TEXT(SalesTable[[#This Row],[Order_Date]],"mmm")</f>
        <v>Apr</v>
      </c>
      <c r="J463" s="1">
        <f>YEAR(SalesTable[[#This Row],[Order_Date]])</f>
        <v>2023</v>
      </c>
      <c r="K463" s="4">
        <v>-53.84</v>
      </c>
      <c r="L463" s="9">
        <f>SalesTable[[#This Row],[Profit]]/SalesTable[[#This Row],[Sales]]</f>
        <v>-7.0305562810133199E-2</v>
      </c>
    </row>
    <row r="464" spans="1:12" ht="14" x14ac:dyDescent="0.15">
      <c r="A464" s="1">
        <v>10463</v>
      </c>
      <c r="B464" s="2">
        <v>45024</v>
      </c>
      <c r="C464" s="1" t="s">
        <v>12</v>
      </c>
      <c r="D464" s="1" t="s">
        <v>14</v>
      </c>
      <c r="E464" s="1" t="s">
        <v>19</v>
      </c>
      <c r="F464" s="1" t="s">
        <v>25</v>
      </c>
      <c r="G464" s="4">
        <v>175.85</v>
      </c>
      <c r="H464" s="1">
        <v>7</v>
      </c>
      <c r="I464" s="1" t="str">
        <f>TEXT(SalesTable[[#This Row],[Order_Date]],"mmm")</f>
        <v>Apr</v>
      </c>
      <c r="J464" s="1">
        <f>YEAR(SalesTable[[#This Row],[Order_Date]])</f>
        <v>2023</v>
      </c>
      <c r="K464" s="4">
        <v>62.72</v>
      </c>
      <c r="L464" s="9">
        <f>SalesTable[[#This Row],[Profit]]/SalesTable[[#This Row],[Sales]]</f>
        <v>0.35666761444412853</v>
      </c>
    </row>
    <row r="465" spans="1:12" ht="14" x14ac:dyDescent="0.15">
      <c r="A465" s="1">
        <v>10464</v>
      </c>
      <c r="B465" s="2">
        <v>45025</v>
      </c>
      <c r="C465" s="1" t="s">
        <v>11</v>
      </c>
      <c r="D465" s="1" t="s">
        <v>14</v>
      </c>
      <c r="E465" s="1" t="s">
        <v>16</v>
      </c>
      <c r="F465" s="1" t="s">
        <v>21</v>
      </c>
      <c r="G465" s="4">
        <v>569.57000000000005</v>
      </c>
      <c r="H465" s="1">
        <v>4</v>
      </c>
      <c r="I465" s="1" t="str">
        <f>TEXT(SalesTable[[#This Row],[Order_Date]],"mmm")</f>
        <v>Apr</v>
      </c>
      <c r="J465" s="1">
        <f>YEAR(SalesTable[[#This Row],[Order_Date]])</f>
        <v>2023</v>
      </c>
      <c r="K465" s="4">
        <v>239.19</v>
      </c>
      <c r="L465" s="9">
        <f>SalesTable[[#This Row],[Profit]]/SalesTable[[#This Row],[Sales]]</f>
        <v>0.41994838211282193</v>
      </c>
    </row>
    <row r="466" spans="1:12" ht="14" x14ac:dyDescent="0.15">
      <c r="A466" s="1">
        <v>10465</v>
      </c>
      <c r="B466" s="2">
        <v>45026</v>
      </c>
      <c r="C466" s="1" t="s">
        <v>10</v>
      </c>
      <c r="D466" s="1" t="s">
        <v>14</v>
      </c>
      <c r="E466" s="1" t="s">
        <v>18</v>
      </c>
      <c r="F466" s="1" t="s">
        <v>22</v>
      </c>
      <c r="G466" s="4">
        <v>568.94000000000005</v>
      </c>
      <c r="H466" s="1">
        <v>5</v>
      </c>
      <c r="I466" s="1" t="str">
        <f>TEXT(SalesTable[[#This Row],[Order_Date]],"mmm")</f>
        <v>Apr</v>
      </c>
      <c r="J466" s="1">
        <f>YEAR(SalesTable[[#This Row],[Order_Date]])</f>
        <v>2023</v>
      </c>
      <c r="K466" s="4">
        <v>47.06</v>
      </c>
      <c r="L466" s="9">
        <f>SalesTable[[#This Row],[Profit]]/SalesTable[[#This Row],[Sales]]</f>
        <v>8.2715224804021506E-2</v>
      </c>
    </row>
    <row r="467" spans="1:12" ht="14" x14ac:dyDescent="0.15">
      <c r="A467" s="1">
        <v>10466</v>
      </c>
      <c r="B467" s="2">
        <v>45027</v>
      </c>
      <c r="C467" s="1" t="s">
        <v>9</v>
      </c>
      <c r="D467" s="1" t="s">
        <v>13</v>
      </c>
      <c r="E467" s="1" t="s">
        <v>18</v>
      </c>
      <c r="F467" s="1" t="s">
        <v>24</v>
      </c>
      <c r="G467" s="4">
        <v>135</v>
      </c>
      <c r="H467" s="1">
        <v>7</v>
      </c>
      <c r="I467" s="1" t="str">
        <f>TEXT(SalesTable[[#This Row],[Order_Date]],"mmm")</f>
        <v>Apr</v>
      </c>
      <c r="J467" s="1">
        <f>YEAR(SalesTable[[#This Row],[Order_Date]])</f>
        <v>2023</v>
      </c>
      <c r="K467" s="4">
        <v>136.44</v>
      </c>
      <c r="L467" s="9">
        <f>SalesTable[[#This Row],[Profit]]/SalesTable[[#This Row],[Sales]]</f>
        <v>1.0106666666666666</v>
      </c>
    </row>
    <row r="468" spans="1:12" ht="14" x14ac:dyDescent="0.15">
      <c r="A468" s="1">
        <v>10467</v>
      </c>
      <c r="B468" s="2">
        <v>45028</v>
      </c>
      <c r="C468" s="1" t="s">
        <v>10</v>
      </c>
      <c r="D468" s="1" t="s">
        <v>13</v>
      </c>
      <c r="E468" s="1" t="s">
        <v>19</v>
      </c>
      <c r="F468" s="1" t="s">
        <v>25</v>
      </c>
      <c r="G468" s="4">
        <v>447.08</v>
      </c>
      <c r="H468" s="1">
        <v>3</v>
      </c>
      <c r="I468" s="1" t="str">
        <f>TEXT(SalesTable[[#This Row],[Order_Date]],"mmm")</f>
        <v>Apr</v>
      </c>
      <c r="J468" s="1">
        <f>YEAR(SalesTable[[#This Row],[Order_Date]])</f>
        <v>2023</v>
      </c>
      <c r="K468" s="4">
        <v>101.51</v>
      </c>
      <c r="L468" s="9">
        <f>SalesTable[[#This Row],[Profit]]/SalesTable[[#This Row],[Sales]]</f>
        <v>0.22705108705377117</v>
      </c>
    </row>
    <row r="469" spans="1:12" ht="14" x14ac:dyDescent="0.15">
      <c r="A469" s="1">
        <v>10468</v>
      </c>
      <c r="B469" s="2">
        <v>45029</v>
      </c>
      <c r="C469" s="1" t="s">
        <v>11</v>
      </c>
      <c r="D469" s="1" t="s">
        <v>13</v>
      </c>
      <c r="E469" s="1" t="s">
        <v>19</v>
      </c>
      <c r="F469" s="1" t="s">
        <v>24</v>
      </c>
      <c r="G469" s="4">
        <v>860.62</v>
      </c>
      <c r="H469" s="1">
        <v>5</v>
      </c>
      <c r="I469" s="1" t="str">
        <f>TEXT(SalesTable[[#This Row],[Order_Date]],"mmm")</f>
        <v>Apr</v>
      </c>
      <c r="J469" s="1">
        <f>YEAR(SalesTable[[#This Row],[Order_Date]])</f>
        <v>2023</v>
      </c>
      <c r="K469" s="4">
        <v>158.38</v>
      </c>
      <c r="L469" s="9">
        <f>SalesTable[[#This Row],[Profit]]/SalesTable[[#This Row],[Sales]]</f>
        <v>0.18403011782203527</v>
      </c>
    </row>
    <row r="470" spans="1:12" ht="14" x14ac:dyDescent="0.15">
      <c r="A470" s="1">
        <v>10469</v>
      </c>
      <c r="B470" s="2">
        <v>45030</v>
      </c>
      <c r="C470" s="1" t="s">
        <v>11</v>
      </c>
      <c r="D470" s="1" t="s">
        <v>13</v>
      </c>
      <c r="E470" s="1" t="s">
        <v>16</v>
      </c>
      <c r="F470" s="1" t="s">
        <v>22</v>
      </c>
      <c r="G470" s="4">
        <v>863.35</v>
      </c>
      <c r="H470" s="1">
        <v>3</v>
      </c>
      <c r="I470" s="1" t="str">
        <f>TEXT(SalesTable[[#This Row],[Order_Date]],"mmm")</f>
        <v>Apr</v>
      </c>
      <c r="J470" s="1">
        <f>YEAR(SalesTable[[#This Row],[Order_Date]])</f>
        <v>2023</v>
      </c>
      <c r="K470" s="4">
        <v>289.16000000000003</v>
      </c>
      <c r="L470" s="9">
        <f>SalesTable[[#This Row],[Profit]]/SalesTable[[#This Row],[Sales]]</f>
        <v>0.33492789714484278</v>
      </c>
    </row>
    <row r="471" spans="1:12" ht="14" x14ac:dyDescent="0.15">
      <c r="A471" s="1">
        <v>10470</v>
      </c>
      <c r="B471" s="2">
        <v>45031</v>
      </c>
      <c r="C471" s="1" t="s">
        <v>10</v>
      </c>
      <c r="D471" s="1" t="s">
        <v>13</v>
      </c>
      <c r="E471" s="1" t="s">
        <v>20</v>
      </c>
      <c r="F471" s="1" t="s">
        <v>21</v>
      </c>
      <c r="G471" s="4">
        <v>144.28</v>
      </c>
      <c r="H471" s="1">
        <v>5</v>
      </c>
      <c r="I471" s="1" t="str">
        <f>TEXT(SalesTable[[#This Row],[Order_Date]],"mmm")</f>
        <v>Apr</v>
      </c>
      <c r="J471" s="1">
        <f>YEAR(SalesTable[[#This Row],[Order_Date]])</f>
        <v>2023</v>
      </c>
      <c r="K471" s="4">
        <v>-77.709999999999994</v>
      </c>
      <c r="L471" s="9">
        <f>SalesTable[[#This Row],[Profit]]/SalesTable[[#This Row],[Sales]]</f>
        <v>-0.53860548932630992</v>
      </c>
    </row>
    <row r="472" spans="1:12" ht="14" x14ac:dyDescent="0.15">
      <c r="A472" s="1">
        <v>10471</v>
      </c>
      <c r="B472" s="2">
        <v>45032</v>
      </c>
      <c r="C472" s="1" t="s">
        <v>11</v>
      </c>
      <c r="D472" s="1" t="s">
        <v>14</v>
      </c>
      <c r="E472" s="1" t="s">
        <v>19</v>
      </c>
      <c r="F472" s="1" t="s">
        <v>24</v>
      </c>
      <c r="G472" s="4">
        <v>136.18</v>
      </c>
      <c r="H472" s="1">
        <v>3</v>
      </c>
      <c r="I472" s="1" t="str">
        <f>TEXT(SalesTable[[#This Row],[Order_Date]],"mmm")</f>
        <v>Apr</v>
      </c>
      <c r="J472" s="1">
        <f>YEAR(SalesTable[[#This Row],[Order_Date]])</f>
        <v>2023</v>
      </c>
      <c r="K472" s="4">
        <v>129.58000000000001</v>
      </c>
      <c r="L472" s="9">
        <f>SalesTable[[#This Row],[Profit]]/SalesTable[[#This Row],[Sales]]</f>
        <v>0.95153473344103401</v>
      </c>
    </row>
    <row r="473" spans="1:12" ht="14" x14ac:dyDescent="0.15">
      <c r="A473" s="1">
        <v>10472</v>
      </c>
      <c r="B473" s="2">
        <v>45033</v>
      </c>
      <c r="C473" s="1" t="s">
        <v>10</v>
      </c>
      <c r="D473" s="1" t="s">
        <v>14</v>
      </c>
      <c r="E473" s="1" t="s">
        <v>20</v>
      </c>
      <c r="F473" s="1" t="s">
        <v>23</v>
      </c>
      <c r="G473" s="4">
        <v>299.56</v>
      </c>
      <c r="H473" s="1">
        <v>7</v>
      </c>
      <c r="I473" s="1" t="str">
        <f>TEXT(SalesTable[[#This Row],[Order_Date]],"mmm")</f>
        <v>Apr</v>
      </c>
      <c r="J473" s="1">
        <f>YEAR(SalesTable[[#This Row],[Order_Date]])</f>
        <v>2023</v>
      </c>
      <c r="K473" s="4">
        <v>245.21</v>
      </c>
      <c r="L473" s="9">
        <f>SalesTable[[#This Row],[Profit]]/SalesTable[[#This Row],[Sales]]</f>
        <v>0.818567231940179</v>
      </c>
    </row>
    <row r="474" spans="1:12" ht="14" x14ac:dyDescent="0.15">
      <c r="A474" s="1">
        <v>10473</v>
      </c>
      <c r="B474" s="2">
        <v>45034</v>
      </c>
      <c r="C474" s="1" t="s">
        <v>9</v>
      </c>
      <c r="D474" s="1" t="s">
        <v>14</v>
      </c>
      <c r="E474" s="1" t="s">
        <v>17</v>
      </c>
      <c r="F474" s="1" t="s">
        <v>25</v>
      </c>
      <c r="G474" s="4">
        <v>881.03</v>
      </c>
      <c r="H474" s="1">
        <v>1</v>
      </c>
      <c r="I474" s="1" t="str">
        <f>TEXT(SalesTable[[#This Row],[Order_Date]],"mmm")</f>
        <v>Apr</v>
      </c>
      <c r="J474" s="1">
        <f>YEAR(SalesTable[[#This Row],[Order_Date]])</f>
        <v>2023</v>
      </c>
      <c r="K474" s="4">
        <v>92.55</v>
      </c>
      <c r="L474" s="9">
        <f>SalesTable[[#This Row],[Profit]]/SalesTable[[#This Row],[Sales]]</f>
        <v>0.10504750122016276</v>
      </c>
    </row>
    <row r="475" spans="1:12" ht="14" x14ac:dyDescent="0.15">
      <c r="A475" s="1">
        <v>10474</v>
      </c>
      <c r="B475" s="2">
        <v>45035</v>
      </c>
      <c r="C475" s="1" t="s">
        <v>10</v>
      </c>
      <c r="D475" s="1" t="s">
        <v>14</v>
      </c>
      <c r="E475" s="1" t="s">
        <v>18</v>
      </c>
      <c r="F475" s="1" t="s">
        <v>24</v>
      </c>
      <c r="G475" s="4">
        <v>172.46</v>
      </c>
      <c r="H475" s="1">
        <v>9</v>
      </c>
      <c r="I475" s="1" t="str">
        <f>TEXT(SalesTable[[#This Row],[Order_Date]],"mmm")</f>
        <v>Apr</v>
      </c>
      <c r="J475" s="1">
        <f>YEAR(SalesTable[[#This Row],[Order_Date]])</f>
        <v>2023</v>
      </c>
      <c r="K475" s="4">
        <v>-68.59</v>
      </c>
      <c r="L475" s="9">
        <f>SalesTable[[#This Row],[Profit]]/SalesTable[[#This Row],[Sales]]</f>
        <v>-0.39771541226951179</v>
      </c>
    </row>
    <row r="476" spans="1:12" ht="14" x14ac:dyDescent="0.15">
      <c r="A476" s="1">
        <v>10475</v>
      </c>
      <c r="B476" s="2">
        <v>45036</v>
      </c>
      <c r="C476" s="1" t="s">
        <v>9</v>
      </c>
      <c r="D476" s="1" t="s">
        <v>13</v>
      </c>
      <c r="E476" s="1" t="s">
        <v>20</v>
      </c>
      <c r="F476" s="1" t="s">
        <v>25</v>
      </c>
      <c r="G476" s="4">
        <v>734</v>
      </c>
      <c r="H476" s="1">
        <v>9</v>
      </c>
      <c r="I476" s="1" t="str">
        <f>TEXT(SalesTable[[#This Row],[Order_Date]],"mmm")</f>
        <v>Apr</v>
      </c>
      <c r="J476" s="1">
        <f>YEAR(SalesTable[[#This Row],[Order_Date]])</f>
        <v>2023</v>
      </c>
      <c r="K476" s="4">
        <v>124.22</v>
      </c>
      <c r="L476" s="9">
        <f>SalesTable[[#This Row],[Profit]]/SalesTable[[#This Row],[Sales]]</f>
        <v>0.16923705722070845</v>
      </c>
    </row>
    <row r="477" spans="1:12" ht="14" x14ac:dyDescent="0.15">
      <c r="A477" s="1">
        <v>10476</v>
      </c>
      <c r="B477" s="2">
        <v>45037</v>
      </c>
      <c r="C477" s="1" t="s">
        <v>10</v>
      </c>
      <c r="D477" s="1" t="s">
        <v>13</v>
      </c>
      <c r="E477" s="1" t="s">
        <v>18</v>
      </c>
      <c r="F477" s="1" t="s">
        <v>23</v>
      </c>
      <c r="G477" s="4">
        <v>146.11000000000001</v>
      </c>
      <c r="H477" s="1">
        <v>5</v>
      </c>
      <c r="I477" s="1" t="str">
        <f>TEXT(SalesTable[[#This Row],[Order_Date]],"mmm")</f>
        <v>Apr</v>
      </c>
      <c r="J477" s="1">
        <f>YEAR(SalesTable[[#This Row],[Order_Date]])</f>
        <v>2023</v>
      </c>
      <c r="K477" s="4">
        <v>32.83</v>
      </c>
      <c r="L477" s="9">
        <f>SalesTable[[#This Row],[Profit]]/SalesTable[[#This Row],[Sales]]</f>
        <v>0.22469372390664563</v>
      </c>
    </row>
    <row r="478" spans="1:12" ht="14" x14ac:dyDescent="0.15">
      <c r="A478" s="1">
        <v>10477</v>
      </c>
      <c r="B478" s="2">
        <v>45038</v>
      </c>
      <c r="C478" s="1" t="s">
        <v>11</v>
      </c>
      <c r="D478" s="1" t="s">
        <v>13</v>
      </c>
      <c r="E478" s="1" t="s">
        <v>20</v>
      </c>
      <c r="F478" s="1" t="s">
        <v>21</v>
      </c>
      <c r="G478" s="4">
        <v>641.98</v>
      </c>
      <c r="H478" s="1">
        <v>9</v>
      </c>
      <c r="I478" s="1" t="str">
        <f>TEXT(SalesTable[[#This Row],[Order_Date]],"mmm")</f>
        <v>Apr</v>
      </c>
      <c r="J478" s="1">
        <f>YEAR(SalesTable[[#This Row],[Order_Date]])</f>
        <v>2023</v>
      </c>
      <c r="K478" s="4">
        <v>-38.020000000000003</v>
      </c>
      <c r="L478" s="9">
        <f>SalesTable[[#This Row],[Profit]]/SalesTable[[#This Row],[Sales]]</f>
        <v>-5.9223028754789873E-2</v>
      </c>
    </row>
    <row r="479" spans="1:12" ht="14" x14ac:dyDescent="0.15">
      <c r="A479" s="1">
        <v>10478</v>
      </c>
      <c r="B479" s="2">
        <v>45039</v>
      </c>
      <c r="C479" s="1" t="s">
        <v>10</v>
      </c>
      <c r="D479" s="1" t="s">
        <v>15</v>
      </c>
      <c r="E479" s="1" t="s">
        <v>17</v>
      </c>
      <c r="F479" s="1" t="s">
        <v>21</v>
      </c>
      <c r="G479" s="4">
        <v>388.26</v>
      </c>
      <c r="H479" s="1">
        <v>6</v>
      </c>
      <c r="I479" s="1" t="str">
        <f>TEXT(SalesTable[[#This Row],[Order_Date]],"mmm")</f>
        <v>Apr</v>
      </c>
      <c r="J479" s="1">
        <f>YEAR(SalesTable[[#This Row],[Order_Date]])</f>
        <v>2023</v>
      </c>
      <c r="K479" s="4">
        <v>239.61</v>
      </c>
      <c r="L479" s="9">
        <f>SalesTable[[#This Row],[Profit]]/SalesTable[[#This Row],[Sales]]</f>
        <v>0.61713800030907129</v>
      </c>
    </row>
    <row r="480" spans="1:12" ht="14" x14ac:dyDescent="0.15">
      <c r="A480" s="1">
        <v>10479</v>
      </c>
      <c r="B480" s="2">
        <v>45040</v>
      </c>
      <c r="C480" s="1" t="s">
        <v>11</v>
      </c>
      <c r="D480" s="1" t="s">
        <v>14</v>
      </c>
      <c r="E480" s="1" t="s">
        <v>19</v>
      </c>
      <c r="F480" s="1" t="s">
        <v>23</v>
      </c>
      <c r="G480" s="4">
        <v>799.47</v>
      </c>
      <c r="H480" s="1">
        <v>5</v>
      </c>
      <c r="I480" s="1" t="str">
        <f>TEXT(SalesTable[[#This Row],[Order_Date]],"mmm")</f>
        <v>Apr</v>
      </c>
      <c r="J480" s="1">
        <f>YEAR(SalesTable[[#This Row],[Order_Date]])</f>
        <v>2023</v>
      </c>
      <c r="K480" s="4">
        <v>108.64</v>
      </c>
      <c r="L480" s="9">
        <f>SalesTable[[#This Row],[Profit]]/SalesTable[[#This Row],[Sales]]</f>
        <v>0.13589002714298223</v>
      </c>
    </row>
    <row r="481" spans="1:12" ht="14" x14ac:dyDescent="0.15">
      <c r="A481" s="1">
        <v>10480</v>
      </c>
      <c r="B481" s="2">
        <v>45041</v>
      </c>
      <c r="C481" s="1" t="s">
        <v>10</v>
      </c>
      <c r="D481" s="1" t="s">
        <v>14</v>
      </c>
      <c r="E481" s="1" t="s">
        <v>17</v>
      </c>
      <c r="F481" s="1" t="s">
        <v>25</v>
      </c>
      <c r="G481" s="4">
        <v>272.01</v>
      </c>
      <c r="H481" s="1">
        <v>3</v>
      </c>
      <c r="I481" s="1" t="str">
        <f>TEXT(SalesTable[[#This Row],[Order_Date]],"mmm")</f>
        <v>Apr</v>
      </c>
      <c r="J481" s="1">
        <f>YEAR(SalesTable[[#This Row],[Order_Date]])</f>
        <v>2023</v>
      </c>
      <c r="K481" s="4">
        <v>273.31</v>
      </c>
      <c r="L481" s="9">
        <f>SalesTable[[#This Row],[Profit]]/SalesTable[[#This Row],[Sales]]</f>
        <v>1.0047792360574979</v>
      </c>
    </row>
    <row r="482" spans="1:12" ht="14" x14ac:dyDescent="0.15">
      <c r="A482" s="1">
        <v>10481</v>
      </c>
      <c r="B482" s="2">
        <v>45042</v>
      </c>
      <c r="C482" s="1" t="s">
        <v>10</v>
      </c>
      <c r="D482" s="1" t="s">
        <v>13</v>
      </c>
      <c r="E482" s="1" t="s">
        <v>19</v>
      </c>
      <c r="F482" s="1" t="s">
        <v>24</v>
      </c>
      <c r="G482" s="4">
        <v>657.24</v>
      </c>
      <c r="H482" s="1">
        <v>8</v>
      </c>
      <c r="I482" s="1" t="str">
        <f>TEXT(SalesTable[[#This Row],[Order_Date]],"mmm")</f>
        <v>Apr</v>
      </c>
      <c r="J482" s="1">
        <f>YEAR(SalesTable[[#This Row],[Order_Date]])</f>
        <v>2023</v>
      </c>
      <c r="K482" s="4">
        <v>222.41</v>
      </c>
      <c r="L482" s="9">
        <f>SalesTable[[#This Row],[Profit]]/SalesTable[[#This Row],[Sales]]</f>
        <v>0.33839997565577262</v>
      </c>
    </row>
    <row r="483" spans="1:12" ht="14" x14ac:dyDescent="0.15">
      <c r="A483" s="1">
        <v>10482</v>
      </c>
      <c r="B483" s="2">
        <v>45043</v>
      </c>
      <c r="C483" s="1" t="s">
        <v>12</v>
      </c>
      <c r="D483" s="1" t="s">
        <v>14</v>
      </c>
      <c r="E483" s="1" t="s">
        <v>19</v>
      </c>
      <c r="F483" s="1" t="s">
        <v>23</v>
      </c>
      <c r="G483" s="4">
        <v>273.89999999999998</v>
      </c>
      <c r="H483" s="1">
        <v>4</v>
      </c>
      <c r="I483" s="1" t="str">
        <f>TEXT(SalesTable[[#This Row],[Order_Date]],"mmm")</f>
        <v>Apr</v>
      </c>
      <c r="J483" s="1">
        <f>YEAR(SalesTable[[#This Row],[Order_Date]])</f>
        <v>2023</v>
      </c>
      <c r="K483" s="4">
        <v>177.19</v>
      </c>
      <c r="L483" s="9">
        <f>SalesTable[[#This Row],[Profit]]/SalesTable[[#This Row],[Sales]]</f>
        <v>0.64691493245710119</v>
      </c>
    </row>
    <row r="484" spans="1:12" ht="14" x14ac:dyDescent="0.15">
      <c r="A484" s="1">
        <v>10483</v>
      </c>
      <c r="B484" s="2">
        <v>45044</v>
      </c>
      <c r="C484" s="1" t="s">
        <v>11</v>
      </c>
      <c r="D484" s="1" t="s">
        <v>14</v>
      </c>
      <c r="E484" s="1" t="s">
        <v>18</v>
      </c>
      <c r="F484" s="1" t="s">
        <v>22</v>
      </c>
      <c r="G484" s="4">
        <v>727.98</v>
      </c>
      <c r="H484" s="1">
        <v>3</v>
      </c>
      <c r="I484" s="1" t="str">
        <f>TEXT(SalesTable[[#This Row],[Order_Date]],"mmm")</f>
        <v>Apr</v>
      </c>
      <c r="J484" s="1">
        <f>YEAR(SalesTable[[#This Row],[Order_Date]])</f>
        <v>2023</v>
      </c>
      <c r="K484" s="4">
        <v>-97.99</v>
      </c>
      <c r="L484" s="9">
        <f>SalesTable[[#This Row],[Profit]]/SalesTable[[#This Row],[Sales]]</f>
        <v>-0.13460534630072254</v>
      </c>
    </row>
    <row r="485" spans="1:12" ht="14" x14ac:dyDescent="0.15">
      <c r="A485" s="1">
        <v>10484</v>
      </c>
      <c r="B485" s="2">
        <v>45045</v>
      </c>
      <c r="C485" s="1" t="s">
        <v>12</v>
      </c>
      <c r="D485" s="1" t="s">
        <v>13</v>
      </c>
      <c r="E485" s="1" t="s">
        <v>17</v>
      </c>
      <c r="F485" s="1" t="s">
        <v>25</v>
      </c>
      <c r="G485" s="4">
        <v>879.99</v>
      </c>
      <c r="H485" s="1">
        <v>6</v>
      </c>
      <c r="I485" s="1" t="str">
        <f>TEXT(SalesTable[[#This Row],[Order_Date]],"mmm")</f>
        <v>Apr</v>
      </c>
      <c r="J485" s="1">
        <f>YEAR(SalesTable[[#This Row],[Order_Date]])</f>
        <v>2023</v>
      </c>
      <c r="K485" s="4">
        <v>71.13</v>
      </c>
      <c r="L485" s="9">
        <f>SalesTable[[#This Row],[Profit]]/SalesTable[[#This Row],[Sales]]</f>
        <v>8.0830463982545245E-2</v>
      </c>
    </row>
    <row r="486" spans="1:12" ht="14" x14ac:dyDescent="0.15">
      <c r="A486" s="1">
        <v>10485</v>
      </c>
      <c r="B486" s="2">
        <v>45046</v>
      </c>
      <c r="C486" s="1" t="s">
        <v>11</v>
      </c>
      <c r="D486" s="1" t="s">
        <v>15</v>
      </c>
      <c r="E486" s="1" t="s">
        <v>20</v>
      </c>
      <c r="F486" s="1" t="s">
        <v>21</v>
      </c>
      <c r="G486" s="4">
        <v>170.46</v>
      </c>
      <c r="H486" s="1">
        <v>8</v>
      </c>
      <c r="I486" s="1" t="str">
        <f>TEXT(SalesTable[[#This Row],[Order_Date]],"mmm")</f>
        <v>Apr</v>
      </c>
      <c r="J486" s="1">
        <f>YEAR(SalesTable[[#This Row],[Order_Date]])</f>
        <v>2023</v>
      </c>
      <c r="K486" s="4">
        <v>-21.01</v>
      </c>
      <c r="L486" s="9">
        <f>SalesTable[[#This Row],[Profit]]/SalesTable[[#This Row],[Sales]]</f>
        <v>-0.12325472251554617</v>
      </c>
    </row>
    <row r="487" spans="1:12" ht="14" x14ac:dyDescent="0.15">
      <c r="A487" s="1">
        <v>10486</v>
      </c>
      <c r="B487" s="2">
        <v>45047</v>
      </c>
      <c r="C487" s="1" t="s">
        <v>12</v>
      </c>
      <c r="D487" s="1" t="s">
        <v>15</v>
      </c>
      <c r="E487" s="1" t="s">
        <v>17</v>
      </c>
      <c r="F487" s="1" t="s">
        <v>23</v>
      </c>
      <c r="G487" s="4">
        <v>873.27</v>
      </c>
      <c r="H487" s="1">
        <v>9</v>
      </c>
      <c r="I487" s="1" t="str">
        <f>TEXT(SalesTable[[#This Row],[Order_Date]],"mmm")</f>
        <v>May</v>
      </c>
      <c r="J487" s="1">
        <f>YEAR(SalesTable[[#This Row],[Order_Date]])</f>
        <v>2023</v>
      </c>
      <c r="K487" s="4">
        <v>264.32</v>
      </c>
      <c r="L487" s="9">
        <f>SalesTable[[#This Row],[Profit]]/SalesTable[[#This Row],[Sales]]</f>
        <v>0.30267843851271659</v>
      </c>
    </row>
    <row r="488" spans="1:12" ht="14" x14ac:dyDescent="0.15">
      <c r="A488" s="1">
        <v>10487</v>
      </c>
      <c r="B488" s="2">
        <v>45048</v>
      </c>
      <c r="C488" s="1" t="s">
        <v>9</v>
      </c>
      <c r="D488" s="1" t="s">
        <v>15</v>
      </c>
      <c r="E488" s="1" t="s">
        <v>18</v>
      </c>
      <c r="F488" s="1" t="s">
        <v>21</v>
      </c>
      <c r="G488" s="4">
        <v>613.9</v>
      </c>
      <c r="H488" s="1">
        <v>6</v>
      </c>
      <c r="I488" s="1" t="str">
        <f>TEXT(SalesTable[[#This Row],[Order_Date]],"mmm")</f>
        <v>May</v>
      </c>
      <c r="J488" s="1">
        <f>YEAR(SalesTable[[#This Row],[Order_Date]])</f>
        <v>2023</v>
      </c>
      <c r="K488" s="4">
        <v>-30.17</v>
      </c>
      <c r="L488" s="9">
        <f>SalesTable[[#This Row],[Profit]]/SalesTable[[#This Row],[Sales]]</f>
        <v>-4.9144811858608896E-2</v>
      </c>
    </row>
    <row r="489" spans="1:12" ht="14" x14ac:dyDescent="0.15">
      <c r="A489" s="1">
        <v>10488</v>
      </c>
      <c r="B489" s="2">
        <v>45049</v>
      </c>
      <c r="C489" s="1" t="s">
        <v>10</v>
      </c>
      <c r="D489" s="1" t="s">
        <v>13</v>
      </c>
      <c r="E489" s="1" t="s">
        <v>19</v>
      </c>
      <c r="F489" s="1" t="s">
        <v>25</v>
      </c>
      <c r="G489" s="4">
        <v>170.75</v>
      </c>
      <c r="H489" s="1">
        <v>5</v>
      </c>
      <c r="I489" s="1" t="str">
        <f>TEXT(SalesTable[[#This Row],[Order_Date]],"mmm")</f>
        <v>May</v>
      </c>
      <c r="J489" s="1">
        <f>YEAR(SalesTable[[#This Row],[Order_Date]])</f>
        <v>2023</v>
      </c>
      <c r="K489" s="4">
        <v>14.42</v>
      </c>
      <c r="L489" s="9">
        <f>SalesTable[[#This Row],[Profit]]/SalesTable[[#This Row],[Sales]]</f>
        <v>8.4450951683748166E-2</v>
      </c>
    </row>
    <row r="490" spans="1:12" ht="14" x14ac:dyDescent="0.15">
      <c r="A490" s="1">
        <v>10489</v>
      </c>
      <c r="B490" s="2">
        <v>45050</v>
      </c>
      <c r="C490" s="1" t="s">
        <v>11</v>
      </c>
      <c r="D490" s="1" t="s">
        <v>14</v>
      </c>
      <c r="E490" s="1" t="s">
        <v>18</v>
      </c>
      <c r="F490" s="1" t="s">
        <v>21</v>
      </c>
      <c r="G490" s="4">
        <v>456.16</v>
      </c>
      <c r="H490" s="1">
        <v>2</v>
      </c>
      <c r="I490" s="1" t="str">
        <f>TEXT(SalesTable[[#This Row],[Order_Date]],"mmm")</f>
        <v>May</v>
      </c>
      <c r="J490" s="1">
        <f>YEAR(SalesTable[[#This Row],[Order_Date]])</f>
        <v>2023</v>
      </c>
      <c r="K490" s="4">
        <v>106.73</v>
      </c>
      <c r="L490" s="9">
        <f>SalesTable[[#This Row],[Profit]]/SalesTable[[#This Row],[Sales]]</f>
        <v>0.2339749210803227</v>
      </c>
    </row>
    <row r="491" spans="1:12" ht="14" x14ac:dyDescent="0.15">
      <c r="A491" s="1">
        <v>10490</v>
      </c>
      <c r="B491" s="2">
        <v>45051</v>
      </c>
      <c r="C491" s="1" t="s">
        <v>11</v>
      </c>
      <c r="D491" s="1" t="s">
        <v>13</v>
      </c>
      <c r="E491" s="1" t="s">
        <v>16</v>
      </c>
      <c r="F491" s="1" t="s">
        <v>23</v>
      </c>
      <c r="G491" s="4">
        <v>202.82</v>
      </c>
      <c r="H491" s="1">
        <v>2</v>
      </c>
      <c r="I491" s="1" t="str">
        <f>TEXT(SalesTable[[#This Row],[Order_Date]],"mmm")</f>
        <v>May</v>
      </c>
      <c r="J491" s="1">
        <f>YEAR(SalesTable[[#This Row],[Order_Date]])</f>
        <v>2023</v>
      </c>
      <c r="K491" s="4">
        <v>5.35</v>
      </c>
      <c r="L491" s="9">
        <f>SalesTable[[#This Row],[Profit]]/SalesTable[[#This Row],[Sales]]</f>
        <v>2.637806922394241E-2</v>
      </c>
    </row>
    <row r="492" spans="1:12" ht="14" x14ac:dyDescent="0.15">
      <c r="A492" s="1">
        <v>10491</v>
      </c>
      <c r="B492" s="2">
        <v>45052</v>
      </c>
      <c r="C492" s="1" t="s">
        <v>10</v>
      </c>
      <c r="D492" s="1" t="s">
        <v>13</v>
      </c>
      <c r="E492" s="1" t="s">
        <v>16</v>
      </c>
      <c r="F492" s="1" t="s">
        <v>25</v>
      </c>
      <c r="G492" s="4">
        <v>715.33</v>
      </c>
      <c r="H492" s="1">
        <v>9</v>
      </c>
      <c r="I492" s="1" t="str">
        <f>TEXT(SalesTable[[#This Row],[Order_Date]],"mmm")</f>
        <v>May</v>
      </c>
      <c r="J492" s="1">
        <f>YEAR(SalesTable[[#This Row],[Order_Date]])</f>
        <v>2023</v>
      </c>
      <c r="K492" s="4">
        <v>-16.05</v>
      </c>
      <c r="L492" s="9">
        <f>SalesTable[[#This Row],[Profit]]/SalesTable[[#This Row],[Sales]]</f>
        <v>-2.2437196818251716E-2</v>
      </c>
    </row>
    <row r="493" spans="1:12" ht="14" x14ac:dyDescent="0.15">
      <c r="A493" s="1">
        <v>10492</v>
      </c>
      <c r="B493" s="2">
        <v>45053</v>
      </c>
      <c r="C493" s="1" t="s">
        <v>11</v>
      </c>
      <c r="D493" s="1" t="s">
        <v>14</v>
      </c>
      <c r="E493" s="1" t="s">
        <v>20</v>
      </c>
      <c r="F493" s="1" t="s">
        <v>22</v>
      </c>
      <c r="G493" s="4">
        <v>770.92</v>
      </c>
      <c r="H493" s="1">
        <v>2</v>
      </c>
      <c r="I493" s="1" t="str">
        <f>TEXT(SalesTable[[#This Row],[Order_Date]],"mmm")</f>
        <v>May</v>
      </c>
      <c r="J493" s="1">
        <f>YEAR(SalesTable[[#This Row],[Order_Date]])</f>
        <v>2023</v>
      </c>
      <c r="K493" s="4">
        <v>139.63999999999999</v>
      </c>
      <c r="L493" s="9">
        <f>SalesTable[[#This Row],[Profit]]/SalesTable[[#This Row],[Sales]]</f>
        <v>0.18113422923260519</v>
      </c>
    </row>
    <row r="494" spans="1:12" ht="14" x14ac:dyDescent="0.15">
      <c r="A494" s="1">
        <v>10493</v>
      </c>
      <c r="B494" s="2">
        <v>45054</v>
      </c>
      <c r="C494" s="1" t="s">
        <v>11</v>
      </c>
      <c r="D494" s="1" t="s">
        <v>15</v>
      </c>
      <c r="E494" s="1" t="s">
        <v>18</v>
      </c>
      <c r="F494" s="1" t="s">
        <v>23</v>
      </c>
      <c r="G494" s="4">
        <v>150.51</v>
      </c>
      <c r="H494" s="1">
        <v>2</v>
      </c>
      <c r="I494" s="1" t="str">
        <f>TEXT(SalesTable[[#This Row],[Order_Date]],"mmm")</f>
        <v>May</v>
      </c>
      <c r="J494" s="1">
        <f>YEAR(SalesTable[[#This Row],[Order_Date]])</f>
        <v>2023</v>
      </c>
      <c r="K494" s="4">
        <v>-64.430000000000007</v>
      </c>
      <c r="L494" s="9">
        <f>SalesTable[[#This Row],[Profit]]/SalesTable[[#This Row],[Sales]]</f>
        <v>-0.42807786858016084</v>
      </c>
    </row>
    <row r="495" spans="1:12" ht="14" x14ac:dyDescent="0.15">
      <c r="A495" s="1">
        <v>10494</v>
      </c>
      <c r="B495" s="2">
        <v>45055</v>
      </c>
      <c r="C495" s="1" t="s">
        <v>12</v>
      </c>
      <c r="D495" s="1" t="s">
        <v>15</v>
      </c>
      <c r="E495" s="1" t="s">
        <v>20</v>
      </c>
      <c r="F495" s="1" t="s">
        <v>24</v>
      </c>
      <c r="G495" s="4">
        <v>530.83000000000004</v>
      </c>
      <c r="H495" s="1">
        <v>3</v>
      </c>
      <c r="I495" s="1" t="str">
        <f>TEXT(SalesTable[[#This Row],[Order_Date]],"mmm")</f>
        <v>May</v>
      </c>
      <c r="J495" s="1">
        <f>YEAR(SalesTable[[#This Row],[Order_Date]])</f>
        <v>2023</v>
      </c>
      <c r="K495" s="4">
        <v>-76.73</v>
      </c>
      <c r="L495" s="9">
        <f>SalesTable[[#This Row],[Profit]]/SalesTable[[#This Row],[Sales]]</f>
        <v>-0.14454721850686661</v>
      </c>
    </row>
    <row r="496" spans="1:12" ht="14" x14ac:dyDescent="0.15">
      <c r="A496" s="1">
        <v>10495</v>
      </c>
      <c r="B496" s="2">
        <v>45056</v>
      </c>
      <c r="C496" s="1" t="s">
        <v>11</v>
      </c>
      <c r="D496" s="1" t="s">
        <v>13</v>
      </c>
      <c r="E496" s="1" t="s">
        <v>20</v>
      </c>
      <c r="F496" s="1" t="s">
        <v>23</v>
      </c>
      <c r="G496" s="4">
        <v>823.89</v>
      </c>
      <c r="H496" s="1">
        <v>3</v>
      </c>
      <c r="I496" s="1" t="str">
        <f>TEXT(SalesTable[[#This Row],[Order_Date]],"mmm")</f>
        <v>May</v>
      </c>
      <c r="J496" s="1">
        <f>YEAR(SalesTable[[#This Row],[Order_Date]])</f>
        <v>2023</v>
      </c>
      <c r="K496" s="4">
        <v>48.9</v>
      </c>
      <c r="L496" s="9">
        <f>SalesTable[[#This Row],[Profit]]/SalesTable[[#This Row],[Sales]]</f>
        <v>5.9352583475949461E-2</v>
      </c>
    </row>
    <row r="497" spans="1:12" ht="14" x14ac:dyDescent="0.15">
      <c r="A497" s="1">
        <v>10496</v>
      </c>
      <c r="B497" s="2">
        <v>45057</v>
      </c>
      <c r="C497" s="1" t="s">
        <v>9</v>
      </c>
      <c r="D497" s="1" t="s">
        <v>15</v>
      </c>
      <c r="E497" s="1" t="s">
        <v>16</v>
      </c>
      <c r="F497" s="1" t="s">
        <v>25</v>
      </c>
      <c r="G497" s="4">
        <v>939.35</v>
      </c>
      <c r="H497" s="1">
        <v>4</v>
      </c>
      <c r="I497" s="1" t="str">
        <f>TEXT(SalesTable[[#This Row],[Order_Date]],"mmm")</f>
        <v>May</v>
      </c>
      <c r="J497" s="1">
        <f>YEAR(SalesTable[[#This Row],[Order_Date]])</f>
        <v>2023</v>
      </c>
      <c r="K497" s="4">
        <v>188.27</v>
      </c>
      <c r="L497" s="9">
        <f>SalesTable[[#This Row],[Profit]]/SalesTable[[#This Row],[Sales]]</f>
        <v>0.20042582636929793</v>
      </c>
    </row>
    <row r="498" spans="1:12" ht="14" x14ac:dyDescent="0.15">
      <c r="A498" s="1">
        <v>10497</v>
      </c>
      <c r="B498" s="2">
        <v>45058</v>
      </c>
      <c r="C498" s="1" t="s">
        <v>9</v>
      </c>
      <c r="D498" s="1" t="s">
        <v>13</v>
      </c>
      <c r="E498" s="1" t="s">
        <v>20</v>
      </c>
      <c r="F498" s="1" t="s">
        <v>23</v>
      </c>
      <c r="G498" s="4">
        <v>537.84</v>
      </c>
      <c r="H498" s="1">
        <v>7</v>
      </c>
      <c r="I498" s="1" t="str">
        <f>TEXT(SalesTable[[#This Row],[Order_Date]],"mmm")</f>
        <v>May</v>
      </c>
      <c r="J498" s="1">
        <f>YEAR(SalesTable[[#This Row],[Order_Date]])</f>
        <v>2023</v>
      </c>
      <c r="K498" s="4">
        <v>121.92</v>
      </c>
      <c r="L498" s="9">
        <f>SalesTable[[#This Row],[Profit]]/SalesTable[[#This Row],[Sales]]</f>
        <v>0.22668451584114233</v>
      </c>
    </row>
    <row r="499" spans="1:12" ht="14" x14ac:dyDescent="0.15">
      <c r="A499" s="1">
        <v>10498</v>
      </c>
      <c r="B499" s="2">
        <v>45059</v>
      </c>
      <c r="C499" s="1" t="s">
        <v>10</v>
      </c>
      <c r="D499" s="1" t="s">
        <v>13</v>
      </c>
      <c r="E499" s="1" t="s">
        <v>16</v>
      </c>
      <c r="F499" s="1" t="s">
        <v>22</v>
      </c>
      <c r="G499" s="4">
        <v>952.77</v>
      </c>
      <c r="H499" s="1">
        <v>9</v>
      </c>
      <c r="I499" s="1" t="str">
        <f>TEXT(SalesTable[[#This Row],[Order_Date]],"mmm")</f>
        <v>May</v>
      </c>
      <c r="J499" s="1">
        <f>YEAR(SalesTable[[#This Row],[Order_Date]])</f>
        <v>2023</v>
      </c>
      <c r="K499" s="4">
        <v>69.150000000000006</v>
      </c>
      <c r="L499" s="9">
        <f>SalesTable[[#This Row],[Profit]]/SalesTable[[#This Row],[Sales]]</f>
        <v>7.2577851947479469E-2</v>
      </c>
    </row>
    <row r="500" spans="1:12" ht="14" x14ac:dyDescent="0.15">
      <c r="A500" s="1">
        <v>10499</v>
      </c>
      <c r="B500" s="2">
        <v>45060</v>
      </c>
      <c r="C500" s="1" t="s">
        <v>11</v>
      </c>
      <c r="D500" s="1" t="s">
        <v>14</v>
      </c>
      <c r="E500" s="1" t="s">
        <v>19</v>
      </c>
      <c r="F500" s="1" t="s">
        <v>22</v>
      </c>
      <c r="G500" s="4">
        <v>558.9</v>
      </c>
      <c r="H500" s="1">
        <v>2</v>
      </c>
      <c r="I500" s="1" t="str">
        <f>TEXT(SalesTable[[#This Row],[Order_Date]],"mmm")</f>
        <v>May</v>
      </c>
      <c r="J500" s="1">
        <f>YEAR(SalesTable[[#This Row],[Order_Date]])</f>
        <v>2023</v>
      </c>
      <c r="K500" s="4">
        <v>126.3</v>
      </c>
      <c r="L500" s="9">
        <f>SalesTable[[#This Row],[Profit]]/SalesTable[[#This Row],[Sales]]</f>
        <v>0.225979602791197</v>
      </c>
    </row>
    <row r="501" spans="1:12" ht="14" x14ac:dyDescent="0.15">
      <c r="A501" s="1">
        <v>10500</v>
      </c>
      <c r="B501" s="2">
        <v>45061</v>
      </c>
      <c r="C501" s="1" t="s">
        <v>10</v>
      </c>
      <c r="D501" s="1" t="s">
        <v>14</v>
      </c>
      <c r="E501" s="1" t="s">
        <v>18</v>
      </c>
      <c r="F501" s="1" t="s">
        <v>24</v>
      </c>
      <c r="G501" s="4">
        <v>424.48</v>
      </c>
      <c r="H501" s="1">
        <v>4</v>
      </c>
      <c r="I501" s="1" t="str">
        <f>TEXT(SalesTable[[#This Row],[Order_Date]],"mmm")</f>
        <v>May</v>
      </c>
      <c r="J501" s="1">
        <f>YEAR(SalesTable[[#This Row],[Order_Date]])</f>
        <v>2023</v>
      </c>
      <c r="K501" s="4">
        <v>46.18</v>
      </c>
      <c r="L501" s="9">
        <f>SalesTable[[#This Row],[Profit]]/SalesTable[[#This Row],[Sales]]</f>
        <v>0.10879193366000753</v>
      </c>
    </row>
    <row r="502" spans="1:12" ht="14" x14ac:dyDescent="0.15">
      <c r="A502" s="1">
        <v>10501</v>
      </c>
      <c r="B502" s="2">
        <v>45062</v>
      </c>
      <c r="C502" s="1" t="s">
        <v>9</v>
      </c>
      <c r="D502" s="1" t="s">
        <v>14</v>
      </c>
      <c r="E502" s="1" t="s">
        <v>20</v>
      </c>
      <c r="F502" s="1" t="s">
        <v>21</v>
      </c>
      <c r="G502" s="4">
        <v>855.79</v>
      </c>
      <c r="H502" s="1">
        <v>9</v>
      </c>
      <c r="I502" s="1" t="str">
        <f>TEXT(SalesTable[[#This Row],[Order_Date]],"mmm")</f>
        <v>May</v>
      </c>
      <c r="J502" s="1">
        <f>YEAR(SalesTable[[#This Row],[Order_Date]])</f>
        <v>2023</v>
      </c>
      <c r="K502" s="4">
        <v>274.45999999999998</v>
      </c>
      <c r="L502" s="9">
        <f>SalesTable[[#This Row],[Profit]]/SalesTable[[#This Row],[Sales]]</f>
        <v>0.32070951985884388</v>
      </c>
    </row>
    <row r="503" spans="1:12" ht="14" x14ac:dyDescent="0.15">
      <c r="A503" s="1">
        <v>10502</v>
      </c>
      <c r="B503" s="2">
        <v>45063</v>
      </c>
      <c r="C503" s="1" t="s">
        <v>11</v>
      </c>
      <c r="D503" s="1" t="s">
        <v>13</v>
      </c>
      <c r="E503" s="1" t="s">
        <v>16</v>
      </c>
      <c r="F503" s="1" t="s">
        <v>25</v>
      </c>
      <c r="G503" s="4">
        <v>518.33000000000004</v>
      </c>
      <c r="H503" s="1">
        <v>2</v>
      </c>
      <c r="I503" s="1" t="str">
        <f>TEXT(SalesTable[[#This Row],[Order_Date]],"mmm")</f>
        <v>May</v>
      </c>
      <c r="J503" s="1">
        <f>YEAR(SalesTable[[#This Row],[Order_Date]])</f>
        <v>2023</v>
      </c>
      <c r="K503" s="4">
        <v>-78.040000000000006</v>
      </c>
      <c r="L503" s="9">
        <f>SalesTable[[#This Row],[Profit]]/SalesTable[[#This Row],[Sales]]</f>
        <v>-0.15056045376497598</v>
      </c>
    </row>
    <row r="504" spans="1:12" ht="14" x14ac:dyDescent="0.15">
      <c r="A504" s="1">
        <v>10503</v>
      </c>
      <c r="B504" s="2">
        <v>45064</v>
      </c>
      <c r="C504" s="1" t="s">
        <v>11</v>
      </c>
      <c r="D504" s="1" t="s">
        <v>14</v>
      </c>
      <c r="E504" s="1" t="s">
        <v>17</v>
      </c>
      <c r="F504" s="1" t="s">
        <v>25</v>
      </c>
      <c r="G504" s="4">
        <v>498.31</v>
      </c>
      <c r="H504" s="1">
        <v>1</v>
      </c>
      <c r="I504" s="1" t="str">
        <f>TEXT(SalesTable[[#This Row],[Order_Date]],"mmm")</f>
        <v>May</v>
      </c>
      <c r="J504" s="1">
        <f>YEAR(SalesTable[[#This Row],[Order_Date]])</f>
        <v>2023</v>
      </c>
      <c r="K504" s="4">
        <v>169.36</v>
      </c>
      <c r="L504" s="9">
        <f>SalesTable[[#This Row],[Profit]]/SalesTable[[#This Row],[Sales]]</f>
        <v>0.33986875639662062</v>
      </c>
    </row>
    <row r="505" spans="1:12" ht="14" x14ac:dyDescent="0.15">
      <c r="A505" s="1">
        <v>10504</v>
      </c>
      <c r="B505" s="2">
        <v>45065</v>
      </c>
      <c r="C505" s="1" t="s">
        <v>10</v>
      </c>
      <c r="D505" s="1" t="s">
        <v>15</v>
      </c>
      <c r="E505" s="1" t="s">
        <v>20</v>
      </c>
      <c r="F505" s="1" t="s">
        <v>21</v>
      </c>
      <c r="G505" s="4">
        <v>515.79999999999995</v>
      </c>
      <c r="H505" s="1">
        <v>8</v>
      </c>
      <c r="I505" s="1" t="str">
        <f>TEXT(SalesTable[[#This Row],[Order_Date]],"mmm")</f>
        <v>May</v>
      </c>
      <c r="J505" s="1">
        <f>YEAR(SalesTable[[#This Row],[Order_Date]])</f>
        <v>2023</v>
      </c>
      <c r="K505" s="4">
        <v>256.51</v>
      </c>
      <c r="L505" s="9">
        <f>SalesTable[[#This Row],[Profit]]/SalesTable[[#This Row],[Sales]]</f>
        <v>0.49730515703761152</v>
      </c>
    </row>
    <row r="506" spans="1:12" ht="14" x14ac:dyDescent="0.15">
      <c r="A506" s="1">
        <v>10505</v>
      </c>
      <c r="B506" s="2">
        <v>45066</v>
      </c>
      <c r="C506" s="1" t="s">
        <v>9</v>
      </c>
      <c r="D506" s="1" t="s">
        <v>15</v>
      </c>
      <c r="E506" s="1" t="s">
        <v>19</v>
      </c>
      <c r="F506" s="1" t="s">
        <v>22</v>
      </c>
      <c r="G506" s="4">
        <v>854.45</v>
      </c>
      <c r="H506" s="1">
        <v>9</v>
      </c>
      <c r="I506" s="1" t="str">
        <f>TEXT(SalesTable[[#This Row],[Order_Date]],"mmm")</f>
        <v>May</v>
      </c>
      <c r="J506" s="1">
        <f>YEAR(SalesTable[[#This Row],[Order_Date]])</f>
        <v>2023</v>
      </c>
      <c r="K506" s="4">
        <v>221.55</v>
      </c>
      <c r="L506" s="9">
        <f>SalesTable[[#This Row],[Profit]]/SalesTable[[#This Row],[Sales]]</f>
        <v>0.2592896014980397</v>
      </c>
    </row>
    <row r="507" spans="1:12" ht="14" x14ac:dyDescent="0.15">
      <c r="A507" s="1">
        <v>10506</v>
      </c>
      <c r="B507" s="2">
        <v>45067</v>
      </c>
      <c r="C507" s="1" t="s">
        <v>11</v>
      </c>
      <c r="D507" s="1" t="s">
        <v>13</v>
      </c>
      <c r="E507" s="1" t="s">
        <v>19</v>
      </c>
      <c r="F507" s="1" t="s">
        <v>22</v>
      </c>
      <c r="G507" s="4">
        <v>840.34</v>
      </c>
      <c r="H507" s="1">
        <v>7</v>
      </c>
      <c r="I507" s="1" t="str">
        <f>TEXT(SalesTable[[#This Row],[Order_Date]],"mmm")</f>
        <v>May</v>
      </c>
      <c r="J507" s="1">
        <f>YEAR(SalesTable[[#This Row],[Order_Date]])</f>
        <v>2023</v>
      </c>
      <c r="K507" s="4">
        <v>-26.38</v>
      </c>
      <c r="L507" s="9">
        <f>SalesTable[[#This Row],[Profit]]/SalesTable[[#This Row],[Sales]]</f>
        <v>-3.1392055596544254E-2</v>
      </c>
    </row>
    <row r="508" spans="1:12" ht="14" x14ac:dyDescent="0.15">
      <c r="A508" s="1">
        <v>10507</v>
      </c>
      <c r="B508" s="2">
        <v>45068</v>
      </c>
      <c r="C508" s="1" t="s">
        <v>10</v>
      </c>
      <c r="D508" s="1" t="s">
        <v>13</v>
      </c>
      <c r="E508" s="1" t="s">
        <v>17</v>
      </c>
      <c r="F508" s="1" t="s">
        <v>23</v>
      </c>
      <c r="G508" s="4">
        <v>433.34</v>
      </c>
      <c r="H508" s="1">
        <v>8</v>
      </c>
      <c r="I508" s="1" t="str">
        <f>TEXT(SalesTable[[#This Row],[Order_Date]],"mmm")</f>
        <v>May</v>
      </c>
      <c r="J508" s="1">
        <f>YEAR(SalesTable[[#This Row],[Order_Date]])</f>
        <v>2023</v>
      </c>
      <c r="K508" s="4">
        <v>18.37</v>
      </c>
      <c r="L508" s="9">
        <f>SalesTable[[#This Row],[Profit]]/SalesTable[[#This Row],[Sales]]</f>
        <v>4.2391655512992114E-2</v>
      </c>
    </row>
    <row r="509" spans="1:12" ht="14" x14ac:dyDescent="0.15">
      <c r="A509" s="1">
        <v>10508</v>
      </c>
      <c r="B509" s="2">
        <v>45069</v>
      </c>
      <c r="C509" s="1" t="s">
        <v>9</v>
      </c>
      <c r="D509" s="1" t="s">
        <v>14</v>
      </c>
      <c r="E509" s="1" t="s">
        <v>16</v>
      </c>
      <c r="F509" s="1" t="s">
        <v>24</v>
      </c>
      <c r="G509" s="4">
        <v>366.63</v>
      </c>
      <c r="H509" s="1">
        <v>4</v>
      </c>
      <c r="I509" s="1" t="str">
        <f>TEXT(SalesTable[[#This Row],[Order_Date]],"mmm")</f>
        <v>May</v>
      </c>
      <c r="J509" s="1">
        <f>YEAR(SalesTable[[#This Row],[Order_Date]])</f>
        <v>2023</v>
      </c>
      <c r="K509" s="4">
        <v>186.82</v>
      </c>
      <c r="L509" s="9">
        <f>SalesTable[[#This Row],[Profit]]/SalesTable[[#This Row],[Sales]]</f>
        <v>0.50956004691378232</v>
      </c>
    </row>
    <row r="510" spans="1:12" ht="14" x14ac:dyDescent="0.15">
      <c r="A510" s="1">
        <v>10509</v>
      </c>
      <c r="B510" s="2">
        <v>45070</v>
      </c>
      <c r="C510" s="1" t="s">
        <v>10</v>
      </c>
      <c r="D510" s="1" t="s">
        <v>13</v>
      </c>
      <c r="E510" s="1" t="s">
        <v>20</v>
      </c>
      <c r="F510" s="1" t="s">
        <v>24</v>
      </c>
      <c r="G510" s="4">
        <v>517.33000000000004</v>
      </c>
      <c r="H510" s="1">
        <v>4</v>
      </c>
      <c r="I510" s="1" t="str">
        <f>TEXT(SalesTable[[#This Row],[Order_Date]],"mmm")</f>
        <v>May</v>
      </c>
      <c r="J510" s="1">
        <f>YEAR(SalesTable[[#This Row],[Order_Date]])</f>
        <v>2023</v>
      </c>
      <c r="K510" s="4">
        <v>-66.290000000000006</v>
      </c>
      <c r="L510" s="9">
        <f>SalesTable[[#This Row],[Profit]]/SalesTable[[#This Row],[Sales]]</f>
        <v>-0.12813871223397058</v>
      </c>
    </row>
    <row r="511" spans="1:12" ht="14" x14ac:dyDescent="0.15">
      <c r="A511" s="1">
        <v>10510</v>
      </c>
      <c r="B511" s="2">
        <v>45071</v>
      </c>
      <c r="C511" s="1" t="s">
        <v>12</v>
      </c>
      <c r="D511" s="1" t="s">
        <v>13</v>
      </c>
      <c r="E511" s="1" t="s">
        <v>16</v>
      </c>
      <c r="F511" s="1" t="s">
        <v>24</v>
      </c>
      <c r="G511" s="4">
        <v>594.13</v>
      </c>
      <c r="H511" s="1">
        <v>2</v>
      </c>
      <c r="I511" s="1" t="str">
        <f>TEXT(SalesTable[[#This Row],[Order_Date]],"mmm")</f>
        <v>May</v>
      </c>
      <c r="J511" s="1">
        <f>YEAR(SalesTable[[#This Row],[Order_Date]])</f>
        <v>2023</v>
      </c>
      <c r="K511" s="4">
        <v>224.74</v>
      </c>
      <c r="L511" s="9">
        <f>SalesTable[[#This Row],[Profit]]/SalesTable[[#This Row],[Sales]]</f>
        <v>0.37826738255937253</v>
      </c>
    </row>
    <row r="512" spans="1:12" ht="14" x14ac:dyDescent="0.15">
      <c r="A512" s="1">
        <v>10511</v>
      </c>
      <c r="B512" s="2">
        <v>45072</v>
      </c>
      <c r="C512" s="1" t="s">
        <v>11</v>
      </c>
      <c r="D512" s="1" t="s">
        <v>15</v>
      </c>
      <c r="E512" s="1" t="s">
        <v>19</v>
      </c>
      <c r="F512" s="1" t="s">
        <v>23</v>
      </c>
      <c r="G512" s="4">
        <v>276.42</v>
      </c>
      <c r="H512" s="1">
        <v>8</v>
      </c>
      <c r="I512" s="1" t="str">
        <f>TEXT(SalesTable[[#This Row],[Order_Date]],"mmm")</f>
        <v>May</v>
      </c>
      <c r="J512" s="1">
        <f>YEAR(SalesTable[[#This Row],[Order_Date]])</f>
        <v>2023</v>
      </c>
      <c r="K512" s="4">
        <v>187.56</v>
      </c>
      <c r="L512" s="9">
        <f>SalesTable[[#This Row],[Profit]]/SalesTable[[#This Row],[Sales]]</f>
        <v>0.67853266767961795</v>
      </c>
    </row>
    <row r="513" spans="1:12" ht="14" x14ac:dyDescent="0.15">
      <c r="A513" s="1">
        <v>10512</v>
      </c>
      <c r="B513" s="2">
        <v>45073</v>
      </c>
      <c r="C513" s="1" t="s">
        <v>12</v>
      </c>
      <c r="D513" s="1" t="s">
        <v>15</v>
      </c>
      <c r="E513" s="1" t="s">
        <v>16</v>
      </c>
      <c r="F513" s="1" t="s">
        <v>24</v>
      </c>
      <c r="G513" s="4">
        <v>804.26</v>
      </c>
      <c r="H513" s="1">
        <v>2</v>
      </c>
      <c r="I513" s="1" t="str">
        <f>TEXT(SalesTable[[#This Row],[Order_Date]],"mmm")</f>
        <v>May</v>
      </c>
      <c r="J513" s="1">
        <f>YEAR(SalesTable[[#This Row],[Order_Date]])</f>
        <v>2023</v>
      </c>
      <c r="K513" s="4">
        <v>191.84</v>
      </c>
      <c r="L513" s="9">
        <f>SalesTable[[#This Row],[Profit]]/SalesTable[[#This Row],[Sales]]</f>
        <v>0.23852982866237288</v>
      </c>
    </row>
    <row r="514" spans="1:12" ht="14" x14ac:dyDescent="0.15">
      <c r="A514" s="1">
        <v>10513</v>
      </c>
      <c r="B514" s="2">
        <v>45074</v>
      </c>
      <c r="C514" s="1" t="s">
        <v>9</v>
      </c>
      <c r="D514" s="1" t="s">
        <v>14</v>
      </c>
      <c r="E514" s="1" t="s">
        <v>19</v>
      </c>
      <c r="F514" s="1" t="s">
        <v>21</v>
      </c>
      <c r="G514" s="4">
        <v>512.16</v>
      </c>
      <c r="H514" s="1">
        <v>9</v>
      </c>
      <c r="I514" s="1" t="str">
        <f>TEXT(SalesTable[[#This Row],[Order_Date]],"mmm")</f>
        <v>May</v>
      </c>
      <c r="J514" s="1">
        <f>YEAR(SalesTable[[#This Row],[Order_Date]])</f>
        <v>2023</v>
      </c>
      <c r="K514" s="4">
        <v>-59.9</v>
      </c>
      <c r="L514" s="9">
        <f>SalesTable[[#This Row],[Profit]]/SalesTable[[#This Row],[Sales]]</f>
        <v>-0.11695563886285536</v>
      </c>
    </row>
    <row r="515" spans="1:12" ht="14" x14ac:dyDescent="0.15">
      <c r="A515" s="1">
        <v>10514</v>
      </c>
      <c r="B515" s="2">
        <v>45075</v>
      </c>
      <c r="C515" s="1" t="s">
        <v>12</v>
      </c>
      <c r="D515" s="1" t="s">
        <v>13</v>
      </c>
      <c r="E515" s="1" t="s">
        <v>16</v>
      </c>
      <c r="F515" s="1" t="s">
        <v>23</v>
      </c>
      <c r="G515" s="4">
        <v>367.34</v>
      </c>
      <c r="H515" s="1">
        <v>4</v>
      </c>
      <c r="I515" s="1" t="str">
        <f>TEXT(SalesTable[[#This Row],[Order_Date]],"mmm")</f>
        <v>May</v>
      </c>
      <c r="J515" s="1">
        <f>YEAR(SalesTable[[#This Row],[Order_Date]])</f>
        <v>2023</v>
      </c>
      <c r="K515" s="4">
        <v>187.1</v>
      </c>
      <c r="L515" s="9">
        <f>SalesTable[[#This Row],[Profit]]/SalesTable[[#This Row],[Sales]]</f>
        <v>0.5093373985953068</v>
      </c>
    </row>
    <row r="516" spans="1:12" ht="14" x14ac:dyDescent="0.15">
      <c r="A516" s="1">
        <v>10515</v>
      </c>
      <c r="B516" s="2">
        <v>45076</v>
      </c>
      <c r="C516" s="1" t="s">
        <v>12</v>
      </c>
      <c r="D516" s="1" t="s">
        <v>13</v>
      </c>
      <c r="E516" s="1" t="s">
        <v>17</v>
      </c>
      <c r="F516" s="1" t="s">
        <v>21</v>
      </c>
      <c r="G516" s="4">
        <v>151.47999999999999</v>
      </c>
      <c r="H516" s="1">
        <v>1</v>
      </c>
      <c r="I516" s="1" t="str">
        <f>TEXT(SalesTable[[#This Row],[Order_Date]],"mmm")</f>
        <v>May</v>
      </c>
      <c r="J516" s="1">
        <f>YEAR(SalesTable[[#This Row],[Order_Date]])</f>
        <v>2023</v>
      </c>
      <c r="K516" s="4">
        <v>171.93</v>
      </c>
      <c r="L516" s="9">
        <f>SalesTable[[#This Row],[Profit]]/SalesTable[[#This Row],[Sales]]</f>
        <v>1.1350013203063112</v>
      </c>
    </row>
    <row r="517" spans="1:12" ht="14" x14ac:dyDescent="0.15">
      <c r="A517" s="1">
        <v>10516</v>
      </c>
      <c r="B517" s="2">
        <v>45077</v>
      </c>
      <c r="C517" s="1" t="s">
        <v>9</v>
      </c>
      <c r="D517" s="1" t="s">
        <v>15</v>
      </c>
      <c r="E517" s="1" t="s">
        <v>18</v>
      </c>
      <c r="F517" s="1" t="s">
        <v>23</v>
      </c>
      <c r="G517" s="4">
        <v>276.89999999999998</v>
      </c>
      <c r="H517" s="1">
        <v>4</v>
      </c>
      <c r="I517" s="1" t="str">
        <f>TEXT(SalesTable[[#This Row],[Order_Date]],"mmm")</f>
        <v>May</v>
      </c>
      <c r="J517" s="1">
        <f>YEAR(SalesTable[[#This Row],[Order_Date]])</f>
        <v>2023</v>
      </c>
      <c r="K517" s="4">
        <v>232.37</v>
      </c>
      <c r="L517" s="9">
        <f>SalesTable[[#This Row],[Profit]]/SalesTable[[#This Row],[Sales]]</f>
        <v>0.83918382087396182</v>
      </c>
    </row>
    <row r="518" spans="1:12" ht="14" x14ac:dyDescent="0.15">
      <c r="A518" s="1">
        <v>10517</v>
      </c>
      <c r="B518" s="2">
        <v>45078</v>
      </c>
      <c r="C518" s="1" t="s">
        <v>10</v>
      </c>
      <c r="D518" s="1" t="s">
        <v>13</v>
      </c>
      <c r="E518" s="1" t="s">
        <v>17</v>
      </c>
      <c r="F518" s="1" t="s">
        <v>24</v>
      </c>
      <c r="G518" s="4">
        <v>951.82</v>
      </c>
      <c r="H518" s="1">
        <v>3</v>
      </c>
      <c r="I518" s="1" t="str">
        <f>TEXT(SalesTable[[#This Row],[Order_Date]],"mmm")</f>
        <v>Jun</v>
      </c>
      <c r="J518" s="1">
        <f>YEAR(SalesTable[[#This Row],[Order_Date]])</f>
        <v>2023</v>
      </c>
      <c r="K518" s="4">
        <v>-83.36</v>
      </c>
      <c r="L518" s="9">
        <f>SalesTable[[#This Row],[Profit]]/SalesTable[[#This Row],[Sales]]</f>
        <v>-8.7579584375196987E-2</v>
      </c>
    </row>
    <row r="519" spans="1:12" ht="14" x14ac:dyDescent="0.15">
      <c r="A519" s="1">
        <v>10518</v>
      </c>
      <c r="B519" s="2">
        <v>45079</v>
      </c>
      <c r="C519" s="1" t="s">
        <v>12</v>
      </c>
      <c r="D519" s="1" t="s">
        <v>15</v>
      </c>
      <c r="E519" s="1" t="s">
        <v>17</v>
      </c>
      <c r="F519" s="1" t="s">
        <v>21</v>
      </c>
      <c r="G519" s="4">
        <v>339.84</v>
      </c>
      <c r="H519" s="1">
        <v>6</v>
      </c>
      <c r="I519" s="1" t="str">
        <f>TEXT(SalesTable[[#This Row],[Order_Date]],"mmm")</f>
        <v>Jun</v>
      </c>
      <c r="J519" s="1">
        <f>YEAR(SalesTable[[#This Row],[Order_Date]])</f>
        <v>2023</v>
      </c>
      <c r="K519" s="4">
        <v>-90.76</v>
      </c>
      <c r="L519" s="9">
        <f>SalesTable[[#This Row],[Profit]]/SalesTable[[#This Row],[Sales]]</f>
        <v>-0.26706685499058386</v>
      </c>
    </row>
    <row r="520" spans="1:12" ht="14" x14ac:dyDescent="0.15">
      <c r="A520" s="1">
        <v>10519</v>
      </c>
      <c r="B520" s="2">
        <v>45080</v>
      </c>
      <c r="C520" s="1" t="s">
        <v>10</v>
      </c>
      <c r="D520" s="1" t="s">
        <v>14</v>
      </c>
      <c r="E520" s="1" t="s">
        <v>18</v>
      </c>
      <c r="F520" s="1" t="s">
        <v>21</v>
      </c>
      <c r="G520" s="4">
        <v>210.42</v>
      </c>
      <c r="H520" s="1">
        <v>7</v>
      </c>
      <c r="I520" s="1" t="str">
        <f>TEXT(SalesTable[[#This Row],[Order_Date]],"mmm")</f>
        <v>Jun</v>
      </c>
      <c r="J520" s="1">
        <f>YEAR(SalesTable[[#This Row],[Order_Date]])</f>
        <v>2023</v>
      </c>
      <c r="K520" s="4">
        <v>49.2</v>
      </c>
      <c r="L520" s="9">
        <f>SalesTable[[#This Row],[Profit]]/SalesTable[[#This Row],[Sales]]</f>
        <v>0.2338180781294554</v>
      </c>
    </row>
    <row r="521" spans="1:12" ht="14" x14ac:dyDescent="0.15">
      <c r="A521" s="1">
        <v>10520</v>
      </c>
      <c r="B521" s="2">
        <v>45081</v>
      </c>
      <c r="C521" s="1" t="s">
        <v>12</v>
      </c>
      <c r="D521" s="1" t="s">
        <v>15</v>
      </c>
      <c r="E521" s="1" t="s">
        <v>18</v>
      </c>
      <c r="F521" s="1" t="s">
        <v>21</v>
      </c>
      <c r="G521" s="4">
        <v>487.64</v>
      </c>
      <c r="H521" s="1">
        <v>8</v>
      </c>
      <c r="I521" s="1" t="str">
        <f>TEXT(SalesTable[[#This Row],[Order_Date]],"mmm")</f>
        <v>Jun</v>
      </c>
      <c r="J521" s="1">
        <f>YEAR(SalesTable[[#This Row],[Order_Date]])</f>
        <v>2023</v>
      </c>
      <c r="K521" s="4">
        <v>-40.479999999999997</v>
      </c>
      <c r="L521" s="9">
        <f>SalesTable[[#This Row],[Profit]]/SalesTable[[#This Row],[Sales]]</f>
        <v>-8.3012058075629558E-2</v>
      </c>
    </row>
    <row r="522" spans="1:12" ht="14" x14ac:dyDescent="0.15">
      <c r="A522" s="1">
        <v>10521</v>
      </c>
      <c r="B522" s="2">
        <v>45082</v>
      </c>
      <c r="C522" s="1" t="s">
        <v>10</v>
      </c>
      <c r="D522" s="1" t="s">
        <v>13</v>
      </c>
      <c r="E522" s="1" t="s">
        <v>20</v>
      </c>
      <c r="F522" s="1" t="s">
        <v>23</v>
      </c>
      <c r="G522" s="4">
        <v>341.73</v>
      </c>
      <c r="H522" s="1">
        <v>2</v>
      </c>
      <c r="I522" s="1" t="str">
        <f>TEXT(SalesTable[[#This Row],[Order_Date]],"mmm")</f>
        <v>Jun</v>
      </c>
      <c r="J522" s="1">
        <f>YEAR(SalesTable[[#This Row],[Order_Date]])</f>
        <v>2023</v>
      </c>
      <c r="K522" s="4">
        <v>123.35</v>
      </c>
      <c r="L522" s="9">
        <f>SalesTable[[#This Row],[Profit]]/SalesTable[[#This Row],[Sales]]</f>
        <v>0.36095748105229269</v>
      </c>
    </row>
    <row r="523" spans="1:12" ht="14" x14ac:dyDescent="0.15">
      <c r="A523" s="1">
        <v>10522</v>
      </c>
      <c r="B523" s="2">
        <v>45083</v>
      </c>
      <c r="C523" s="1" t="s">
        <v>9</v>
      </c>
      <c r="D523" s="1" t="s">
        <v>14</v>
      </c>
      <c r="E523" s="1" t="s">
        <v>20</v>
      </c>
      <c r="F523" s="1" t="s">
        <v>25</v>
      </c>
      <c r="G523" s="4">
        <v>83.4</v>
      </c>
      <c r="H523" s="1">
        <v>6</v>
      </c>
      <c r="I523" s="1" t="str">
        <f>TEXT(SalesTable[[#This Row],[Order_Date]],"mmm")</f>
        <v>Jun</v>
      </c>
      <c r="J523" s="1">
        <f>YEAR(SalesTable[[#This Row],[Order_Date]])</f>
        <v>2023</v>
      </c>
      <c r="K523" s="4">
        <v>266.94</v>
      </c>
      <c r="L523" s="9">
        <f>SalesTable[[#This Row],[Profit]]/SalesTable[[#This Row],[Sales]]</f>
        <v>3.2007194244604316</v>
      </c>
    </row>
    <row r="524" spans="1:12" ht="14" x14ac:dyDescent="0.15">
      <c r="A524" s="1">
        <v>10523</v>
      </c>
      <c r="B524" s="2">
        <v>45084</v>
      </c>
      <c r="C524" s="1" t="s">
        <v>12</v>
      </c>
      <c r="D524" s="1" t="s">
        <v>15</v>
      </c>
      <c r="E524" s="1" t="s">
        <v>17</v>
      </c>
      <c r="F524" s="1" t="s">
        <v>24</v>
      </c>
      <c r="G524" s="4">
        <v>356.99</v>
      </c>
      <c r="H524" s="1">
        <v>6</v>
      </c>
      <c r="I524" s="1" t="str">
        <f>TEXT(SalesTable[[#This Row],[Order_Date]],"mmm")</f>
        <v>Jun</v>
      </c>
      <c r="J524" s="1">
        <f>YEAR(SalesTable[[#This Row],[Order_Date]])</f>
        <v>2023</v>
      </c>
      <c r="K524" s="4">
        <v>56.59</v>
      </c>
      <c r="L524" s="9">
        <f>SalesTable[[#This Row],[Profit]]/SalesTable[[#This Row],[Sales]]</f>
        <v>0.15851984649429957</v>
      </c>
    </row>
    <row r="525" spans="1:12" ht="14" x14ac:dyDescent="0.15">
      <c r="A525" s="1">
        <v>10524</v>
      </c>
      <c r="B525" s="2">
        <v>45085</v>
      </c>
      <c r="C525" s="1" t="s">
        <v>9</v>
      </c>
      <c r="D525" s="1" t="s">
        <v>15</v>
      </c>
      <c r="E525" s="1" t="s">
        <v>17</v>
      </c>
      <c r="F525" s="1" t="s">
        <v>21</v>
      </c>
      <c r="G525" s="4">
        <v>566.9</v>
      </c>
      <c r="H525" s="1">
        <v>5</v>
      </c>
      <c r="I525" s="1" t="str">
        <f>TEXT(SalesTable[[#This Row],[Order_Date]],"mmm")</f>
        <v>Jun</v>
      </c>
      <c r="J525" s="1">
        <f>YEAR(SalesTable[[#This Row],[Order_Date]])</f>
        <v>2023</v>
      </c>
      <c r="K525" s="4">
        <v>237.98</v>
      </c>
      <c r="L525" s="9">
        <f>SalesTable[[#This Row],[Profit]]/SalesTable[[#This Row],[Sales]]</f>
        <v>0.41979185041453521</v>
      </c>
    </row>
    <row r="526" spans="1:12" ht="14" x14ac:dyDescent="0.15">
      <c r="A526" s="1">
        <v>10525</v>
      </c>
      <c r="B526" s="2">
        <v>45086</v>
      </c>
      <c r="C526" s="1" t="s">
        <v>12</v>
      </c>
      <c r="D526" s="1" t="s">
        <v>14</v>
      </c>
      <c r="E526" s="1" t="s">
        <v>19</v>
      </c>
      <c r="F526" s="1" t="s">
        <v>25</v>
      </c>
      <c r="G526" s="4">
        <v>574.13</v>
      </c>
      <c r="H526" s="1">
        <v>7</v>
      </c>
      <c r="I526" s="1" t="str">
        <f>TEXT(SalesTable[[#This Row],[Order_Date]],"mmm")</f>
        <v>Jun</v>
      </c>
      <c r="J526" s="1">
        <f>YEAR(SalesTable[[#This Row],[Order_Date]])</f>
        <v>2023</v>
      </c>
      <c r="K526" s="4">
        <v>-99.9</v>
      </c>
      <c r="L526" s="9">
        <f>SalesTable[[#This Row],[Profit]]/SalesTable[[#This Row],[Sales]]</f>
        <v>-0.174002403636807</v>
      </c>
    </row>
    <row r="527" spans="1:12" ht="14" x14ac:dyDescent="0.15">
      <c r="A527" s="1">
        <v>10526</v>
      </c>
      <c r="B527" s="2">
        <v>45087</v>
      </c>
      <c r="C527" s="1" t="s">
        <v>9</v>
      </c>
      <c r="D527" s="1" t="s">
        <v>14</v>
      </c>
      <c r="E527" s="1" t="s">
        <v>19</v>
      </c>
      <c r="F527" s="1" t="s">
        <v>24</v>
      </c>
      <c r="G527" s="4">
        <v>388.73</v>
      </c>
      <c r="H527" s="1">
        <v>3</v>
      </c>
      <c r="I527" s="1" t="str">
        <f>TEXT(SalesTable[[#This Row],[Order_Date]],"mmm")</f>
        <v>Jun</v>
      </c>
      <c r="J527" s="1">
        <f>YEAR(SalesTable[[#This Row],[Order_Date]])</f>
        <v>2023</v>
      </c>
      <c r="K527" s="4">
        <v>-32.590000000000003</v>
      </c>
      <c r="L527" s="9">
        <f>SalesTable[[#This Row],[Profit]]/SalesTable[[#This Row],[Sales]]</f>
        <v>-8.3837110590898573E-2</v>
      </c>
    </row>
    <row r="528" spans="1:12" ht="14" x14ac:dyDescent="0.15">
      <c r="A528" s="1">
        <v>10527</v>
      </c>
      <c r="B528" s="2">
        <v>45088</v>
      </c>
      <c r="C528" s="1" t="s">
        <v>9</v>
      </c>
      <c r="D528" s="1" t="s">
        <v>15</v>
      </c>
      <c r="E528" s="1" t="s">
        <v>20</v>
      </c>
      <c r="F528" s="1" t="s">
        <v>24</v>
      </c>
      <c r="G528" s="4">
        <v>474.94</v>
      </c>
      <c r="H528" s="1">
        <v>4</v>
      </c>
      <c r="I528" s="1" t="str">
        <f>TEXT(SalesTable[[#This Row],[Order_Date]],"mmm")</f>
        <v>Jun</v>
      </c>
      <c r="J528" s="1">
        <f>YEAR(SalesTable[[#This Row],[Order_Date]])</f>
        <v>2023</v>
      </c>
      <c r="K528" s="4">
        <v>-87.83</v>
      </c>
      <c r="L528" s="9">
        <f>SalesTable[[#This Row],[Profit]]/SalesTable[[#This Row],[Sales]]</f>
        <v>-0.18492862256285003</v>
      </c>
    </row>
    <row r="529" spans="1:12" ht="14" x14ac:dyDescent="0.15">
      <c r="A529" s="1">
        <v>10528</v>
      </c>
      <c r="B529" s="2">
        <v>45089</v>
      </c>
      <c r="C529" s="1" t="s">
        <v>12</v>
      </c>
      <c r="D529" s="1" t="s">
        <v>13</v>
      </c>
      <c r="E529" s="1" t="s">
        <v>20</v>
      </c>
      <c r="F529" s="1" t="s">
        <v>21</v>
      </c>
      <c r="G529" s="4">
        <v>967.24</v>
      </c>
      <c r="H529" s="1">
        <v>9</v>
      </c>
      <c r="I529" s="1" t="str">
        <f>TEXT(SalesTable[[#This Row],[Order_Date]],"mmm")</f>
        <v>Jun</v>
      </c>
      <c r="J529" s="1">
        <f>YEAR(SalesTable[[#This Row],[Order_Date]])</f>
        <v>2023</v>
      </c>
      <c r="K529" s="4">
        <v>31.26</v>
      </c>
      <c r="L529" s="9">
        <f>SalesTable[[#This Row],[Profit]]/SalesTable[[#This Row],[Sales]]</f>
        <v>3.2318762664902197E-2</v>
      </c>
    </row>
    <row r="530" spans="1:12" ht="14" x14ac:dyDescent="0.15">
      <c r="A530" s="1">
        <v>10529</v>
      </c>
      <c r="B530" s="2">
        <v>45090</v>
      </c>
      <c r="C530" s="1" t="s">
        <v>12</v>
      </c>
      <c r="D530" s="1" t="s">
        <v>15</v>
      </c>
      <c r="E530" s="1" t="s">
        <v>19</v>
      </c>
      <c r="F530" s="1" t="s">
        <v>21</v>
      </c>
      <c r="G530" s="4">
        <v>408.48</v>
      </c>
      <c r="H530" s="1">
        <v>4</v>
      </c>
      <c r="I530" s="1" t="str">
        <f>TEXT(SalesTable[[#This Row],[Order_Date]],"mmm")</f>
        <v>Jun</v>
      </c>
      <c r="J530" s="1">
        <f>YEAR(SalesTable[[#This Row],[Order_Date]])</f>
        <v>2023</v>
      </c>
      <c r="K530" s="4">
        <v>263.27999999999997</v>
      </c>
      <c r="L530" s="9">
        <f>SalesTable[[#This Row],[Profit]]/SalesTable[[#This Row],[Sales]]</f>
        <v>0.64453584018801402</v>
      </c>
    </row>
    <row r="531" spans="1:12" ht="14" x14ac:dyDescent="0.15">
      <c r="A531" s="1">
        <v>10530</v>
      </c>
      <c r="B531" s="2">
        <v>45091</v>
      </c>
      <c r="C531" s="1" t="s">
        <v>12</v>
      </c>
      <c r="D531" s="1" t="s">
        <v>14</v>
      </c>
      <c r="E531" s="1" t="s">
        <v>19</v>
      </c>
      <c r="F531" s="1" t="s">
        <v>23</v>
      </c>
      <c r="G531" s="4">
        <v>295.32</v>
      </c>
      <c r="H531" s="1">
        <v>3</v>
      </c>
      <c r="I531" s="1" t="str">
        <f>TEXT(SalesTable[[#This Row],[Order_Date]],"mmm")</f>
        <v>Jun</v>
      </c>
      <c r="J531" s="1">
        <f>YEAR(SalesTable[[#This Row],[Order_Date]])</f>
        <v>2023</v>
      </c>
      <c r="K531" s="4">
        <v>-61.22</v>
      </c>
      <c r="L531" s="9">
        <f>SalesTable[[#This Row],[Profit]]/SalesTable[[#This Row],[Sales]]</f>
        <v>-0.20730055532981173</v>
      </c>
    </row>
    <row r="532" spans="1:12" ht="14" x14ac:dyDescent="0.15">
      <c r="A532" s="1">
        <v>10531</v>
      </c>
      <c r="B532" s="2">
        <v>45092</v>
      </c>
      <c r="C532" s="1" t="s">
        <v>11</v>
      </c>
      <c r="D532" s="1" t="s">
        <v>15</v>
      </c>
      <c r="E532" s="1" t="s">
        <v>16</v>
      </c>
      <c r="F532" s="1" t="s">
        <v>25</v>
      </c>
      <c r="G532" s="4">
        <v>281.29000000000002</v>
      </c>
      <c r="H532" s="1">
        <v>2</v>
      </c>
      <c r="I532" s="1" t="str">
        <f>TEXT(SalesTable[[#This Row],[Order_Date]],"mmm")</f>
        <v>Jun</v>
      </c>
      <c r="J532" s="1">
        <f>YEAR(SalesTable[[#This Row],[Order_Date]])</f>
        <v>2023</v>
      </c>
      <c r="K532" s="4">
        <v>142.56</v>
      </c>
      <c r="L532" s="9">
        <f>SalesTable[[#This Row],[Profit]]/SalesTable[[#This Row],[Sales]]</f>
        <v>0.5068079206512851</v>
      </c>
    </row>
    <row r="533" spans="1:12" ht="14" x14ac:dyDescent="0.15">
      <c r="A533" s="1">
        <v>10532</v>
      </c>
      <c r="B533" s="2">
        <v>45093</v>
      </c>
      <c r="C533" s="1" t="s">
        <v>10</v>
      </c>
      <c r="D533" s="1" t="s">
        <v>14</v>
      </c>
      <c r="E533" s="1" t="s">
        <v>16</v>
      </c>
      <c r="F533" s="1" t="s">
        <v>25</v>
      </c>
      <c r="G533" s="4">
        <v>484.88</v>
      </c>
      <c r="H533" s="1">
        <v>5</v>
      </c>
      <c r="I533" s="1" t="str">
        <f>TEXT(SalesTable[[#This Row],[Order_Date]],"mmm")</f>
        <v>Jun</v>
      </c>
      <c r="J533" s="1">
        <f>YEAR(SalesTable[[#This Row],[Order_Date]])</f>
        <v>2023</v>
      </c>
      <c r="K533" s="4">
        <v>80.599999999999994</v>
      </c>
      <c r="L533" s="9">
        <f>SalesTable[[#This Row],[Profit]]/SalesTable[[#This Row],[Sales]]</f>
        <v>0.16622669526480777</v>
      </c>
    </row>
    <row r="534" spans="1:12" ht="14" x14ac:dyDescent="0.15">
      <c r="A534" s="1">
        <v>10533</v>
      </c>
      <c r="B534" s="2">
        <v>45094</v>
      </c>
      <c r="C534" s="1" t="s">
        <v>11</v>
      </c>
      <c r="D534" s="1" t="s">
        <v>14</v>
      </c>
      <c r="E534" s="1" t="s">
        <v>19</v>
      </c>
      <c r="F534" s="1" t="s">
        <v>21</v>
      </c>
      <c r="G534" s="4">
        <v>771.54</v>
      </c>
      <c r="H534" s="1">
        <v>4</v>
      </c>
      <c r="I534" s="1" t="str">
        <f>TEXT(SalesTable[[#This Row],[Order_Date]],"mmm")</f>
        <v>Jun</v>
      </c>
      <c r="J534" s="1">
        <f>YEAR(SalesTable[[#This Row],[Order_Date]])</f>
        <v>2023</v>
      </c>
      <c r="K534" s="4">
        <v>275.39</v>
      </c>
      <c r="L534" s="9">
        <f>SalesTable[[#This Row],[Profit]]/SalesTable[[#This Row],[Sales]]</f>
        <v>0.35693547968997069</v>
      </c>
    </row>
    <row r="535" spans="1:12" ht="14" x14ac:dyDescent="0.15">
      <c r="A535" s="1">
        <v>10534</v>
      </c>
      <c r="B535" s="2">
        <v>45095</v>
      </c>
      <c r="C535" s="1" t="s">
        <v>11</v>
      </c>
      <c r="D535" s="1" t="s">
        <v>13</v>
      </c>
      <c r="E535" s="1" t="s">
        <v>16</v>
      </c>
      <c r="F535" s="1" t="s">
        <v>24</v>
      </c>
      <c r="G535" s="4">
        <v>245.69</v>
      </c>
      <c r="H535" s="1">
        <v>8</v>
      </c>
      <c r="I535" s="1" t="str">
        <f>TEXT(SalesTable[[#This Row],[Order_Date]],"mmm")</f>
        <v>Jun</v>
      </c>
      <c r="J535" s="1">
        <f>YEAR(SalesTable[[#This Row],[Order_Date]])</f>
        <v>2023</v>
      </c>
      <c r="K535" s="4">
        <v>-50.99</v>
      </c>
      <c r="L535" s="9">
        <f>SalesTable[[#This Row],[Profit]]/SalesTable[[#This Row],[Sales]]</f>
        <v>-0.20753795433269567</v>
      </c>
    </row>
    <row r="536" spans="1:12" ht="14" x14ac:dyDescent="0.15">
      <c r="A536" s="1">
        <v>10535</v>
      </c>
      <c r="B536" s="2">
        <v>45096</v>
      </c>
      <c r="C536" s="1" t="s">
        <v>9</v>
      </c>
      <c r="D536" s="1" t="s">
        <v>14</v>
      </c>
      <c r="E536" s="1" t="s">
        <v>18</v>
      </c>
      <c r="F536" s="1" t="s">
        <v>21</v>
      </c>
      <c r="G536" s="4">
        <v>723.83</v>
      </c>
      <c r="H536" s="1">
        <v>7</v>
      </c>
      <c r="I536" s="1" t="str">
        <f>TEXT(SalesTable[[#This Row],[Order_Date]],"mmm")</f>
        <v>Jun</v>
      </c>
      <c r="J536" s="1">
        <f>YEAR(SalesTable[[#This Row],[Order_Date]])</f>
        <v>2023</v>
      </c>
      <c r="K536" s="4">
        <v>-15.19</v>
      </c>
      <c r="L536" s="9">
        <f>SalesTable[[#This Row],[Profit]]/SalesTable[[#This Row],[Sales]]</f>
        <v>-2.0985590539215008E-2</v>
      </c>
    </row>
    <row r="537" spans="1:12" ht="14" x14ac:dyDescent="0.15">
      <c r="A537" s="1">
        <v>10536</v>
      </c>
      <c r="B537" s="2">
        <v>45097</v>
      </c>
      <c r="C537" s="1" t="s">
        <v>12</v>
      </c>
      <c r="D537" s="1" t="s">
        <v>14</v>
      </c>
      <c r="E537" s="1" t="s">
        <v>20</v>
      </c>
      <c r="F537" s="1" t="s">
        <v>24</v>
      </c>
      <c r="G537" s="4">
        <v>70.09</v>
      </c>
      <c r="H537" s="1">
        <v>6</v>
      </c>
      <c r="I537" s="1" t="str">
        <f>TEXT(SalesTable[[#This Row],[Order_Date]],"mmm")</f>
        <v>Jun</v>
      </c>
      <c r="J537" s="1">
        <f>YEAR(SalesTable[[#This Row],[Order_Date]])</f>
        <v>2023</v>
      </c>
      <c r="K537" s="4">
        <v>-88.18</v>
      </c>
      <c r="L537" s="9">
        <f>SalesTable[[#This Row],[Profit]]/SalesTable[[#This Row],[Sales]]</f>
        <v>-1.2580967327721502</v>
      </c>
    </row>
    <row r="538" spans="1:12" ht="14" x14ac:dyDescent="0.15">
      <c r="A538" s="1">
        <v>10537</v>
      </c>
      <c r="B538" s="2">
        <v>45098</v>
      </c>
      <c r="C538" s="1" t="s">
        <v>10</v>
      </c>
      <c r="D538" s="1" t="s">
        <v>13</v>
      </c>
      <c r="E538" s="1" t="s">
        <v>20</v>
      </c>
      <c r="F538" s="1" t="s">
        <v>24</v>
      </c>
      <c r="G538" s="4">
        <v>447.99</v>
      </c>
      <c r="H538" s="1">
        <v>2</v>
      </c>
      <c r="I538" s="1" t="str">
        <f>TEXT(SalesTable[[#This Row],[Order_Date]],"mmm")</f>
        <v>Jun</v>
      </c>
      <c r="J538" s="1">
        <f>YEAR(SalesTable[[#This Row],[Order_Date]])</f>
        <v>2023</v>
      </c>
      <c r="K538" s="4">
        <v>73.569999999999993</v>
      </c>
      <c r="L538" s="9">
        <f>SalesTable[[#This Row],[Profit]]/SalesTable[[#This Row],[Sales]]</f>
        <v>0.16422241567892137</v>
      </c>
    </row>
    <row r="539" spans="1:12" ht="14" x14ac:dyDescent="0.15">
      <c r="A539" s="1">
        <v>10538</v>
      </c>
      <c r="B539" s="2">
        <v>45099</v>
      </c>
      <c r="C539" s="1" t="s">
        <v>9</v>
      </c>
      <c r="D539" s="1" t="s">
        <v>14</v>
      </c>
      <c r="E539" s="1" t="s">
        <v>19</v>
      </c>
      <c r="F539" s="1" t="s">
        <v>21</v>
      </c>
      <c r="G539" s="4">
        <v>787.07</v>
      </c>
      <c r="H539" s="1">
        <v>3</v>
      </c>
      <c r="I539" s="1" t="str">
        <f>TEXT(SalesTable[[#This Row],[Order_Date]],"mmm")</f>
        <v>Jun</v>
      </c>
      <c r="J539" s="1">
        <f>YEAR(SalesTable[[#This Row],[Order_Date]])</f>
        <v>2023</v>
      </c>
      <c r="K539" s="4">
        <v>11.13</v>
      </c>
      <c r="L539" s="9">
        <f>SalesTable[[#This Row],[Profit]]/SalesTable[[#This Row],[Sales]]</f>
        <v>1.4141054798175512E-2</v>
      </c>
    </row>
    <row r="540" spans="1:12" ht="14" x14ac:dyDescent="0.15">
      <c r="A540" s="1">
        <v>10539</v>
      </c>
      <c r="B540" s="2">
        <v>45100</v>
      </c>
      <c r="C540" s="1" t="s">
        <v>11</v>
      </c>
      <c r="D540" s="1" t="s">
        <v>13</v>
      </c>
      <c r="E540" s="1" t="s">
        <v>17</v>
      </c>
      <c r="F540" s="1" t="s">
        <v>22</v>
      </c>
      <c r="G540" s="4">
        <v>371.8</v>
      </c>
      <c r="H540" s="1">
        <v>9</v>
      </c>
      <c r="I540" s="1" t="str">
        <f>TEXT(SalesTable[[#This Row],[Order_Date]],"mmm")</f>
        <v>Jun</v>
      </c>
      <c r="J540" s="1">
        <f>YEAR(SalesTable[[#This Row],[Order_Date]])</f>
        <v>2023</v>
      </c>
      <c r="K540" s="4">
        <v>247.96</v>
      </c>
      <c r="L540" s="9">
        <f>SalesTable[[#This Row],[Profit]]/SalesTable[[#This Row],[Sales]]</f>
        <v>0.66691769768692843</v>
      </c>
    </row>
    <row r="541" spans="1:12" ht="14" x14ac:dyDescent="0.15">
      <c r="A541" s="1">
        <v>10540</v>
      </c>
      <c r="B541" s="2">
        <v>45101</v>
      </c>
      <c r="C541" s="1" t="s">
        <v>12</v>
      </c>
      <c r="D541" s="1" t="s">
        <v>13</v>
      </c>
      <c r="E541" s="1" t="s">
        <v>19</v>
      </c>
      <c r="F541" s="1" t="s">
        <v>25</v>
      </c>
      <c r="G541" s="4">
        <v>585.54999999999995</v>
      </c>
      <c r="H541" s="1">
        <v>9</v>
      </c>
      <c r="I541" s="1" t="str">
        <f>TEXT(SalesTable[[#This Row],[Order_Date]],"mmm")</f>
        <v>Jun</v>
      </c>
      <c r="J541" s="1">
        <f>YEAR(SalesTable[[#This Row],[Order_Date]])</f>
        <v>2023</v>
      </c>
      <c r="K541" s="4">
        <v>141.97999999999999</v>
      </c>
      <c r="L541" s="9">
        <f>SalesTable[[#This Row],[Profit]]/SalesTable[[#This Row],[Sales]]</f>
        <v>0.24247288873708478</v>
      </c>
    </row>
    <row r="542" spans="1:12" ht="14" x14ac:dyDescent="0.15">
      <c r="A542" s="1">
        <v>10541</v>
      </c>
      <c r="B542" s="2">
        <v>45102</v>
      </c>
      <c r="C542" s="1" t="s">
        <v>9</v>
      </c>
      <c r="D542" s="1" t="s">
        <v>14</v>
      </c>
      <c r="E542" s="1" t="s">
        <v>16</v>
      </c>
      <c r="F542" s="1" t="s">
        <v>24</v>
      </c>
      <c r="G542" s="4">
        <v>244.73</v>
      </c>
      <c r="H542" s="1">
        <v>5</v>
      </c>
      <c r="I542" s="1" t="str">
        <f>TEXT(SalesTable[[#This Row],[Order_Date]],"mmm")</f>
        <v>Jun</v>
      </c>
      <c r="J542" s="1">
        <f>YEAR(SalesTable[[#This Row],[Order_Date]])</f>
        <v>2023</v>
      </c>
      <c r="K542" s="4">
        <v>145.63999999999999</v>
      </c>
      <c r="L542" s="9">
        <f>SalesTable[[#This Row],[Profit]]/SalesTable[[#This Row],[Sales]]</f>
        <v>0.59510480938176769</v>
      </c>
    </row>
    <row r="543" spans="1:12" ht="14" x14ac:dyDescent="0.15">
      <c r="A543" s="1">
        <v>10542</v>
      </c>
      <c r="B543" s="2">
        <v>45103</v>
      </c>
      <c r="C543" s="1" t="s">
        <v>12</v>
      </c>
      <c r="D543" s="1" t="s">
        <v>14</v>
      </c>
      <c r="E543" s="1" t="s">
        <v>17</v>
      </c>
      <c r="F543" s="1" t="s">
        <v>24</v>
      </c>
      <c r="G543" s="4">
        <v>754.9</v>
      </c>
      <c r="H543" s="1">
        <v>3</v>
      </c>
      <c r="I543" s="1" t="str">
        <f>TEXT(SalesTable[[#This Row],[Order_Date]],"mmm")</f>
        <v>Jun</v>
      </c>
      <c r="J543" s="1">
        <f>YEAR(SalesTable[[#This Row],[Order_Date]])</f>
        <v>2023</v>
      </c>
      <c r="K543" s="4">
        <v>112.76</v>
      </c>
      <c r="L543" s="9">
        <f>SalesTable[[#This Row],[Profit]]/SalesTable[[#This Row],[Sales]]</f>
        <v>0.1493707775864353</v>
      </c>
    </row>
    <row r="544" spans="1:12" ht="14" x14ac:dyDescent="0.15">
      <c r="A544" s="1">
        <v>10543</v>
      </c>
      <c r="B544" s="2">
        <v>45104</v>
      </c>
      <c r="C544" s="1" t="s">
        <v>9</v>
      </c>
      <c r="D544" s="1" t="s">
        <v>15</v>
      </c>
      <c r="E544" s="1" t="s">
        <v>16</v>
      </c>
      <c r="F544" s="1" t="s">
        <v>22</v>
      </c>
      <c r="G544" s="4">
        <v>99.67</v>
      </c>
      <c r="H544" s="1">
        <v>2</v>
      </c>
      <c r="I544" s="1" t="str">
        <f>TEXT(SalesTable[[#This Row],[Order_Date]],"mmm")</f>
        <v>Jun</v>
      </c>
      <c r="J544" s="1">
        <f>YEAR(SalesTable[[#This Row],[Order_Date]])</f>
        <v>2023</v>
      </c>
      <c r="K544" s="4">
        <v>-63.26</v>
      </c>
      <c r="L544" s="9">
        <f>SalesTable[[#This Row],[Profit]]/SalesTable[[#This Row],[Sales]]</f>
        <v>-0.63469449182301596</v>
      </c>
    </row>
    <row r="545" spans="1:12" ht="14" x14ac:dyDescent="0.15">
      <c r="A545" s="1">
        <v>10544</v>
      </c>
      <c r="B545" s="2">
        <v>45105</v>
      </c>
      <c r="C545" s="1" t="s">
        <v>12</v>
      </c>
      <c r="D545" s="1" t="s">
        <v>13</v>
      </c>
      <c r="E545" s="1" t="s">
        <v>18</v>
      </c>
      <c r="F545" s="1" t="s">
        <v>23</v>
      </c>
      <c r="G545" s="4">
        <v>859.92</v>
      </c>
      <c r="H545" s="1">
        <v>8</v>
      </c>
      <c r="I545" s="1" t="str">
        <f>TEXT(SalesTable[[#This Row],[Order_Date]],"mmm")</f>
        <v>Jun</v>
      </c>
      <c r="J545" s="1">
        <f>YEAR(SalesTable[[#This Row],[Order_Date]])</f>
        <v>2023</v>
      </c>
      <c r="K545" s="4">
        <v>78.010000000000005</v>
      </c>
      <c r="L545" s="9">
        <f>SalesTable[[#This Row],[Profit]]/SalesTable[[#This Row],[Sales]]</f>
        <v>9.0717741185226547E-2</v>
      </c>
    </row>
    <row r="546" spans="1:12" ht="14" x14ac:dyDescent="0.15">
      <c r="A546" s="1">
        <v>10545</v>
      </c>
      <c r="B546" s="2">
        <v>45106</v>
      </c>
      <c r="C546" s="1" t="s">
        <v>11</v>
      </c>
      <c r="D546" s="1" t="s">
        <v>15</v>
      </c>
      <c r="E546" s="1" t="s">
        <v>16</v>
      </c>
      <c r="F546" s="1" t="s">
        <v>22</v>
      </c>
      <c r="G546" s="4">
        <v>238.29</v>
      </c>
      <c r="H546" s="1">
        <v>6</v>
      </c>
      <c r="I546" s="1" t="str">
        <f>TEXT(SalesTable[[#This Row],[Order_Date]],"mmm")</f>
        <v>Jun</v>
      </c>
      <c r="J546" s="1">
        <f>YEAR(SalesTable[[#This Row],[Order_Date]])</f>
        <v>2023</v>
      </c>
      <c r="K546" s="4">
        <v>299.8</v>
      </c>
      <c r="L546" s="9">
        <f>SalesTable[[#This Row],[Profit]]/SalesTable[[#This Row],[Sales]]</f>
        <v>1.2581308489655463</v>
      </c>
    </row>
    <row r="547" spans="1:12" ht="14" x14ac:dyDescent="0.15">
      <c r="A547" s="1">
        <v>10546</v>
      </c>
      <c r="B547" s="2">
        <v>45107</v>
      </c>
      <c r="C547" s="1" t="s">
        <v>10</v>
      </c>
      <c r="D547" s="1" t="s">
        <v>14</v>
      </c>
      <c r="E547" s="1" t="s">
        <v>18</v>
      </c>
      <c r="F547" s="1" t="s">
        <v>22</v>
      </c>
      <c r="G547" s="4">
        <v>880.68</v>
      </c>
      <c r="H547" s="1">
        <v>7</v>
      </c>
      <c r="I547" s="1" t="str">
        <f>TEXT(SalesTable[[#This Row],[Order_Date]],"mmm")</f>
        <v>Jun</v>
      </c>
      <c r="J547" s="1">
        <f>YEAR(SalesTable[[#This Row],[Order_Date]])</f>
        <v>2023</v>
      </c>
      <c r="K547" s="4">
        <v>234.09</v>
      </c>
      <c r="L547" s="9">
        <f>SalesTable[[#This Row],[Profit]]/SalesTable[[#This Row],[Sales]]</f>
        <v>0.26580596811554708</v>
      </c>
    </row>
    <row r="548" spans="1:12" ht="14" x14ac:dyDescent="0.15">
      <c r="A548" s="1">
        <v>10547</v>
      </c>
      <c r="B548" s="2">
        <v>45108</v>
      </c>
      <c r="C548" s="1" t="s">
        <v>11</v>
      </c>
      <c r="D548" s="1" t="s">
        <v>15</v>
      </c>
      <c r="E548" s="1" t="s">
        <v>18</v>
      </c>
      <c r="F548" s="1" t="s">
        <v>24</v>
      </c>
      <c r="G548" s="4">
        <v>384.9</v>
      </c>
      <c r="H548" s="1">
        <v>1</v>
      </c>
      <c r="I548" s="1" t="str">
        <f>TEXT(SalesTable[[#This Row],[Order_Date]],"mmm")</f>
        <v>Jul</v>
      </c>
      <c r="J548" s="1">
        <f>YEAR(SalesTable[[#This Row],[Order_Date]])</f>
        <v>2023</v>
      </c>
      <c r="K548" s="4">
        <v>257.38</v>
      </c>
      <c r="L548" s="9">
        <f>SalesTable[[#This Row],[Profit]]/SalesTable[[#This Row],[Sales]]</f>
        <v>0.66869316705637827</v>
      </c>
    </row>
    <row r="549" spans="1:12" ht="14" x14ac:dyDescent="0.15">
      <c r="A549" s="1">
        <v>10548</v>
      </c>
      <c r="B549" s="2">
        <v>45109</v>
      </c>
      <c r="C549" s="1" t="s">
        <v>10</v>
      </c>
      <c r="D549" s="1" t="s">
        <v>13</v>
      </c>
      <c r="E549" s="1" t="s">
        <v>16</v>
      </c>
      <c r="F549" s="1" t="s">
        <v>25</v>
      </c>
      <c r="G549" s="4">
        <v>736.55</v>
      </c>
      <c r="H549" s="1">
        <v>1</v>
      </c>
      <c r="I549" s="1" t="str">
        <f>TEXT(SalesTable[[#This Row],[Order_Date]],"mmm")</f>
        <v>Jul</v>
      </c>
      <c r="J549" s="1">
        <f>YEAR(SalesTable[[#This Row],[Order_Date]])</f>
        <v>2023</v>
      </c>
      <c r="K549" s="4">
        <v>229.29</v>
      </c>
      <c r="L549" s="9">
        <f>SalesTable[[#This Row],[Profit]]/SalesTable[[#This Row],[Sales]]</f>
        <v>0.31130269499694524</v>
      </c>
    </row>
    <row r="550" spans="1:12" ht="14" x14ac:dyDescent="0.15">
      <c r="A550" s="1">
        <v>10549</v>
      </c>
      <c r="B550" s="2">
        <v>45110</v>
      </c>
      <c r="C550" s="1" t="s">
        <v>12</v>
      </c>
      <c r="D550" s="1" t="s">
        <v>15</v>
      </c>
      <c r="E550" s="1" t="s">
        <v>16</v>
      </c>
      <c r="F550" s="1" t="s">
        <v>22</v>
      </c>
      <c r="G550" s="4">
        <v>353.26</v>
      </c>
      <c r="H550" s="1">
        <v>2</v>
      </c>
      <c r="I550" s="1" t="str">
        <f>TEXT(SalesTable[[#This Row],[Order_Date]],"mmm")</f>
        <v>Jul</v>
      </c>
      <c r="J550" s="1">
        <f>YEAR(SalesTable[[#This Row],[Order_Date]])</f>
        <v>2023</v>
      </c>
      <c r="K550" s="4">
        <v>-58.78</v>
      </c>
      <c r="L550" s="9">
        <f>SalesTable[[#This Row],[Profit]]/SalesTable[[#This Row],[Sales]]</f>
        <v>-0.16639302496744607</v>
      </c>
    </row>
    <row r="551" spans="1:12" ht="14" x14ac:dyDescent="0.15">
      <c r="A551" s="1">
        <v>10550</v>
      </c>
      <c r="B551" s="2">
        <v>45111</v>
      </c>
      <c r="C551" s="1" t="s">
        <v>9</v>
      </c>
      <c r="D551" s="1" t="s">
        <v>13</v>
      </c>
      <c r="E551" s="1" t="s">
        <v>18</v>
      </c>
      <c r="F551" s="1" t="s">
        <v>23</v>
      </c>
      <c r="G551" s="4">
        <v>910.62</v>
      </c>
      <c r="H551" s="1">
        <v>3</v>
      </c>
      <c r="I551" s="1" t="str">
        <f>TEXT(SalesTable[[#This Row],[Order_Date]],"mmm")</f>
        <v>Jul</v>
      </c>
      <c r="J551" s="1">
        <f>YEAR(SalesTable[[#This Row],[Order_Date]])</f>
        <v>2023</v>
      </c>
      <c r="K551" s="4">
        <v>-9.02</v>
      </c>
      <c r="L551" s="9">
        <f>SalesTable[[#This Row],[Profit]]/SalesTable[[#This Row],[Sales]]</f>
        <v>-9.9053392194329137E-3</v>
      </c>
    </row>
    <row r="552" spans="1:12" ht="14" x14ac:dyDescent="0.15">
      <c r="A552" s="1">
        <v>10551</v>
      </c>
      <c r="B552" s="2">
        <v>45112</v>
      </c>
      <c r="C552" s="1" t="s">
        <v>11</v>
      </c>
      <c r="D552" s="1" t="s">
        <v>14</v>
      </c>
      <c r="E552" s="1" t="s">
        <v>17</v>
      </c>
      <c r="F552" s="1" t="s">
        <v>21</v>
      </c>
      <c r="G552" s="4">
        <v>170.31</v>
      </c>
      <c r="H552" s="1">
        <v>1</v>
      </c>
      <c r="I552" s="1" t="str">
        <f>TEXT(SalesTable[[#This Row],[Order_Date]],"mmm")</f>
        <v>Jul</v>
      </c>
      <c r="J552" s="1">
        <f>YEAR(SalesTable[[#This Row],[Order_Date]])</f>
        <v>2023</v>
      </c>
      <c r="K552" s="4">
        <v>-98.75</v>
      </c>
      <c r="L552" s="9">
        <f>SalesTable[[#This Row],[Profit]]/SalesTable[[#This Row],[Sales]]</f>
        <v>-0.57982502495449473</v>
      </c>
    </row>
    <row r="553" spans="1:12" ht="14" x14ac:dyDescent="0.15">
      <c r="A553" s="1">
        <v>10552</v>
      </c>
      <c r="B553" s="2">
        <v>45113</v>
      </c>
      <c r="C553" s="1" t="s">
        <v>10</v>
      </c>
      <c r="D553" s="1" t="s">
        <v>14</v>
      </c>
      <c r="E553" s="1" t="s">
        <v>18</v>
      </c>
      <c r="F553" s="1" t="s">
        <v>22</v>
      </c>
      <c r="G553" s="4">
        <v>219.59</v>
      </c>
      <c r="H553" s="1">
        <v>5</v>
      </c>
      <c r="I553" s="1" t="str">
        <f>TEXT(SalesTable[[#This Row],[Order_Date]],"mmm")</f>
        <v>Jul</v>
      </c>
      <c r="J553" s="1">
        <f>YEAR(SalesTable[[#This Row],[Order_Date]])</f>
        <v>2023</v>
      </c>
      <c r="K553" s="4">
        <v>21.4</v>
      </c>
      <c r="L553" s="9">
        <f>SalesTable[[#This Row],[Profit]]/SalesTable[[#This Row],[Sales]]</f>
        <v>9.7454346737100947E-2</v>
      </c>
    </row>
    <row r="554" spans="1:12" ht="14" x14ac:dyDescent="0.15">
      <c r="A554" s="1">
        <v>10553</v>
      </c>
      <c r="B554" s="2">
        <v>45114</v>
      </c>
      <c r="C554" s="1" t="s">
        <v>11</v>
      </c>
      <c r="D554" s="1" t="s">
        <v>13</v>
      </c>
      <c r="E554" s="1" t="s">
        <v>20</v>
      </c>
      <c r="F554" s="1" t="s">
        <v>22</v>
      </c>
      <c r="G554" s="4">
        <v>518.38</v>
      </c>
      <c r="H554" s="1">
        <v>3</v>
      </c>
      <c r="I554" s="1" t="str">
        <f>TEXT(SalesTable[[#This Row],[Order_Date]],"mmm")</f>
        <v>Jul</v>
      </c>
      <c r="J554" s="1">
        <f>YEAR(SalesTable[[#This Row],[Order_Date]])</f>
        <v>2023</v>
      </c>
      <c r="K554" s="4">
        <v>-56.56</v>
      </c>
      <c r="L554" s="9">
        <f>SalesTable[[#This Row],[Profit]]/SalesTable[[#This Row],[Sales]]</f>
        <v>-0.10910914772946488</v>
      </c>
    </row>
    <row r="555" spans="1:12" ht="14" x14ac:dyDescent="0.15">
      <c r="A555" s="1">
        <v>10554</v>
      </c>
      <c r="B555" s="2">
        <v>45115</v>
      </c>
      <c r="C555" s="1" t="s">
        <v>10</v>
      </c>
      <c r="D555" s="1" t="s">
        <v>14</v>
      </c>
      <c r="E555" s="1" t="s">
        <v>18</v>
      </c>
      <c r="F555" s="1" t="s">
        <v>23</v>
      </c>
      <c r="G555" s="4">
        <v>127.84</v>
      </c>
      <c r="H555" s="1">
        <v>1</v>
      </c>
      <c r="I555" s="1" t="str">
        <f>TEXT(SalesTable[[#This Row],[Order_Date]],"mmm")</f>
        <v>Jul</v>
      </c>
      <c r="J555" s="1">
        <f>YEAR(SalesTable[[#This Row],[Order_Date]])</f>
        <v>2023</v>
      </c>
      <c r="K555" s="4">
        <v>89.12</v>
      </c>
      <c r="L555" s="9">
        <f>SalesTable[[#This Row],[Profit]]/SalesTable[[#This Row],[Sales]]</f>
        <v>0.69712140175219028</v>
      </c>
    </row>
    <row r="556" spans="1:12" ht="14" x14ac:dyDescent="0.15">
      <c r="A556" s="1">
        <v>10555</v>
      </c>
      <c r="B556" s="2">
        <v>45116</v>
      </c>
      <c r="C556" s="1" t="s">
        <v>11</v>
      </c>
      <c r="D556" s="1" t="s">
        <v>14</v>
      </c>
      <c r="E556" s="1" t="s">
        <v>17</v>
      </c>
      <c r="F556" s="1" t="s">
        <v>25</v>
      </c>
      <c r="G556" s="4">
        <v>236.18</v>
      </c>
      <c r="H556" s="1">
        <v>8</v>
      </c>
      <c r="I556" s="1" t="str">
        <f>TEXT(SalesTable[[#This Row],[Order_Date]],"mmm")</f>
        <v>Jul</v>
      </c>
      <c r="J556" s="1">
        <f>YEAR(SalesTable[[#This Row],[Order_Date]])</f>
        <v>2023</v>
      </c>
      <c r="K556" s="4">
        <v>170.85</v>
      </c>
      <c r="L556" s="9">
        <f>SalesTable[[#This Row],[Profit]]/SalesTable[[#This Row],[Sales]]</f>
        <v>0.72338894063849601</v>
      </c>
    </row>
    <row r="557" spans="1:12" ht="14" x14ac:dyDescent="0.15">
      <c r="A557" s="1">
        <v>10556</v>
      </c>
      <c r="B557" s="2">
        <v>45117</v>
      </c>
      <c r="C557" s="1" t="s">
        <v>10</v>
      </c>
      <c r="D557" s="1" t="s">
        <v>14</v>
      </c>
      <c r="E557" s="1" t="s">
        <v>20</v>
      </c>
      <c r="F557" s="1" t="s">
        <v>22</v>
      </c>
      <c r="G557" s="4">
        <v>946.58</v>
      </c>
      <c r="H557" s="1">
        <v>6</v>
      </c>
      <c r="I557" s="1" t="str">
        <f>TEXT(SalesTable[[#This Row],[Order_Date]],"mmm")</f>
        <v>Jul</v>
      </c>
      <c r="J557" s="1">
        <f>YEAR(SalesTable[[#This Row],[Order_Date]])</f>
        <v>2023</v>
      </c>
      <c r="K557" s="4">
        <v>249.8</v>
      </c>
      <c r="L557" s="9">
        <f>SalesTable[[#This Row],[Profit]]/SalesTable[[#This Row],[Sales]]</f>
        <v>0.26389739905766019</v>
      </c>
    </row>
    <row r="558" spans="1:12" ht="14" x14ac:dyDescent="0.15">
      <c r="A558" s="1">
        <v>10557</v>
      </c>
      <c r="B558" s="2">
        <v>45118</v>
      </c>
      <c r="C558" s="1" t="s">
        <v>10</v>
      </c>
      <c r="D558" s="1" t="s">
        <v>14</v>
      </c>
      <c r="E558" s="1" t="s">
        <v>19</v>
      </c>
      <c r="F558" s="1" t="s">
        <v>22</v>
      </c>
      <c r="G558" s="4">
        <v>977.67</v>
      </c>
      <c r="H558" s="1">
        <v>9</v>
      </c>
      <c r="I558" s="1" t="str">
        <f>TEXT(SalesTable[[#This Row],[Order_Date]],"mmm")</f>
        <v>Jul</v>
      </c>
      <c r="J558" s="1">
        <f>YEAR(SalesTable[[#This Row],[Order_Date]])</f>
        <v>2023</v>
      </c>
      <c r="K558" s="4">
        <v>199.69</v>
      </c>
      <c r="L558" s="9">
        <f>SalesTable[[#This Row],[Profit]]/SalesTable[[#This Row],[Sales]]</f>
        <v>0.20425092311311588</v>
      </c>
    </row>
    <row r="559" spans="1:12" ht="14" x14ac:dyDescent="0.15">
      <c r="A559" s="1">
        <v>10558</v>
      </c>
      <c r="B559" s="2">
        <v>45119</v>
      </c>
      <c r="C559" s="1" t="s">
        <v>12</v>
      </c>
      <c r="D559" s="1" t="s">
        <v>13</v>
      </c>
      <c r="E559" s="1" t="s">
        <v>19</v>
      </c>
      <c r="F559" s="1" t="s">
        <v>25</v>
      </c>
      <c r="G559" s="4">
        <v>407.45</v>
      </c>
      <c r="H559" s="1">
        <v>3</v>
      </c>
      <c r="I559" s="1" t="str">
        <f>TEXT(SalesTable[[#This Row],[Order_Date]],"mmm")</f>
        <v>Jul</v>
      </c>
      <c r="J559" s="1">
        <f>YEAR(SalesTable[[#This Row],[Order_Date]])</f>
        <v>2023</v>
      </c>
      <c r="K559" s="4">
        <v>275.43</v>
      </c>
      <c r="L559" s="9">
        <f>SalesTable[[#This Row],[Profit]]/SalesTable[[#This Row],[Sales]]</f>
        <v>0.67598478340900725</v>
      </c>
    </row>
    <row r="560" spans="1:12" ht="14" x14ac:dyDescent="0.15">
      <c r="A560" s="1">
        <v>10559</v>
      </c>
      <c r="B560" s="2">
        <v>45120</v>
      </c>
      <c r="C560" s="1" t="s">
        <v>10</v>
      </c>
      <c r="D560" s="1" t="s">
        <v>15</v>
      </c>
      <c r="E560" s="1" t="s">
        <v>17</v>
      </c>
      <c r="F560" s="1" t="s">
        <v>23</v>
      </c>
      <c r="G560" s="4">
        <v>927.12</v>
      </c>
      <c r="H560" s="1">
        <v>9</v>
      </c>
      <c r="I560" s="1" t="str">
        <f>TEXT(SalesTable[[#This Row],[Order_Date]],"mmm")</f>
        <v>Jul</v>
      </c>
      <c r="J560" s="1">
        <f>YEAR(SalesTable[[#This Row],[Order_Date]])</f>
        <v>2023</v>
      </c>
      <c r="K560" s="4">
        <v>-78.44</v>
      </c>
      <c r="L560" s="9">
        <f>SalesTable[[#This Row],[Profit]]/SalesTable[[#This Row],[Sales]]</f>
        <v>-8.460609198377772E-2</v>
      </c>
    </row>
    <row r="561" spans="1:12" ht="14" x14ac:dyDescent="0.15">
      <c r="A561" s="1">
        <v>10560</v>
      </c>
      <c r="B561" s="2">
        <v>45121</v>
      </c>
      <c r="C561" s="1" t="s">
        <v>12</v>
      </c>
      <c r="D561" s="1" t="s">
        <v>15</v>
      </c>
      <c r="E561" s="1" t="s">
        <v>18</v>
      </c>
      <c r="F561" s="1" t="s">
        <v>22</v>
      </c>
      <c r="G561" s="4">
        <v>567.58000000000004</v>
      </c>
      <c r="H561" s="1">
        <v>9</v>
      </c>
      <c r="I561" s="1" t="str">
        <f>TEXT(SalesTable[[#This Row],[Order_Date]],"mmm")</f>
        <v>Jul</v>
      </c>
      <c r="J561" s="1">
        <f>YEAR(SalesTable[[#This Row],[Order_Date]])</f>
        <v>2023</v>
      </c>
      <c r="K561" s="4">
        <v>-95.13</v>
      </c>
      <c r="L561" s="9">
        <f>SalesTable[[#This Row],[Profit]]/SalesTable[[#This Row],[Sales]]</f>
        <v>-0.16760632862327776</v>
      </c>
    </row>
    <row r="562" spans="1:12" ht="14" x14ac:dyDescent="0.15">
      <c r="A562" s="1">
        <v>10561</v>
      </c>
      <c r="B562" s="2">
        <v>45122</v>
      </c>
      <c r="C562" s="1" t="s">
        <v>10</v>
      </c>
      <c r="D562" s="1" t="s">
        <v>14</v>
      </c>
      <c r="E562" s="1" t="s">
        <v>16</v>
      </c>
      <c r="F562" s="1" t="s">
        <v>25</v>
      </c>
      <c r="G562" s="4">
        <v>306.26</v>
      </c>
      <c r="H562" s="1">
        <v>1</v>
      </c>
      <c r="I562" s="1" t="str">
        <f>TEXT(SalesTable[[#This Row],[Order_Date]],"mmm")</f>
        <v>Jul</v>
      </c>
      <c r="J562" s="1">
        <f>YEAR(SalesTable[[#This Row],[Order_Date]])</f>
        <v>2023</v>
      </c>
      <c r="K562" s="4">
        <v>164.54</v>
      </c>
      <c r="L562" s="9">
        <f>SalesTable[[#This Row],[Profit]]/SalesTable[[#This Row],[Sales]]</f>
        <v>0.53725592633709918</v>
      </c>
    </row>
    <row r="563" spans="1:12" ht="14" x14ac:dyDescent="0.15">
      <c r="A563" s="1">
        <v>10562</v>
      </c>
      <c r="B563" s="2">
        <v>45123</v>
      </c>
      <c r="C563" s="1" t="s">
        <v>9</v>
      </c>
      <c r="D563" s="1" t="s">
        <v>15</v>
      </c>
      <c r="E563" s="1" t="s">
        <v>17</v>
      </c>
      <c r="F563" s="1" t="s">
        <v>22</v>
      </c>
      <c r="G563" s="4">
        <v>717.28</v>
      </c>
      <c r="H563" s="1">
        <v>3</v>
      </c>
      <c r="I563" s="1" t="str">
        <f>TEXT(SalesTable[[#This Row],[Order_Date]],"mmm")</f>
        <v>Jul</v>
      </c>
      <c r="J563" s="1">
        <f>YEAR(SalesTable[[#This Row],[Order_Date]])</f>
        <v>2023</v>
      </c>
      <c r="K563" s="4">
        <v>15.74</v>
      </c>
      <c r="L563" s="9">
        <f>SalesTable[[#This Row],[Profit]]/SalesTable[[#This Row],[Sales]]</f>
        <v>2.1944010707115772E-2</v>
      </c>
    </row>
    <row r="564" spans="1:12" ht="14" x14ac:dyDescent="0.15">
      <c r="A564" s="1">
        <v>10563</v>
      </c>
      <c r="B564" s="2">
        <v>45124</v>
      </c>
      <c r="C564" s="1" t="s">
        <v>9</v>
      </c>
      <c r="D564" s="1" t="s">
        <v>15</v>
      </c>
      <c r="E564" s="1" t="s">
        <v>20</v>
      </c>
      <c r="F564" s="1" t="s">
        <v>21</v>
      </c>
      <c r="G564" s="4">
        <v>675.96</v>
      </c>
      <c r="H564" s="1">
        <v>6</v>
      </c>
      <c r="I564" s="1" t="str">
        <f>TEXT(SalesTable[[#This Row],[Order_Date]],"mmm")</f>
        <v>Jul</v>
      </c>
      <c r="J564" s="1">
        <f>YEAR(SalesTable[[#This Row],[Order_Date]])</f>
        <v>2023</v>
      </c>
      <c r="K564" s="4">
        <v>1.4</v>
      </c>
      <c r="L564" s="9">
        <f>SalesTable[[#This Row],[Profit]]/SalesTable[[#This Row],[Sales]]</f>
        <v>2.0711284691401857E-3</v>
      </c>
    </row>
    <row r="565" spans="1:12" ht="14" x14ac:dyDescent="0.15">
      <c r="A565" s="1">
        <v>10564</v>
      </c>
      <c r="B565" s="2">
        <v>45125</v>
      </c>
      <c r="C565" s="1" t="s">
        <v>9</v>
      </c>
      <c r="D565" s="1" t="s">
        <v>14</v>
      </c>
      <c r="E565" s="1" t="s">
        <v>20</v>
      </c>
      <c r="F565" s="1" t="s">
        <v>24</v>
      </c>
      <c r="G565" s="4">
        <v>989.67</v>
      </c>
      <c r="H565" s="1">
        <v>8</v>
      </c>
      <c r="I565" s="1" t="str">
        <f>TEXT(SalesTable[[#This Row],[Order_Date]],"mmm")</f>
        <v>Jul</v>
      </c>
      <c r="J565" s="1">
        <f>YEAR(SalesTable[[#This Row],[Order_Date]])</f>
        <v>2023</v>
      </c>
      <c r="K565" s="4">
        <v>32.35</v>
      </c>
      <c r="L565" s="9">
        <f>SalesTable[[#This Row],[Profit]]/SalesTable[[#This Row],[Sales]]</f>
        <v>3.2687663564622556E-2</v>
      </c>
    </row>
    <row r="566" spans="1:12" ht="14" x14ac:dyDescent="0.15">
      <c r="A566" s="1">
        <v>10565</v>
      </c>
      <c r="B566" s="2">
        <v>45126</v>
      </c>
      <c r="C566" s="1" t="s">
        <v>10</v>
      </c>
      <c r="D566" s="1" t="s">
        <v>14</v>
      </c>
      <c r="E566" s="1" t="s">
        <v>19</v>
      </c>
      <c r="F566" s="1" t="s">
        <v>21</v>
      </c>
      <c r="G566" s="4">
        <v>301.79000000000002</v>
      </c>
      <c r="H566" s="1">
        <v>4</v>
      </c>
      <c r="I566" s="1" t="str">
        <f>TEXT(SalesTable[[#This Row],[Order_Date]],"mmm")</f>
        <v>Jul</v>
      </c>
      <c r="J566" s="1">
        <f>YEAR(SalesTable[[#This Row],[Order_Date]])</f>
        <v>2023</v>
      </c>
      <c r="K566" s="4">
        <v>7.92</v>
      </c>
      <c r="L566" s="9">
        <f>SalesTable[[#This Row],[Profit]]/SalesTable[[#This Row],[Sales]]</f>
        <v>2.624341429470824E-2</v>
      </c>
    </row>
    <row r="567" spans="1:12" ht="14" x14ac:dyDescent="0.15">
      <c r="A567" s="1">
        <v>10566</v>
      </c>
      <c r="B567" s="2">
        <v>45127</v>
      </c>
      <c r="C567" s="1" t="s">
        <v>12</v>
      </c>
      <c r="D567" s="1" t="s">
        <v>15</v>
      </c>
      <c r="E567" s="1" t="s">
        <v>20</v>
      </c>
      <c r="F567" s="1" t="s">
        <v>22</v>
      </c>
      <c r="G567" s="4">
        <v>688.46</v>
      </c>
      <c r="H567" s="1">
        <v>5</v>
      </c>
      <c r="I567" s="1" t="str">
        <f>TEXT(SalesTable[[#This Row],[Order_Date]],"mmm")</f>
        <v>Jul</v>
      </c>
      <c r="J567" s="1">
        <f>YEAR(SalesTable[[#This Row],[Order_Date]])</f>
        <v>2023</v>
      </c>
      <c r="K567" s="4">
        <v>104.57</v>
      </c>
      <c r="L567" s="9">
        <f>SalesTable[[#This Row],[Profit]]/SalesTable[[#This Row],[Sales]]</f>
        <v>0.15188972489323996</v>
      </c>
    </row>
    <row r="568" spans="1:12" ht="14" x14ac:dyDescent="0.15">
      <c r="A568" s="1">
        <v>10567</v>
      </c>
      <c r="B568" s="2">
        <v>45128</v>
      </c>
      <c r="C568" s="1" t="s">
        <v>12</v>
      </c>
      <c r="D568" s="1" t="s">
        <v>13</v>
      </c>
      <c r="E568" s="1" t="s">
        <v>17</v>
      </c>
      <c r="F568" s="1" t="s">
        <v>23</v>
      </c>
      <c r="G568" s="4">
        <v>99.42</v>
      </c>
      <c r="H568" s="1">
        <v>9</v>
      </c>
      <c r="I568" s="1" t="str">
        <f>TEXT(SalesTable[[#This Row],[Order_Date]],"mmm")</f>
        <v>Jul</v>
      </c>
      <c r="J568" s="1">
        <f>YEAR(SalesTable[[#This Row],[Order_Date]])</f>
        <v>2023</v>
      </c>
      <c r="K568" s="4">
        <v>76.06</v>
      </c>
      <c r="L568" s="9">
        <f>SalesTable[[#This Row],[Profit]]/SalesTable[[#This Row],[Sales]]</f>
        <v>0.76503721585194129</v>
      </c>
    </row>
    <row r="569" spans="1:12" ht="14" x14ac:dyDescent="0.15">
      <c r="A569" s="1">
        <v>10568</v>
      </c>
      <c r="B569" s="2">
        <v>45129</v>
      </c>
      <c r="C569" s="1" t="s">
        <v>10</v>
      </c>
      <c r="D569" s="1" t="s">
        <v>14</v>
      </c>
      <c r="E569" s="1" t="s">
        <v>20</v>
      </c>
      <c r="F569" s="1" t="s">
        <v>24</v>
      </c>
      <c r="G569" s="4">
        <v>157.96</v>
      </c>
      <c r="H569" s="1">
        <v>6</v>
      </c>
      <c r="I569" s="1" t="str">
        <f>TEXT(SalesTable[[#This Row],[Order_Date]],"mmm")</f>
        <v>Jul</v>
      </c>
      <c r="J569" s="1">
        <f>YEAR(SalesTable[[#This Row],[Order_Date]])</f>
        <v>2023</v>
      </c>
      <c r="K569" s="4">
        <v>104.97</v>
      </c>
      <c r="L569" s="9">
        <f>SalesTable[[#This Row],[Profit]]/SalesTable[[#This Row],[Sales]]</f>
        <v>0.66453532539883509</v>
      </c>
    </row>
    <row r="570" spans="1:12" ht="14" x14ac:dyDescent="0.15">
      <c r="A570" s="1">
        <v>10569</v>
      </c>
      <c r="B570" s="2">
        <v>45130</v>
      </c>
      <c r="C570" s="1" t="s">
        <v>9</v>
      </c>
      <c r="D570" s="1" t="s">
        <v>13</v>
      </c>
      <c r="E570" s="1" t="s">
        <v>17</v>
      </c>
      <c r="F570" s="1" t="s">
        <v>21</v>
      </c>
      <c r="G570" s="4">
        <v>53.72</v>
      </c>
      <c r="H570" s="1">
        <v>7</v>
      </c>
      <c r="I570" s="1" t="str">
        <f>TEXT(SalesTable[[#This Row],[Order_Date]],"mmm")</f>
        <v>Jul</v>
      </c>
      <c r="J570" s="1">
        <f>YEAR(SalesTable[[#This Row],[Order_Date]])</f>
        <v>2023</v>
      </c>
      <c r="K570" s="4">
        <v>169.09</v>
      </c>
      <c r="L570" s="9">
        <f>SalesTable[[#This Row],[Profit]]/SalesTable[[#This Row],[Sales]]</f>
        <v>3.1476172747580047</v>
      </c>
    </row>
    <row r="571" spans="1:12" ht="14" x14ac:dyDescent="0.15">
      <c r="A571" s="1">
        <v>10570</v>
      </c>
      <c r="B571" s="2">
        <v>45131</v>
      </c>
      <c r="C571" s="1" t="s">
        <v>9</v>
      </c>
      <c r="D571" s="1" t="s">
        <v>15</v>
      </c>
      <c r="E571" s="1" t="s">
        <v>16</v>
      </c>
      <c r="F571" s="1" t="s">
        <v>25</v>
      </c>
      <c r="G571" s="4">
        <v>999.49</v>
      </c>
      <c r="H571" s="1">
        <v>7</v>
      </c>
      <c r="I571" s="1" t="str">
        <f>TEXT(SalesTable[[#This Row],[Order_Date]],"mmm")</f>
        <v>Jul</v>
      </c>
      <c r="J571" s="1">
        <f>YEAR(SalesTable[[#This Row],[Order_Date]])</f>
        <v>2023</v>
      </c>
      <c r="K571" s="4">
        <v>54.85</v>
      </c>
      <c r="L571" s="9">
        <f>SalesTable[[#This Row],[Profit]]/SalesTable[[#This Row],[Sales]]</f>
        <v>5.4877987773764618E-2</v>
      </c>
    </row>
    <row r="572" spans="1:12" ht="14" x14ac:dyDescent="0.15">
      <c r="A572" s="1">
        <v>10571</v>
      </c>
      <c r="B572" s="2">
        <v>45132</v>
      </c>
      <c r="C572" s="1" t="s">
        <v>12</v>
      </c>
      <c r="D572" s="1" t="s">
        <v>14</v>
      </c>
      <c r="E572" s="1" t="s">
        <v>19</v>
      </c>
      <c r="F572" s="1" t="s">
        <v>23</v>
      </c>
      <c r="G572" s="4">
        <v>812.16</v>
      </c>
      <c r="H572" s="1">
        <v>4</v>
      </c>
      <c r="I572" s="1" t="str">
        <f>TEXT(SalesTable[[#This Row],[Order_Date]],"mmm")</f>
        <v>Jul</v>
      </c>
      <c r="J572" s="1">
        <f>YEAR(SalesTable[[#This Row],[Order_Date]])</f>
        <v>2023</v>
      </c>
      <c r="K572" s="4">
        <v>0.52</v>
      </c>
      <c r="L572" s="9">
        <f>SalesTable[[#This Row],[Profit]]/SalesTable[[#This Row],[Sales]]</f>
        <v>6.4026792750197011E-4</v>
      </c>
    </row>
    <row r="573" spans="1:12" ht="14" x14ac:dyDescent="0.15">
      <c r="A573" s="1">
        <v>10572</v>
      </c>
      <c r="B573" s="2">
        <v>45133</v>
      </c>
      <c r="C573" s="1" t="s">
        <v>9</v>
      </c>
      <c r="D573" s="1" t="s">
        <v>13</v>
      </c>
      <c r="E573" s="1" t="s">
        <v>20</v>
      </c>
      <c r="F573" s="1" t="s">
        <v>21</v>
      </c>
      <c r="G573" s="4">
        <v>797.39</v>
      </c>
      <c r="H573" s="1">
        <v>4</v>
      </c>
      <c r="I573" s="1" t="str">
        <f>TEXT(SalesTable[[#This Row],[Order_Date]],"mmm")</f>
        <v>Jul</v>
      </c>
      <c r="J573" s="1">
        <f>YEAR(SalesTable[[#This Row],[Order_Date]])</f>
        <v>2023</v>
      </c>
      <c r="K573" s="4">
        <v>-33.520000000000003</v>
      </c>
      <c r="L573" s="9">
        <f>SalesTable[[#This Row],[Profit]]/SalesTable[[#This Row],[Sales]]</f>
        <v>-4.2037146189443063E-2</v>
      </c>
    </row>
    <row r="574" spans="1:12" ht="14" x14ac:dyDescent="0.15">
      <c r="A574" s="1">
        <v>10573</v>
      </c>
      <c r="B574" s="2">
        <v>45134</v>
      </c>
      <c r="C574" s="1" t="s">
        <v>11</v>
      </c>
      <c r="D574" s="1" t="s">
        <v>14</v>
      </c>
      <c r="E574" s="1" t="s">
        <v>17</v>
      </c>
      <c r="F574" s="1" t="s">
        <v>25</v>
      </c>
      <c r="G574" s="4">
        <v>534.24</v>
      </c>
      <c r="H574" s="1">
        <v>4</v>
      </c>
      <c r="I574" s="1" t="str">
        <f>TEXT(SalesTable[[#This Row],[Order_Date]],"mmm")</f>
        <v>Jul</v>
      </c>
      <c r="J574" s="1">
        <f>YEAR(SalesTable[[#This Row],[Order_Date]])</f>
        <v>2023</v>
      </c>
      <c r="K574" s="4">
        <v>39.79</v>
      </c>
      <c r="L574" s="9">
        <f>SalesTable[[#This Row],[Profit]]/SalesTable[[#This Row],[Sales]]</f>
        <v>7.4479634621144056E-2</v>
      </c>
    </row>
    <row r="575" spans="1:12" ht="14" x14ac:dyDescent="0.15">
      <c r="A575" s="1">
        <v>10574</v>
      </c>
      <c r="B575" s="2">
        <v>45135</v>
      </c>
      <c r="C575" s="1" t="s">
        <v>12</v>
      </c>
      <c r="D575" s="1" t="s">
        <v>15</v>
      </c>
      <c r="E575" s="1" t="s">
        <v>18</v>
      </c>
      <c r="F575" s="1" t="s">
        <v>22</v>
      </c>
      <c r="G575" s="4">
        <v>335.06</v>
      </c>
      <c r="H575" s="1">
        <v>5</v>
      </c>
      <c r="I575" s="1" t="str">
        <f>TEXT(SalesTable[[#This Row],[Order_Date]],"mmm")</f>
        <v>Jul</v>
      </c>
      <c r="J575" s="1">
        <f>YEAR(SalesTable[[#This Row],[Order_Date]])</f>
        <v>2023</v>
      </c>
      <c r="K575" s="4">
        <v>196.72</v>
      </c>
      <c r="L575" s="9">
        <f>SalesTable[[#This Row],[Profit]]/SalesTable[[#This Row],[Sales]]</f>
        <v>0.58711872500447682</v>
      </c>
    </row>
    <row r="576" spans="1:12" ht="14" x14ac:dyDescent="0.15">
      <c r="A576" s="1">
        <v>10575</v>
      </c>
      <c r="B576" s="2">
        <v>45136</v>
      </c>
      <c r="C576" s="1" t="s">
        <v>9</v>
      </c>
      <c r="D576" s="1" t="s">
        <v>13</v>
      </c>
      <c r="E576" s="1" t="s">
        <v>19</v>
      </c>
      <c r="F576" s="1" t="s">
        <v>25</v>
      </c>
      <c r="G576" s="4">
        <v>193.7</v>
      </c>
      <c r="H576" s="1">
        <v>5</v>
      </c>
      <c r="I576" s="1" t="str">
        <f>TEXT(SalesTable[[#This Row],[Order_Date]],"mmm")</f>
        <v>Jul</v>
      </c>
      <c r="J576" s="1">
        <f>YEAR(SalesTable[[#This Row],[Order_Date]])</f>
        <v>2023</v>
      </c>
      <c r="K576" s="4">
        <v>202.68</v>
      </c>
      <c r="L576" s="9">
        <f>SalesTable[[#This Row],[Profit]]/SalesTable[[#This Row],[Sales]]</f>
        <v>1.0463603510583377</v>
      </c>
    </row>
    <row r="577" spans="1:12" ht="14" x14ac:dyDescent="0.15">
      <c r="A577" s="1">
        <v>10576</v>
      </c>
      <c r="B577" s="2">
        <v>45137</v>
      </c>
      <c r="C577" s="1" t="s">
        <v>12</v>
      </c>
      <c r="D577" s="1" t="s">
        <v>15</v>
      </c>
      <c r="E577" s="1" t="s">
        <v>16</v>
      </c>
      <c r="F577" s="1" t="s">
        <v>21</v>
      </c>
      <c r="G577" s="4">
        <v>320.44</v>
      </c>
      <c r="H577" s="1">
        <v>8</v>
      </c>
      <c r="I577" s="1" t="str">
        <f>TEXT(SalesTable[[#This Row],[Order_Date]],"mmm")</f>
        <v>Jul</v>
      </c>
      <c r="J577" s="1">
        <f>YEAR(SalesTable[[#This Row],[Order_Date]])</f>
        <v>2023</v>
      </c>
      <c r="K577" s="4">
        <v>166.76</v>
      </c>
      <c r="L577" s="9">
        <f>SalesTable[[#This Row],[Profit]]/SalesTable[[#This Row],[Sales]]</f>
        <v>0.52040943702409181</v>
      </c>
    </row>
    <row r="578" spans="1:12" ht="14" x14ac:dyDescent="0.15">
      <c r="A578" s="1">
        <v>10577</v>
      </c>
      <c r="B578" s="2">
        <v>45138</v>
      </c>
      <c r="C578" s="1" t="s">
        <v>11</v>
      </c>
      <c r="D578" s="1" t="s">
        <v>15</v>
      </c>
      <c r="E578" s="1" t="s">
        <v>17</v>
      </c>
      <c r="F578" s="1" t="s">
        <v>21</v>
      </c>
      <c r="G578" s="4">
        <v>407.17</v>
      </c>
      <c r="H578" s="1">
        <v>9</v>
      </c>
      <c r="I578" s="1" t="str">
        <f>TEXT(SalesTable[[#This Row],[Order_Date]],"mmm")</f>
        <v>Jul</v>
      </c>
      <c r="J578" s="1">
        <f>YEAR(SalesTable[[#This Row],[Order_Date]])</f>
        <v>2023</v>
      </c>
      <c r="K578" s="4">
        <v>-6.39</v>
      </c>
      <c r="L578" s="9">
        <f>SalesTable[[#This Row],[Profit]]/SalesTable[[#This Row],[Sales]]</f>
        <v>-1.5693690596065523E-2</v>
      </c>
    </row>
    <row r="579" spans="1:12" ht="14" x14ac:dyDescent="0.15">
      <c r="A579" s="1">
        <v>10578</v>
      </c>
      <c r="B579" s="2">
        <v>45139</v>
      </c>
      <c r="C579" s="1" t="s">
        <v>12</v>
      </c>
      <c r="D579" s="1" t="s">
        <v>14</v>
      </c>
      <c r="E579" s="1" t="s">
        <v>16</v>
      </c>
      <c r="F579" s="1" t="s">
        <v>22</v>
      </c>
      <c r="G579" s="4">
        <v>768.49</v>
      </c>
      <c r="H579" s="1">
        <v>2</v>
      </c>
      <c r="I579" s="1" t="str">
        <f>TEXT(SalesTable[[#This Row],[Order_Date]],"mmm")</f>
        <v>Aug</v>
      </c>
      <c r="J579" s="1">
        <f>YEAR(SalesTable[[#This Row],[Order_Date]])</f>
        <v>2023</v>
      </c>
      <c r="K579" s="4">
        <v>135.22999999999999</v>
      </c>
      <c r="L579" s="9">
        <f>SalesTable[[#This Row],[Profit]]/SalesTable[[#This Row],[Sales]]</f>
        <v>0.17596845762469257</v>
      </c>
    </row>
    <row r="580" spans="1:12" ht="14" x14ac:dyDescent="0.15">
      <c r="A580" s="1">
        <v>10579</v>
      </c>
      <c r="B580" s="2">
        <v>45140</v>
      </c>
      <c r="C580" s="1" t="s">
        <v>12</v>
      </c>
      <c r="D580" s="1" t="s">
        <v>13</v>
      </c>
      <c r="E580" s="1" t="s">
        <v>16</v>
      </c>
      <c r="F580" s="1" t="s">
        <v>25</v>
      </c>
      <c r="G580" s="4">
        <v>562.67999999999995</v>
      </c>
      <c r="H580" s="1">
        <v>7</v>
      </c>
      <c r="I580" s="1" t="str">
        <f>TEXT(SalesTable[[#This Row],[Order_Date]],"mmm")</f>
        <v>Aug</v>
      </c>
      <c r="J580" s="1">
        <f>YEAR(SalesTable[[#This Row],[Order_Date]])</f>
        <v>2023</v>
      </c>
      <c r="K580" s="4">
        <v>128.28</v>
      </c>
      <c r="L580" s="9">
        <f>SalesTable[[#This Row],[Profit]]/SalesTable[[#This Row],[Sales]]</f>
        <v>0.22798037961185755</v>
      </c>
    </row>
    <row r="581" spans="1:12" ht="14" x14ac:dyDescent="0.15">
      <c r="A581" s="1">
        <v>10580</v>
      </c>
      <c r="B581" s="2">
        <v>45141</v>
      </c>
      <c r="C581" s="1" t="s">
        <v>12</v>
      </c>
      <c r="D581" s="1" t="s">
        <v>15</v>
      </c>
      <c r="E581" s="1" t="s">
        <v>20</v>
      </c>
      <c r="F581" s="1" t="s">
        <v>25</v>
      </c>
      <c r="G581" s="4">
        <v>123.61</v>
      </c>
      <c r="H581" s="1">
        <v>1</v>
      </c>
      <c r="I581" s="1" t="str">
        <f>TEXT(SalesTable[[#This Row],[Order_Date]],"mmm")</f>
        <v>Aug</v>
      </c>
      <c r="J581" s="1">
        <f>YEAR(SalesTable[[#This Row],[Order_Date]])</f>
        <v>2023</v>
      </c>
      <c r="K581" s="4">
        <v>93.71</v>
      </c>
      <c r="L581" s="9">
        <f>SalesTable[[#This Row],[Profit]]/SalesTable[[#This Row],[Sales]]</f>
        <v>0.75811018526009222</v>
      </c>
    </row>
    <row r="582" spans="1:12" ht="14" x14ac:dyDescent="0.15">
      <c r="A582" s="1">
        <v>10581</v>
      </c>
      <c r="B582" s="2">
        <v>45142</v>
      </c>
      <c r="C582" s="1" t="s">
        <v>12</v>
      </c>
      <c r="D582" s="1" t="s">
        <v>15</v>
      </c>
      <c r="E582" s="1" t="s">
        <v>20</v>
      </c>
      <c r="F582" s="1" t="s">
        <v>22</v>
      </c>
      <c r="G582" s="4">
        <v>67.13</v>
      </c>
      <c r="H582" s="1">
        <v>1</v>
      </c>
      <c r="I582" s="1" t="str">
        <f>TEXT(SalesTable[[#This Row],[Order_Date]],"mmm")</f>
        <v>Aug</v>
      </c>
      <c r="J582" s="1">
        <f>YEAR(SalesTable[[#This Row],[Order_Date]])</f>
        <v>2023</v>
      </c>
      <c r="K582" s="4">
        <v>119.99</v>
      </c>
      <c r="L582" s="9">
        <f>SalesTable[[#This Row],[Profit]]/SalesTable[[#This Row],[Sales]]</f>
        <v>1.7874273797110085</v>
      </c>
    </row>
    <row r="583" spans="1:12" ht="14" x14ac:dyDescent="0.15">
      <c r="A583" s="1">
        <v>10582</v>
      </c>
      <c r="B583" s="2">
        <v>45143</v>
      </c>
      <c r="C583" s="1" t="s">
        <v>11</v>
      </c>
      <c r="D583" s="1" t="s">
        <v>13</v>
      </c>
      <c r="E583" s="1" t="s">
        <v>17</v>
      </c>
      <c r="F583" s="1" t="s">
        <v>25</v>
      </c>
      <c r="G583" s="4">
        <v>147.22</v>
      </c>
      <c r="H583" s="1">
        <v>4</v>
      </c>
      <c r="I583" s="1" t="str">
        <f>TEXT(SalesTable[[#This Row],[Order_Date]],"mmm")</f>
        <v>Aug</v>
      </c>
      <c r="J583" s="1">
        <f>YEAR(SalesTable[[#This Row],[Order_Date]])</f>
        <v>2023</v>
      </c>
      <c r="K583" s="4">
        <v>96.72</v>
      </c>
      <c r="L583" s="9">
        <f>SalesTable[[#This Row],[Profit]]/SalesTable[[#This Row],[Sales]]</f>
        <v>0.656975954354028</v>
      </c>
    </row>
    <row r="584" spans="1:12" ht="14" x14ac:dyDescent="0.15">
      <c r="A584" s="1">
        <v>10583</v>
      </c>
      <c r="B584" s="2">
        <v>45144</v>
      </c>
      <c r="C584" s="1" t="s">
        <v>10</v>
      </c>
      <c r="D584" s="1" t="s">
        <v>15</v>
      </c>
      <c r="E584" s="1" t="s">
        <v>18</v>
      </c>
      <c r="F584" s="1" t="s">
        <v>22</v>
      </c>
      <c r="G584" s="4">
        <v>439.97</v>
      </c>
      <c r="H584" s="1">
        <v>7</v>
      </c>
      <c r="I584" s="1" t="str">
        <f>TEXT(SalesTable[[#This Row],[Order_Date]],"mmm")</f>
        <v>Aug</v>
      </c>
      <c r="J584" s="1">
        <f>YEAR(SalesTable[[#This Row],[Order_Date]])</f>
        <v>2023</v>
      </c>
      <c r="K584" s="4">
        <v>126.18</v>
      </c>
      <c r="L584" s="9">
        <f>SalesTable[[#This Row],[Profit]]/SalesTable[[#This Row],[Sales]]</f>
        <v>0.28679228129190626</v>
      </c>
    </row>
    <row r="585" spans="1:12" ht="14" x14ac:dyDescent="0.15">
      <c r="A585" s="1">
        <v>10584</v>
      </c>
      <c r="B585" s="2">
        <v>45145</v>
      </c>
      <c r="C585" s="1" t="s">
        <v>12</v>
      </c>
      <c r="D585" s="1" t="s">
        <v>15</v>
      </c>
      <c r="E585" s="1" t="s">
        <v>17</v>
      </c>
      <c r="F585" s="1" t="s">
        <v>23</v>
      </c>
      <c r="G585" s="4">
        <v>936.53</v>
      </c>
      <c r="H585" s="1">
        <v>2</v>
      </c>
      <c r="I585" s="1" t="str">
        <f>TEXT(SalesTable[[#This Row],[Order_Date]],"mmm")</f>
        <v>Aug</v>
      </c>
      <c r="J585" s="1">
        <f>YEAR(SalesTable[[#This Row],[Order_Date]])</f>
        <v>2023</v>
      </c>
      <c r="K585" s="4">
        <v>186.2</v>
      </c>
      <c r="L585" s="9">
        <f>SalesTable[[#This Row],[Profit]]/SalesTable[[#This Row],[Sales]]</f>
        <v>0.19881904477165707</v>
      </c>
    </row>
    <row r="586" spans="1:12" ht="14" x14ac:dyDescent="0.15">
      <c r="A586" s="1">
        <v>10585</v>
      </c>
      <c r="B586" s="2">
        <v>45146</v>
      </c>
      <c r="C586" s="1" t="s">
        <v>12</v>
      </c>
      <c r="D586" s="1" t="s">
        <v>13</v>
      </c>
      <c r="E586" s="1" t="s">
        <v>18</v>
      </c>
      <c r="F586" s="1" t="s">
        <v>21</v>
      </c>
      <c r="G586" s="4">
        <v>655.53</v>
      </c>
      <c r="H586" s="1">
        <v>2</v>
      </c>
      <c r="I586" s="1" t="str">
        <f>TEXT(SalesTable[[#This Row],[Order_Date]],"mmm")</f>
        <v>Aug</v>
      </c>
      <c r="J586" s="1">
        <f>YEAR(SalesTable[[#This Row],[Order_Date]])</f>
        <v>2023</v>
      </c>
      <c r="K586" s="4">
        <v>-56.15</v>
      </c>
      <c r="L586" s="9">
        <f>SalesTable[[#This Row],[Profit]]/SalesTable[[#This Row],[Sales]]</f>
        <v>-8.565588150046527E-2</v>
      </c>
    </row>
    <row r="587" spans="1:12" ht="14" x14ac:dyDescent="0.15">
      <c r="A587" s="1">
        <v>10586</v>
      </c>
      <c r="B587" s="2">
        <v>45147</v>
      </c>
      <c r="C587" s="1" t="s">
        <v>9</v>
      </c>
      <c r="D587" s="1" t="s">
        <v>13</v>
      </c>
      <c r="E587" s="1" t="s">
        <v>16</v>
      </c>
      <c r="F587" s="1" t="s">
        <v>23</v>
      </c>
      <c r="G587" s="4">
        <v>811.73</v>
      </c>
      <c r="H587" s="1">
        <v>1</v>
      </c>
      <c r="I587" s="1" t="str">
        <f>TEXT(SalesTable[[#This Row],[Order_Date]],"mmm")</f>
        <v>Aug</v>
      </c>
      <c r="J587" s="1">
        <f>YEAR(SalesTable[[#This Row],[Order_Date]])</f>
        <v>2023</v>
      </c>
      <c r="K587" s="4">
        <v>199.85</v>
      </c>
      <c r="L587" s="9">
        <f>SalesTable[[#This Row],[Profit]]/SalesTable[[#This Row],[Sales]]</f>
        <v>0.2462025550367733</v>
      </c>
    </row>
    <row r="588" spans="1:12" ht="14" x14ac:dyDescent="0.15">
      <c r="A588" s="1">
        <v>10587</v>
      </c>
      <c r="B588" s="2">
        <v>45148</v>
      </c>
      <c r="C588" s="1" t="s">
        <v>12</v>
      </c>
      <c r="D588" s="1" t="s">
        <v>13</v>
      </c>
      <c r="E588" s="1" t="s">
        <v>19</v>
      </c>
      <c r="F588" s="1" t="s">
        <v>24</v>
      </c>
      <c r="G588" s="4">
        <v>493.06</v>
      </c>
      <c r="H588" s="1">
        <v>2</v>
      </c>
      <c r="I588" s="1" t="str">
        <f>TEXT(SalesTable[[#This Row],[Order_Date]],"mmm")</f>
        <v>Aug</v>
      </c>
      <c r="J588" s="1">
        <f>YEAR(SalesTable[[#This Row],[Order_Date]])</f>
        <v>2023</v>
      </c>
      <c r="K588" s="4">
        <v>-45.65</v>
      </c>
      <c r="L588" s="9">
        <f>SalesTable[[#This Row],[Profit]]/SalesTable[[#This Row],[Sales]]</f>
        <v>-9.2585080923214214E-2</v>
      </c>
    </row>
    <row r="589" spans="1:12" ht="14" x14ac:dyDescent="0.15">
      <c r="A589" s="1">
        <v>10588</v>
      </c>
      <c r="B589" s="2">
        <v>45149</v>
      </c>
      <c r="C589" s="1" t="s">
        <v>9</v>
      </c>
      <c r="D589" s="1" t="s">
        <v>13</v>
      </c>
      <c r="E589" s="1" t="s">
        <v>17</v>
      </c>
      <c r="F589" s="1" t="s">
        <v>24</v>
      </c>
      <c r="G589" s="4">
        <v>393.58</v>
      </c>
      <c r="H589" s="1">
        <v>7</v>
      </c>
      <c r="I589" s="1" t="str">
        <f>TEXT(SalesTable[[#This Row],[Order_Date]],"mmm")</f>
        <v>Aug</v>
      </c>
      <c r="J589" s="1">
        <f>YEAR(SalesTable[[#This Row],[Order_Date]])</f>
        <v>2023</v>
      </c>
      <c r="K589" s="4">
        <v>-73.349999999999994</v>
      </c>
      <c r="L589" s="9">
        <f>SalesTable[[#This Row],[Profit]]/SalesTable[[#This Row],[Sales]]</f>
        <v>-0.18636617714314752</v>
      </c>
    </row>
    <row r="590" spans="1:12" ht="14" x14ac:dyDescent="0.15">
      <c r="A590" s="1">
        <v>10589</v>
      </c>
      <c r="B590" s="2">
        <v>45150</v>
      </c>
      <c r="C590" s="1" t="s">
        <v>10</v>
      </c>
      <c r="D590" s="1" t="s">
        <v>14</v>
      </c>
      <c r="E590" s="1" t="s">
        <v>17</v>
      </c>
      <c r="F590" s="1" t="s">
        <v>24</v>
      </c>
      <c r="G590" s="4">
        <v>152.97999999999999</v>
      </c>
      <c r="H590" s="1">
        <v>9</v>
      </c>
      <c r="I590" s="1" t="str">
        <f>TEXT(SalesTable[[#This Row],[Order_Date]],"mmm")</f>
        <v>Aug</v>
      </c>
      <c r="J590" s="1">
        <f>YEAR(SalesTable[[#This Row],[Order_Date]])</f>
        <v>2023</v>
      </c>
      <c r="K590" s="4">
        <v>290.43</v>
      </c>
      <c r="L590" s="9">
        <f>SalesTable[[#This Row],[Profit]]/SalesTable[[#This Row],[Sales]]</f>
        <v>1.8984834618904434</v>
      </c>
    </row>
    <row r="591" spans="1:12" ht="14" x14ac:dyDescent="0.15">
      <c r="A591" s="1">
        <v>10590</v>
      </c>
      <c r="B591" s="2">
        <v>45151</v>
      </c>
      <c r="C591" s="1" t="s">
        <v>11</v>
      </c>
      <c r="D591" s="1" t="s">
        <v>13</v>
      </c>
      <c r="E591" s="1" t="s">
        <v>18</v>
      </c>
      <c r="F591" s="1" t="s">
        <v>22</v>
      </c>
      <c r="G591" s="4">
        <v>882.14</v>
      </c>
      <c r="H591" s="1">
        <v>6</v>
      </c>
      <c r="I591" s="1" t="str">
        <f>TEXT(SalesTable[[#This Row],[Order_Date]],"mmm")</f>
        <v>Aug</v>
      </c>
      <c r="J591" s="1">
        <f>YEAR(SalesTable[[#This Row],[Order_Date]])</f>
        <v>2023</v>
      </c>
      <c r="K591" s="4">
        <v>282.8</v>
      </c>
      <c r="L591" s="9">
        <f>SalesTable[[#This Row],[Profit]]/SalesTable[[#This Row],[Sales]]</f>
        <v>0.32058403428027299</v>
      </c>
    </row>
    <row r="592" spans="1:12" ht="14" x14ac:dyDescent="0.15">
      <c r="A592" s="1">
        <v>10591</v>
      </c>
      <c r="B592" s="2">
        <v>45152</v>
      </c>
      <c r="C592" s="1" t="s">
        <v>11</v>
      </c>
      <c r="D592" s="1" t="s">
        <v>14</v>
      </c>
      <c r="E592" s="1" t="s">
        <v>16</v>
      </c>
      <c r="F592" s="1" t="s">
        <v>25</v>
      </c>
      <c r="G592" s="4">
        <v>794</v>
      </c>
      <c r="H592" s="1">
        <v>2</v>
      </c>
      <c r="I592" s="1" t="str">
        <f>TEXT(SalesTable[[#This Row],[Order_Date]],"mmm")</f>
        <v>Aug</v>
      </c>
      <c r="J592" s="1">
        <f>YEAR(SalesTable[[#This Row],[Order_Date]])</f>
        <v>2023</v>
      </c>
      <c r="K592" s="4">
        <v>-75.83</v>
      </c>
      <c r="L592" s="9">
        <f>SalesTable[[#This Row],[Profit]]/SalesTable[[#This Row],[Sales]]</f>
        <v>-9.5503778337531486E-2</v>
      </c>
    </row>
    <row r="593" spans="1:12" ht="14" x14ac:dyDescent="0.15">
      <c r="A593" s="1">
        <v>10592</v>
      </c>
      <c r="B593" s="2">
        <v>45153</v>
      </c>
      <c r="C593" s="1" t="s">
        <v>10</v>
      </c>
      <c r="D593" s="1" t="s">
        <v>14</v>
      </c>
      <c r="E593" s="1" t="s">
        <v>16</v>
      </c>
      <c r="F593" s="1" t="s">
        <v>23</v>
      </c>
      <c r="G593" s="4">
        <v>209.71</v>
      </c>
      <c r="H593" s="1">
        <v>9</v>
      </c>
      <c r="I593" s="1" t="str">
        <f>TEXT(SalesTable[[#This Row],[Order_Date]],"mmm")</f>
        <v>Aug</v>
      </c>
      <c r="J593" s="1">
        <f>YEAR(SalesTable[[#This Row],[Order_Date]])</f>
        <v>2023</v>
      </c>
      <c r="K593" s="4">
        <v>77.3</v>
      </c>
      <c r="L593" s="9">
        <f>SalesTable[[#This Row],[Profit]]/SalesTable[[#This Row],[Sales]]</f>
        <v>0.3686042630298984</v>
      </c>
    </row>
    <row r="594" spans="1:12" ht="14" x14ac:dyDescent="0.15">
      <c r="A594" s="1">
        <v>10593</v>
      </c>
      <c r="B594" s="2">
        <v>45154</v>
      </c>
      <c r="C594" s="1" t="s">
        <v>11</v>
      </c>
      <c r="D594" s="1" t="s">
        <v>14</v>
      </c>
      <c r="E594" s="1" t="s">
        <v>18</v>
      </c>
      <c r="F594" s="1" t="s">
        <v>23</v>
      </c>
      <c r="G594" s="4">
        <v>536.65</v>
      </c>
      <c r="H594" s="1">
        <v>7</v>
      </c>
      <c r="I594" s="1" t="str">
        <f>TEXT(SalesTable[[#This Row],[Order_Date]],"mmm")</f>
        <v>Aug</v>
      </c>
      <c r="J594" s="1">
        <f>YEAR(SalesTable[[#This Row],[Order_Date]])</f>
        <v>2023</v>
      </c>
      <c r="K594" s="4">
        <v>-25.5</v>
      </c>
      <c r="L594" s="9">
        <f>SalesTable[[#This Row],[Profit]]/SalesTable[[#This Row],[Sales]]</f>
        <v>-4.7517003633653222E-2</v>
      </c>
    </row>
    <row r="595" spans="1:12" ht="14" x14ac:dyDescent="0.15">
      <c r="A595" s="1">
        <v>10594</v>
      </c>
      <c r="B595" s="2">
        <v>45155</v>
      </c>
      <c r="C595" s="1" t="s">
        <v>10</v>
      </c>
      <c r="D595" s="1" t="s">
        <v>15</v>
      </c>
      <c r="E595" s="1" t="s">
        <v>16</v>
      </c>
      <c r="F595" s="1" t="s">
        <v>23</v>
      </c>
      <c r="G595" s="4">
        <v>513.01</v>
      </c>
      <c r="H595" s="1">
        <v>1</v>
      </c>
      <c r="I595" s="1" t="str">
        <f>TEXT(SalesTable[[#This Row],[Order_Date]],"mmm")</f>
        <v>Aug</v>
      </c>
      <c r="J595" s="1">
        <f>YEAR(SalesTable[[#This Row],[Order_Date]])</f>
        <v>2023</v>
      </c>
      <c r="K595" s="4">
        <v>94.14</v>
      </c>
      <c r="L595" s="9">
        <f>SalesTable[[#This Row],[Profit]]/SalesTable[[#This Row],[Sales]]</f>
        <v>0.18350519483051014</v>
      </c>
    </row>
    <row r="596" spans="1:12" ht="14" x14ac:dyDescent="0.15">
      <c r="A596" s="1">
        <v>10595</v>
      </c>
      <c r="B596" s="2">
        <v>45156</v>
      </c>
      <c r="C596" s="1" t="s">
        <v>10</v>
      </c>
      <c r="D596" s="1" t="s">
        <v>14</v>
      </c>
      <c r="E596" s="1" t="s">
        <v>20</v>
      </c>
      <c r="F596" s="1" t="s">
        <v>23</v>
      </c>
      <c r="G596" s="4">
        <v>643.84</v>
      </c>
      <c r="H596" s="1">
        <v>9</v>
      </c>
      <c r="I596" s="1" t="str">
        <f>TEXT(SalesTable[[#This Row],[Order_Date]],"mmm")</f>
        <v>Aug</v>
      </c>
      <c r="J596" s="1">
        <f>YEAR(SalesTable[[#This Row],[Order_Date]])</f>
        <v>2023</v>
      </c>
      <c r="K596" s="4">
        <v>232.07</v>
      </c>
      <c r="L596" s="9">
        <f>SalesTable[[#This Row],[Profit]]/SalesTable[[#This Row],[Sales]]</f>
        <v>0.36044669483101388</v>
      </c>
    </row>
    <row r="597" spans="1:12" ht="14" x14ac:dyDescent="0.15">
      <c r="A597" s="1">
        <v>10596</v>
      </c>
      <c r="B597" s="2">
        <v>45157</v>
      </c>
      <c r="C597" s="1" t="s">
        <v>10</v>
      </c>
      <c r="D597" s="1" t="s">
        <v>14</v>
      </c>
      <c r="E597" s="1" t="s">
        <v>19</v>
      </c>
      <c r="F597" s="1" t="s">
        <v>24</v>
      </c>
      <c r="G597" s="4">
        <v>948.88</v>
      </c>
      <c r="H597" s="1">
        <v>2</v>
      </c>
      <c r="I597" s="1" t="str">
        <f>TEXT(SalesTable[[#This Row],[Order_Date]],"mmm")</f>
        <v>Aug</v>
      </c>
      <c r="J597" s="1">
        <f>YEAR(SalesTable[[#This Row],[Order_Date]])</f>
        <v>2023</v>
      </c>
      <c r="K597" s="4">
        <v>280.24</v>
      </c>
      <c r="L597" s="9">
        <f>SalesTable[[#This Row],[Profit]]/SalesTable[[#This Row],[Sales]]</f>
        <v>0.29533766124272826</v>
      </c>
    </row>
    <row r="598" spans="1:12" ht="14" x14ac:dyDescent="0.15">
      <c r="A598" s="1">
        <v>10597</v>
      </c>
      <c r="B598" s="2">
        <v>45158</v>
      </c>
      <c r="C598" s="1" t="s">
        <v>11</v>
      </c>
      <c r="D598" s="1" t="s">
        <v>15</v>
      </c>
      <c r="E598" s="1" t="s">
        <v>17</v>
      </c>
      <c r="F598" s="1" t="s">
        <v>23</v>
      </c>
      <c r="G598" s="4">
        <v>600.78</v>
      </c>
      <c r="H598" s="1">
        <v>4</v>
      </c>
      <c r="I598" s="1" t="str">
        <f>TEXT(SalesTable[[#This Row],[Order_Date]],"mmm")</f>
        <v>Aug</v>
      </c>
      <c r="J598" s="1">
        <f>YEAR(SalesTable[[#This Row],[Order_Date]])</f>
        <v>2023</v>
      </c>
      <c r="K598" s="4">
        <v>153.69999999999999</v>
      </c>
      <c r="L598" s="9">
        <f>SalesTable[[#This Row],[Profit]]/SalesTable[[#This Row],[Sales]]</f>
        <v>0.2558340823595992</v>
      </c>
    </row>
    <row r="599" spans="1:12" ht="14" x14ac:dyDescent="0.15">
      <c r="A599" s="1">
        <v>10598</v>
      </c>
      <c r="B599" s="2">
        <v>45159</v>
      </c>
      <c r="C599" s="1" t="s">
        <v>9</v>
      </c>
      <c r="D599" s="1" t="s">
        <v>15</v>
      </c>
      <c r="E599" s="1" t="s">
        <v>19</v>
      </c>
      <c r="F599" s="1" t="s">
        <v>25</v>
      </c>
      <c r="G599" s="4">
        <v>563.21</v>
      </c>
      <c r="H599" s="1">
        <v>9</v>
      </c>
      <c r="I599" s="1" t="str">
        <f>TEXT(SalesTable[[#This Row],[Order_Date]],"mmm")</f>
        <v>Aug</v>
      </c>
      <c r="J599" s="1">
        <f>YEAR(SalesTable[[#This Row],[Order_Date]])</f>
        <v>2023</v>
      </c>
      <c r="K599" s="4">
        <v>41.56</v>
      </c>
      <c r="L599" s="9">
        <f>SalesTable[[#This Row],[Profit]]/SalesTable[[#This Row],[Sales]]</f>
        <v>7.3791303421459134E-2</v>
      </c>
    </row>
    <row r="600" spans="1:12" ht="14" x14ac:dyDescent="0.15">
      <c r="A600" s="1">
        <v>10599</v>
      </c>
      <c r="B600" s="2">
        <v>45160</v>
      </c>
      <c r="C600" s="1" t="s">
        <v>10</v>
      </c>
      <c r="D600" s="1" t="s">
        <v>15</v>
      </c>
      <c r="E600" s="1" t="s">
        <v>17</v>
      </c>
      <c r="F600" s="1" t="s">
        <v>24</v>
      </c>
      <c r="G600" s="4">
        <v>97.81</v>
      </c>
      <c r="H600" s="1">
        <v>4</v>
      </c>
      <c r="I600" s="1" t="str">
        <f>TEXT(SalesTable[[#This Row],[Order_Date]],"mmm")</f>
        <v>Aug</v>
      </c>
      <c r="J600" s="1">
        <f>YEAR(SalesTable[[#This Row],[Order_Date]])</f>
        <v>2023</v>
      </c>
      <c r="K600" s="4">
        <v>141.33000000000001</v>
      </c>
      <c r="L600" s="9">
        <f>SalesTable[[#This Row],[Profit]]/SalesTable[[#This Row],[Sales]]</f>
        <v>1.4449442797259995</v>
      </c>
    </row>
    <row r="601" spans="1:12" ht="14" x14ac:dyDescent="0.15">
      <c r="A601" s="1">
        <v>10600</v>
      </c>
      <c r="B601" s="2">
        <v>45161</v>
      </c>
      <c r="C601" s="1" t="s">
        <v>12</v>
      </c>
      <c r="D601" s="1" t="s">
        <v>13</v>
      </c>
      <c r="E601" s="1" t="s">
        <v>20</v>
      </c>
      <c r="F601" s="1" t="s">
        <v>23</v>
      </c>
      <c r="G601" s="4">
        <v>109.76</v>
      </c>
      <c r="H601" s="1">
        <v>3</v>
      </c>
      <c r="I601" s="1" t="str">
        <f>TEXT(SalesTable[[#This Row],[Order_Date]],"mmm")</f>
        <v>Aug</v>
      </c>
      <c r="J601" s="1">
        <f>YEAR(SalesTable[[#This Row],[Order_Date]])</f>
        <v>2023</v>
      </c>
      <c r="K601" s="4">
        <v>24.8</v>
      </c>
      <c r="L601" s="9">
        <f>SalesTable[[#This Row],[Profit]]/SalesTable[[#This Row],[Sales]]</f>
        <v>0.22594752186588921</v>
      </c>
    </row>
    <row r="602" spans="1:12" ht="14" x14ac:dyDescent="0.15">
      <c r="A602" s="1">
        <v>10601</v>
      </c>
      <c r="B602" s="2">
        <v>45162</v>
      </c>
      <c r="C602" s="1" t="s">
        <v>11</v>
      </c>
      <c r="D602" s="1" t="s">
        <v>15</v>
      </c>
      <c r="E602" s="1" t="s">
        <v>16</v>
      </c>
      <c r="F602" s="1" t="s">
        <v>22</v>
      </c>
      <c r="G602" s="4">
        <v>227.98</v>
      </c>
      <c r="H602" s="1">
        <v>1</v>
      </c>
      <c r="I602" s="1" t="str">
        <f>TEXT(SalesTable[[#This Row],[Order_Date]],"mmm")</f>
        <v>Aug</v>
      </c>
      <c r="J602" s="1">
        <f>YEAR(SalesTable[[#This Row],[Order_Date]])</f>
        <v>2023</v>
      </c>
      <c r="K602" s="4">
        <v>263.93</v>
      </c>
      <c r="L602" s="9">
        <f>SalesTable[[#This Row],[Profit]]/SalesTable[[#This Row],[Sales]]</f>
        <v>1.1576892709886832</v>
      </c>
    </row>
    <row r="603" spans="1:12" ht="14" x14ac:dyDescent="0.15">
      <c r="A603" s="1">
        <v>10602</v>
      </c>
      <c r="B603" s="2">
        <v>45163</v>
      </c>
      <c r="C603" s="1" t="s">
        <v>10</v>
      </c>
      <c r="D603" s="1" t="s">
        <v>15</v>
      </c>
      <c r="E603" s="1" t="s">
        <v>18</v>
      </c>
      <c r="F603" s="1" t="s">
        <v>21</v>
      </c>
      <c r="G603" s="4">
        <v>80.849999999999994</v>
      </c>
      <c r="H603" s="1">
        <v>7</v>
      </c>
      <c r="I603" s="1" t="str">
        <f>TEXT(SalesTable[[#This Row],[Order_Date]],"mmm")</f>
        <v>Aug</v>
      </c>
      <c r="J603" s="1">
        <f>YEAR(SalesTable[[#This Row],[Order_Date]])</f>
        <v>2023</v>
      </c>
      <c r="K603" s="4">
        <v>248.16</v>
      </c>
      <c r="L603" s="9">
        <f>SalesTable[[#This Row],[Profit]]/SalesTable[[#This Row],[Sales]]</f>
        <v>3.0693877551020412</v>
      </c>
    </row>
    <row r="604" spans="1:12" ht="14" x14ac:dyDescent="0.15">
      <c r="A604" s="1">
        <v>10603</v>
      </c>
      <c r="B604" s="2">
        <v>45164</v>
      </c>
      <c r="C604" s="1" t="s">
        <v>10</v>
      </c>
      <c r="D604" s="1" t="s">
        <v>14</v>
      </c>
      <c r="E604" s="1" t="s">
        <v>20</v>
      </c>
      <c r="F604" s="1" t="s">
        <v>21</v>
      </c>
      <c r="G604" s="4">
        <v>756.19</v>
      </c>
      <c r="H604" s="1">
        <v>6</v>
      </c>
      <c r="I604" s="1" t="str">
        <f>TEXT(SalesTable[[#This Row],[Order_Date]],"mmm")</f>
        <v>Aug</v>
      </c>
      <c r="J604" s="1">
        <f>YEAR(SalesTable[[#This Row],[Order_Date]])</f>
        <v>2023</v>
      </c>
      <c r="K604" s="4">
        <v>123.29</v>
      </c>
      <c r="L604" s="9">
        <f>SalesTable[[#This Row],[Profit]]/SalesTable[[#This Row],[Sales]]</f>
        <v>0.16304103466060116</v>
      </c>
    </row>
    <row r="605" spans="1:12" ht="14" x14ac:dyDescent="0.15">
      <c r="A605" s="1">
        <v>10604</v>
      </c>
      <c r="B605" s="2">
        <v>45165</v>
      </c>
      <c r="C605" s="1" t="s">
        <v>12</v>
      </c>
      <c r="D605" s="1" t="s">
        <v>15</v>
      </c>
      <c r="E605" s="1" t="s">
        <v>19</v>
      </c>
      <c r="F605" s="1" t="s">
        <v>21</v>
      </c>
      <c r="G605" s="4">
        <v>737.16</v>
      </c>
      <c r="H605" s="1">
        <v>4</v>
      </c>
      <c r="I605" s="1" t="str">
        <f>TEXT(SalesTable[[#This Row],[Order_Date]],"mmm")</f>
        <v>Aug</v>
      </c>
      <c r="J605" s="1">
        <f>YEAR(SalesTable[[#This Row],[Order_Date]])</f>
        <v>2023</v>
      </c>
      <c r="K605" s="4">
        <v>29.92</v>
      </c>
      <c r="L605" s="9">
        <f>SalesTable[[#This Row],[Profit]]/SalesTable[[#This Row],[Sales]]</f>
        <v>4.058820337511531E-2</v>
      </c>
    </row>
    <row r="606" spans="1:12" ht="14" x14ac:dyDescent="0.15">
      <c r="A606" s="1">
        <v>10605</v>
      </c>
      <c r="B606" s="2">
        <v>45166</v>
      </c>
      <c r="C606" s="1" t="s">
        <v>9</v>
      </c>
      <c r="D606" s="1" t="s">
        <v>13</v>
      </c>
      <c r="E606" s="1" t="s">
        <v>18</v>
      </c>
      <c r="F606" s="1" t="s">
        <v>24</v>
      </c>
      <c r="G606" s="4">
        <v>179.25</v>
      </c>
      <c r="H606" s="1">
        <v>6</v>
      </c>
      <c r="I606" s="1" t="str">
        <f>TEXT(SalesTable[[#This Row],[Order_Date]],"mmm")</f>
        <v>Aug</v>
      </c>
      <c r="J606" s="1">
        <f>YEAR(SalesTable[[#This Row],[Order_Date]])</f>
        <v>2023</v>
      </c>
      <c r="K606" s="4">
        <v>17.36</v>
      </c>
      <c r="L606" s="9">
        <f>SalesTable[[#This Row],[Profit]]/SalesTable[[#This Row],[Sales]]</f>
        <v>9.6847977684797762E-2</v>
      </c>
    </row>
    <row r="607" spans="1:12" ht="14" x14ac:dyDescent="0.15">
      <c r="A607" s="1">
        <v>10606</v>
      </c>
      <c r="B607" s="2">
        <v>45167</v>
      </c>
      <c r="C607" s="1" t="s">
        <v>9</v>
      </c>
      <c r="D607" s="1" t="s">
        <v>15</v>
      </c>
      <c r="E607" s="1" t="s">
        <v>16</v>
      </c>
      <c r="F607" s="1" t="s">
        <v>23</v>
      </c>
      <c r="G607" s="4">
        <v>844.27</v>
      </c>
      <c r="H607" s="1">
        <v>6</v>
      </c>
      <c r="I607" s="1" t="str">
        <f>TEXT(SalesTable[[#This Row],[Order_Date]],"mmm")</f>
        <v>Aug</v>
      </c>
      <c r="J607" s="1">
        <f>YEAR(SalesTable[[#This Row],[Order_Date]])</f>
        <v>2023</v>
      </c>
      <c r="K607" s="4">
        <v>-86.63</v>
      </c>
      <c r="L607" s="9">
        <f>SalesTable[[#This Row],[Profit]]/SalesTable[[#This Row],[Sales]]</f>
        <v>-0.1026093548272472</v>
      </c>
    </row>
    <row r="608" spans="1:12" ht="14" x14ac:dyDescent="0.15">
      <c r="A608" s="1">
        <v>10607</v>
      </c>
      <c r="B608" s="2">
        <v>45168</v>
      </c>
      <c r="C608" s="1" t="s">
        <v>9</v>
      </c>
      <c r="D608" s="1" t="s">
        <v>13</v>
      </c>
      <c r="E608" s="1" t="s">
        <v>20</v>
      </c>
      <c r="F608" s="1" t="s">
        <v>24</v>
      </c>
      <c r="G608" s="4">
        <v>197.05</v>
      </c>
      <c r="H608" s="1">
        <v>4</v>
      </c>
      <c r="I608" s="1" t="str">
        <f>TEXT(SalesTable[[#This Row],[Order_Date]],"mmm")</f>
        <v>Aug</v>
      </c>
      <c r="J608" s="1">
        <f>YEAR(SalesTable[[#This Row],[Order_Date]])</f>
        <v>2023</v>
      </c>
      <c r="K608" s="4">
        <v>226.33</v>
      </c>
      <c r="L608" s="9">
        <f>SalesTable[[#This Row],[Profit]]/SalesTable[[#This Row],[Sales]]</f>
        <v>1.1485917279878204</v>
      </c>
    </row>
    <row r="609" spans="1:12" ht="14" x14ac:dyDescent="0.15">
      <c r="A609" s="1">
        <v>10608</v>
      </c>
      <c r="B609" s="2">
        <v>45169</v>
      </c>
      <c r="C609" s="1" t="s">
        <v>10</v>
      </c>
      <c r="D609" s="1" t="s">
        <v>15</v>
      </c>
      <c r="E609" s="1" t="s">
        <v>18</v>
      </c>
      <c r="F609" s="1" t="s">
        <v>25</v>
      </c>
      <c r="G609" s="4">
        <v>336.12</v>
      </c>
      <c r="H609" s="1">
        <v>6</v>
      </c>
      <c r="I609" s="1" t="str">
        <f>TEXT(SalesTable[[#This Row],[Order_Date]],"mmm")</f>
        <v>Aug</v>
      </c>
      <c r="J609" s="1">
        <f>YEAR(SalesTable[[#This Row],[Order_Date]])</f>
        <v>2023</v>
      </c>
      <c r="K609" s="4">
        <v>80.150000000000006</v>
      </c>
      <c r="L609" s="9">
        <f>SalesTable[[#This Row],[Profit]]/SalesTable[[#This Row],[Sales]]</f>
        <v>0.23845650362965609</v>
      </c>
    </row>
    <row r="610" spans="1:12" ht="14" x14ac:dyDescent="0.15">
      <c r="A610" s="1">
        <v>10609</v>
      </c>
      <c r="B610" s="2">
        <v>45170</v>
      </c>
      <c r="C610" s="1" t="s">
        <v>10</v>
      </c>
      <c r="D610" s="1" t="s">
        <v>15</v>
      </c>
      <c r="E610" s="1" t="s">
        <v>20</v>
      </c>
      <c r="F610" s="1" t="s">
        <v>22</v>
      </c>
      <c r="G610" s="4">
        <v>286.52999999999997</v>
      </c>
      <c r="H610" s="1">
        <v>8</v>
      </c>
      <c r="I610" s="1" t="str">
        <f>TEXT(SalesTable[[#This Row],[Order_Date]],"mmm")</f>
        <v>Sep</v>
      </c>
      <c r="J610" s="1">
        <f>YEAR(SalesTable[[#This Row],[Order_Date]])</f>
        <v>2023</v>
      </c>
      <c r="K610" s="4">
        <v>30.05</v>
      </c>
      <c r="L610" s="9">
        <f>SalesTable[[#This Row],[Profit]]/SalesTable[[#This Row],[Sales]]</f>
        <v>0.10487558021847626</v>
      </c>
    </row>
    <row r="611" spans="1:12" ht="14" x14ac:dyDescent="0.15">
      <c r="A611" s="1">
        <v>10610</v>
      </c>
      <c r="B611" s="2">
        <v>45171</v>
      </c>
      <c r="C611" s="1" t="s">
        <v>10</v>
      </c>
      <c r="D611" s="1" t="s">
        <v>15</v>
      </c>
      <c r="E611" s="1" t="s">
        <v>20</v>
      </c>
      <c r="F611" s="1" t="s">
        <v>22</v>
      </c>
      <c r="G611" s="4">
        <v>403.69</v>
      </c>
      <c r="H611" s="1">
        <v>3</v>
      </c>
      <c r="I611" s="1" t="str">
        <f>TEXT(SalesTable[[#This Row],[Order_Date]],"mmm")</f>
        <v>Sep</v>
      </c>
      <c r="J611" s="1">
        <f>YEAR(SalesTable[[#This Row],[Order_Date]])</f>
        <v>2023</v>
      </c>
      <c r="K611" s="4">
        <v>88.44</v>
      </c>
      <c r="L611" s="9">
        <f>SalesTable[[#This Row],[Profit]]/SalesTable[[#This Row],[Sales]]</f>
        <v>0.21907899625950605</v>
      </c>
    </row>
    <row r="612" spans="1:12" ht="14" x14ac:dyDescent="0.15">
      <c r="A612" s="1">
        <v>10611</v>
      </c>
      <c r="B612" s="2">
        <v>45172</v>
      </c>
      <c r="C612" s="1" t="s">
        <v>11</v>
      </c>
      <c r="D612" s="1" t="s">
        <v>15</v>
      </c>
      <c r="E612" s="1" t="s">
        <v>16</v>
      </c>
      <c r="F612" s="1" t="s">
        <v>21</v>
      </c>
      <c r="G612" s="4">
        <v>291.93</v>
      </c>
      <c r="H612" s="1">
        <v>4</v>
      </c>
      <c r="I612" s="1" t="str">
        <f>TEXT(SalesTable[[#This Row],[Order_Date]],"mmm")</f>
        <v>Sep</v>
      </c>
      <c r="J612" s="1">
        <f>YEAR(SalesTable[[#This Row],[Order_Date]])</f>
        <v>2023</v>
      </c>
      <c r="K612" s="4">
        <v>227.5</v>
      </c>
      <c r="L612" s="9">
        <f>SalesTable[[#This Row],[Profit]]/SalesTable[[#This Row],[Sales]]</f>
        <v>0.77929640667283251</v>
      </c>
    </row>
    <row r="613" spans="1:12" ht="14" x14ac:dyDescent="0.15">
      <c r="A613" s="1">
        <v>10612</v>
      </c>
      <c r="B613" s="2">
        <v>45173</v>
      </c>
      <c r="C613" s="1" t="s">
        <v>12</v>
      </c>
      <c r="D613" s="1" t="s">
        <v>13</v>
      </c>
      <c r="E613" s="1" t="s">
        <v>17</v>
      </c>
      <c r="F613" s="1" t="s">
        <v>21</v>
      </c>
      <c r="G613" s="4">
        <v>514.5</v>
      </c>
      <c r="H613" s="1">
        <v>1</v>
      </c>
      <c r="I613" s="1" t="str">
        <f>TEXT(SalesTable[[#This Row],[Order_Date]],"mmm")</f>
        <v>Sep</v>
      </c>
      <c r="J613" s="1">
        <f>YEAR(SalesTable[[#This Row],[Order_Date]])</f>
        <v>2023</v>
      </c>
      <c r="K613" s="4">
        <v>-50.15</v>
      </c>
      <c r="L613" s="9">
        <f>SalesTable[[#This Row],[Profit]]/SalesTable[[#This Row],[Sales]]</f>
        <v>-9.7473275024295425E-2</v>
      </c>
    </row>
    <row r="614" spans="1:12" ht="14" x14ac:dyDescent="0.15">
      <c r="A614" s="1">
        <v>10613</v>
      </c>
      <c r="B614" s="2">
        <v>45174</v>
      </c>
      <c r="C614" s="1" t="s">
        <v>10</v>
      </c>
      <c r="D614" s="1" t="s">
        <v>13</v>
      </c>
      <c r="E614" s="1" t="s">
        <v>18</v>
      </c>
      <c r="F614" s="1" t="s">
        <v>21</v>
      </c>
      <c r="G614" s="4">
        <v>437.04</v>
      </c>
      <c r="H614" s="1">
        <v>4</v>
      </c>
      <c r="I614" s="1" t="str">
        <f>TEXT(SalesTable[[#This Row],[Order_Date]],"mmm")</f>
        <v>Sep</v>
      </c>
      <c r="J614" s="1">
        <f>YEAR(SalesTable[[#This Row],[Order_Date]])</f>
        <v>2023</v>
      </c>
      <c r="K614" s="4">
        <v>243.06</v>
      </c>
      <c r="L614" s="9">
        <f>SalesTable[[#This Row],[Profit]]/SalesTable[[#This Row],[Sales]]</f>
        <v>0.55615046677649638</v>
      </c>
    </row>
    <row r="615" spans="1:12" ht="14" x14ac:dyDescent="0.15">
      <c r="A615" s="1">
        <v>10614</v>
      </c>
      <c r="B615" s="2">
        <v>45175</v>
      </c>
      <c r="C615" s="1" t="s">
        <v>12</v>
      </c>
      <c r="D615" s="1" t="s">
        <v>14</v>
      </c>
      <c r="E615" s="1" t="s">
        <v>16</v>
      </c>
      <c r="F615" s="1" t="s">
        <v>23</v>
      </c>
      <c r="G615" s="4">
        <v>987.24</v>
      </c>
      <c r="H615" s="1">
        <v>9</v>
      </c>
      <c r="I615" s="1" t="str">
        <f>TEXT(SalesTable[[#This Row],[Order_Date]],"mmm")</f>
        <v>Sep</v>
      </c>
      <c r="J615" s="1">
        <f>YEAR(SalesTable[[#This Row],[Order_Date]])</f>
        <v>2023</v>
      </c>
      <c r="K615" s="4">
        <v>259</v>
      </c>
      <c r="L615" s="9">
        <f>SalesTable[[#This Row],[Profit]]/SalesTable[[#This Row],[Sales]]</f>
        <v>0.26234755479923827</v>
      </c>
    </row>
    <row r="616" spans="1:12" ht="14" x14ac:dyDescent="0.15">
      <c r="A616" s="1">
        <v>10615</v>
      </c>
      <c r="B616" s="2">
        <v>45176</v>
      </c>
      <c r="C616" s="1" t="s">
        <v>12</v>
      </c>
      <c r="D616" s="1" t="s">
        <v>13</v>
      </c>
      <c r="E616" s="1" t="s">
        <v>20</v>
      </c>
      <c r="F616" s="1" t="s">
        <v>25</v>
      </c>
      <c r="G616" s="4">
        <v>103.13</v>
      </c>
      <c r="H616" s="1">
        <v>8</v>
      </c>
      <c r="I616" s="1" t="str">
        <f>TEXT(SalesTable[[#This Row],[Order_Date]],"mmm")</f>
        <v>Sep</v>
      </c>
      <c r="J616" s="1">
        <f>YEAR(SalesTable[[#This Row],[Order_Date]])</f>
        <v>2023</v>
      </c>
      <c r="K616" s="4">
        <v>278.68</v>
      </c>
      <c r="L616" s="9">
        <f>SalesTable[[#This Row],[Profit]]/SalesTable[[#This Row],[Sales]]</f>
        <v>2.7022204984000777</v>
      </c>
    </row>
    <row r="617" spans="1:12" ht="14" x14ac:dyDescent="0.15">
      <c r="A617" s="1">
        <v>10616</v>
      </c>
      <c r="B617" s="2">
        <v>45177</v>
      </c>
      <c r="C617" s="1" t="s">
        <v>9</v>
      </c>
      <c r="D617" s="1" t="s">
        <v>15</v>
      </c>
      <c r="E617" s="1" t="s">
        <v>16</v>
      </c>
      <c r="F617" s="1" t="s">
        <v>25</v>
      </c>
      <c r="G617" s="4">
        <v>185.07</v>
      </c>
      <c r="H617" s="1">
        <v>4</v>
      </c>
      <c r="I617" s="1" t="str">
        <f>TEXT(SalesTable[[#This Row],[Order_Date]],"mmm")</f>
        <v>Sep</v>
      </c>
      <c r="J617" s="1">
        <f>YEAR(SalesTable[[#This Row],[Order_Date]])</f>
        <v>2023</v>
      </c>
      <c r="K617" s="4">
        <v>59</v>
      </c>
      <c r="L617" s="9">
        <f>SalesTable[[#This Row],[Profit]]/SalesTable[[#This Row],[Sales]]</f>
        <v>0.31879829253795861</v>
      </c>
    </row>
    <row r="618" spans="1:12" ht="14" x14ac:dyDescent="0.15">
      <c r="A618" s="1">
        <v>10617</v>
      </c>
      <c r="B618" s="2">
        <v>45178</v>
      </c>
      <c r="C618" s="1" t="s">
        <v>11</v>
      </c>
      <c r="D618" s="1" t="s">
        <v>14</v>
      </c>
      <c r="E618" s="1" t="s">
        <v>17</v>
      </c>
      <c r="F618" s="1" t="s">
        <v>25</v>
      </c>
      <c r="G618" s="4">
        <v>100.18</v>
      </c>
      <c r="H618" s="1">
        <v>7</v>
      </c>
      <c r="I618" s="1" t="str">
        <f>TEXT(SalesTable[[#This Row],[Order_Date]],"mmm")</f>
        <v>Sep</v>
      </c>
      <c r="J618" s="1">
        <f>YEAR(SalesTable[[#This Row],[Order_Date]])</f>
        <v>2023</v>
      </c>
      <c r="K618" s="4">
        <v>-13.14</v>
      </c>
      <c r="L618" s="9">
        <f>SalesTable[[#This Row],[Profit]]/SalesTable[[#This Row],[Sales]]</f>
        <v>-0.1311639049710521</v>
      </c>
    </row>
    <row r="619" spans="1:12" ht="14" x14ac:dyDescent="0.15">
      <c r="A619" s="1">
        <v>10618</v>
      </c>
      <c r="B619" s="2">
        <v>45179</v>
      </c>
      <c r="C619" s="1" t="s">
        <v>10</v>
      </c>
      <c r="D619" s="1" t="s">
        <v>14</v>
      </c>
      <c r="E619" s="1" t="s">
        <v>18</v>
      </c>
      <c r="F619" s="1" t="s">
        <v>25</v>
      </c>
      <c r="G619" s="4">
        <v>644.54999999999995</v>
      </c>
      <c r="H619" s="1">
        <v>3</v>
      </c>
      <c r="I619" s="1" t="str">
        <f>TEXT(SalesTable[[#This Row],[Order_Date]],"mmm")</f>
        <v>Sep</v>
      </c>
      <c r="J619" s="1">
        <f>YEAR(SalesTable[[#This Row],[Order_Date]])</f>
        <v>2023</v>
      </c>
      <c r="K619" s="4">
        <v>49.46</v>
      </c>
      <c r="L619" s="9">
        <f>SalesTable[[#This Row],[Profit]]/SalesTable[[#This Row],[Sales]]</f>
        <v>7.6735707082460636E-2</v>
      </c>
    </row>
    <row r="620" spans="1:12" ht="14" x14ac:dyDescent="0.15">
      <c r="A620" s="1">
        <v>10619</v>
      </c>
      <c r="B620" s="2">
        <v>45180</v>
      </c>
      <c r="C620" s="1" t="s">
        <v>9</v>
      </c>
      <c r="D620" s="1" t="s">
        <v>14</v>
      </c>
      <c r="E620" s="1" t="s">
        <v>17</v>
      </c>
      <c r="F620" s="1" t="s">
        <v>21</v>
      </c>
      <c r="G620" s="4">
        <v>101.78</v>
      </c>
      <c r="H620" s="1">
        <v>9</v>
      </c>
      <c r="I620" s="1" t="str">
        <f>TEXT(SalesTable[[#This Row],[Order_Date]],"mmm")</f>
        <v>Sep</v>
      </c>
      <c r="J620" s="1">
        <f>YEAR(SalesTable[[#This Row],[Order_Date]])</f>
        <v>2023</v>
      </c>
      <c r="K620" s="4">
        <v>33.159999999999997</v>
      </c>
      <c r="L620" s="9">
        <f>SalesTable[[#This Row],[Profit]]/SalesTable[[#This Row],[Sales]]</f>
        <v>0.32580074670858711</v>
      </c>
    </row>
    <row r="621" spans="1:12" ht="14" x14ac:dyDescent="0.15">
      <c r="A621" s="1">
        <v>10620</v>
      </c>
      <c r="B621" s="2">
        <v>45181</v>
      </c>
      <c r="C621" s="1" t="s">
        <v>9</v>
      </c>
      <c r="D621" s="1" t="s">
        <v>15</v>
      </c>
      <c r="E621" s="1" t="s">
        <v>19</v>
      </c>
      <c r="F621" s="1" t="s">
        <v>22</v>
      </c>
      <c r="G621" s="4">
        <v>844.62</v>
      </c>
      <c r="H621" s="1">
        <v>4</v>
      </c>
      <c r="I621" s="1" t="str">
        <f>TEXT(SalesTable[[#This Row],[Order_Date]],"mmm")</f>
        <v>Sep</v>
      </c>
      <c r="J621" s="1">
        <f>YEAR(SalesTable[[#This Row],[Order_Date]])</f>
        <v>2023</v>
      </c>
      <c r="K621" s="4">
        <v>-29.54</v>
      </c>
      <c r="L621" s="9">
        <f>SalesTable[[#This Row],[Profit]]/SalesTable[[#This Row],[Sales]]</f>
        <v>-3.4974307972816178E-2</v>
      </c>
    </row>
    <row r="622" spans="1:12" ht="14" x14ac:dyDescent="0.15">
      <c r="A622" s="1">
        <v>10621</v>
      </c>
      <c r="B622" s="2">
        <v>45182</v>
      </c>
      <c r="C622" s="1" t="s">
        <v>10</v>
      </c>
      <c r="D622" s="1" t="s">
        <v>13</v>
      </c>
      <c r="E622" s="1" t="s">
        <v>18</v>
      </c>
      <c r="F622" s="1" t="s">
        <v>21</v>
      </c>
      <c r="G622" s="4">
        <v>536.34</v>
      </c>
      <c r="H622" s="1">
        <v>2</v>
      </c>
      <c r="I622" s="1" t="str">
        <f>TEXT(SalesTable[[#This Row],[Order_Date]],"mmm")</f>
        <v>Sep</v>
      </c>
      <c r="J622" s="1">
        <f>YEAR(SalesTable[[#This Row],[Order_Date]])</f>
        <v>2023</v>
      </c>
      <c r="K622" s="4">
        <v>142.91</v>
      </c>
      <c r="L622" s="9">
        <f>SalesTable[[#This Row],[Profit]]/SalesTable[[#This Row],[Sales]]</f>
        <v>0.26645411492709847</v>
      </c>
    </row>
    <row r="623" spans="1:12" ht="14" x14ac:dyDescent="0.15">
      <c r="A623" s="1">
        <v>10622</v>
      </c>
      <c r="B623" s="2">
        <v>45183</v>
      </c>
      <c r="C623" s="1" t="s">
        <v>12</v>
      </c>
      <c r="D623" s="1" t="s">
        <v>15</v>
      </c>
      <c r="E623" s="1" t="s">
        <v>17</v>
      </c>
      <c r="F623" s="1" t="s">
        <v>25</v>
      </c>
      <c r="G623" s="4">
        <v>550.66</v>
      </c>
      <c r="H623" s="1">
        <v>5</v>
      </c>
      <c r="I623" s="1" t="str">
        <f>TEXT(SalesTable[[#This Row],[Order_Date]],"mmm")</f>
        <v>Sep</v>
      </c>
      <c r="J623" s="1">
        <f>YEAR(SalesTable[[#This Row],[Order_Date]])</f>
        <v>2023</v>
      </c>
      <c r="K623" s="4">
        <v>90.65</v>
      </c>
      <c r="L623" s="9">
        <f>SalesTable[[#This Row],[Profit]]/SalesTable[[#This Row],[Sales]]</f>
        <v>0.16462063705371738</v>
      </c>
    </row>
    <row r="624" spans="1:12" ht="14" x14ac:dyDescent="0.15">
      <c r="A624" s="1">
        <v>10623</v>
      </c>
      <c r="B624" s="2">
        <v>45184</v>
      </c>
      <c r="C624" s="1" t="s">
        <v>9</v>
      </c>
      <c r="D624" s="1" t="s">
        <v>14</v>
      </c>
      <c r="E624" s="1" t="s">
        <v>20</v>
      </c>
      <c r="F624" s="1" t="s">
        <v>21</v>
      </c>
      <c r="G624" s="4">
        <v>583.51</v>
      </c>
      <c r="H624" s="1">
        <v>2</v>
      </c>
      <c r="I624" s="1" t="str">
        <f>TEXT(SalesTable[[#This Row],[Order_Date]],"mmm")</f>
        <v>Sep</v>
      </c>
      <c r="J624" s="1">
        <f>YEAR(SalesTable[[#This Row],[Order_Date]])</f>
        <v>2023</v>
      </c>
      <c r="K624" s="4">
        <v>246.28</v>
      </c>
      <c r="L624" s="9">
        <f>SalesTable[[#This Row],[Profit]]/SalesTable[[#This Row],[Sales]]</f>
        <v>0.42206645987215302</v>
      </c>
    </row>
    <row r="625" spans="1:12" ht="14" x14ac:dyDescent="0.15">
      <c r="A625" s="1">
        <v>10624</v>
      </c>
      <c r="B625" s="2">
        <v>45185</v>
      </c>
      <c r="C625" s="1" t="s">
        <v>12</v>
      </c>
      <c r="D625" s="1" t="s">
        <v>15</v>
      </c>
      <c r="E625" s="1" t="s">
        <v>18</v>
      </c>
      <c r="F625" s="1" t="s">
        <v>25</v>
      </c>
      <c r="G625" s="4">
        <v>212.27</v>
      </c>
      <c r="H625" s="1">
        <v>6</v>
      </c>
      <c r="I625" s="1" t="str">
        <f>TEXT(SalesTable[[#This Row],[Order_Date]],"mmm")</f>
        <v>Sep</v>
      </c>
      <c r="J625" s="1">
        <f>YEAR(SalesTable[[#This Row],[Order_Date]])</f>
        <v>2023</v>
      </c>
      <c r="K625" s="4">
        <v>-87.16</v>
      </c>
      <c r="L625" s="9">
        <f>SalesTable[[#This Row],[Profit]]/SalesTable[[#This Row],[Sales]]</f>
        <v>-0.41060912988175435</v>
      </c>
    </row>
    <row r="626" spans="1:12" ht="14" x14ac:dyDescent="0.15">
      <c r="A626" s="1">
        <v>10625</v>
      </c>
      <c r="B626" s="2">
        <v>45186</v>
      </c>
      <c r="C626" s="1" t="s">
        <v>11</v>
      </c>
      <c r="D626" s="1" t="s">
        <v>15</v>
      </c>
      <c r="E626" s="1" t="s">
        <v>18</v>
      </c>
      <c r="F626" s="1" t="s">
        <v>24</v>
      </c>
      <c r="G626" s="4">
        <v>237.81</v>
      </c>
      <c r="H626" s="1">
        <v>1</v>
      </c>
      <c r="I626" s="1" t="str">
        <f>TEXT(SalesTable[[#This Row],[Order_Date]],"mmm")</f>
        <v>Sep</v>
      </c>
      <c r="J626" s="1">
        <f>YEAR(SalesTable[[#This Row],[Order_Date]])</f>
        <v>2023</v>
      </c>
      <c r="K626" s="4">
        <v>157.55000000000001</v>
      </c>
      <c r="L626" s="9">
        <f>SalesTable[[#This Row],[Profit]]/SalesTable[[#This Row],[Sales]]</f>
        <v>0.66250367940793076</v>
      </c>
    </row>
    <row r="627" spans="1:12" ht="14" x14ac:dyDescent="0.15">
      <c r="A627" s="1">
        <v>10626</v>
      </c>
      <c r="B627" s="2">
        <v>45187</v>
      </c>
      <c r="C627" s="1" t="s">
        <v>12</v>
      </c>
      <c r="D627" s="1" t="s">
        <v>13</v>
      </c>
      <c r="E627" s="1" t="s">
        <v>16</v>
      </c>
      <c r="F627" s="1" t="s">
        <v>22</v>
      </c>
      <c r="G627" s="4">
        <v>352.88</v>
      </c>
      <c r="H627" s="1">
        <v>6</v>
      </c>
      <c r="I627" s="1" t="str">
        <f>TEXT(SalesTable[[#This Row],[Order_Date]],"mmm")</f>
        <v>Sep</v>
      </c>
      <c r="J627" s="1">
        <f>YEAR(SalesTable[[#This Row],[Order_Date]])</f>
        <v>2023</v>
      </c>
      <c r="K627" s="4">
        <v>205.18</v>
      </c>
      <c r="L627" s="9">
        <f>SalesTable[[#This Row],[Profit]]/SalesTable[[#This Row],[Sales]]</f>
        <v>0.58144411698027665</v>
      </c>
    </row>
    <row r="628" spans="1:12" ht="14" x14ac:dyDescent="0.15">
      <c r="A628" s="1">
        <v>10627</v>
      </c>
      <c r="B628" s="2">
        <v>45188</v>
      </c>
      <c r="C628" s="1" t="s">
        <v>11</v>
      </c>
      <c r="D628" s="1" t="s">
        <v>13</v>
      </c>
      <c r="E628" s="1" t="s">
        <v>20</v>
      </c>
      <c r="F628" s="1" t="s">
        <v>24</v>
      </c>
      <c r="G628" s="4">
        <v>613.82000000000005</v>
      </c>
      <c r="H628" s="1">
        <v>4</v>
      </c>
      <c r="I628" s="1" t="str">
        <f>TEXT(SalesTable[[#This Row],[Order_Date]],"mmm")</f>
        <v>Sep</v>
      </c>
      <c r="J628" s="1">
        <f>YEAR(SalesTable[[#This Row],[Order_Date]])</f>
        <v>2023</v>
      </c>
      <c r="K628" s="4">
        <v>203.79</v>
      </c>
      <c r="L628" s="9">
        <f>SalesTable[[#This Row],[Profit]]/SalesTable[[#This Row],[Sales]]</f>
        <v>0.33200286729008499</v>
      </c>
    </row>
    <row r="629" spans="1:12" ht="14" x14ac:dyDescent="0.15">
      <c r="A629" s="1">
        <v>10628</v>
      </c>
      <c r="B629" s="2">
        <v>45189</v>
      </c>
      <c r="C629" s="1" t="s">
        <v>12</v>
      </c>
      <c r="D629" s="1" t="s">
        <v>14</v>
      </c>
      <c r="E629" s="1" t="s">
        <v>19</v>
      </c>
      <c r="F629" s="1" t="s">
        <v>23</v>
      </c>
      <c r="G629" s="4">
        <v>249.61</v>
      </c>
      <c r="H629" s="1">
        <v>3</v>
      </c>
      <c r="I629" s="1" t="str">
        <f>TEXT(SalesTable[[#This Row],[Order_Date]],"mmm")</f>
        <v>Sep</v>
      </c>
      <c r="J629" s="1">
        <f>YEAR(SalesTable[[#This Row],[Order_Date]])</f>
        <v>2023</v>
      </c>
      <c r="K629" s="4">
        <v>254.43</v>
      </c>
      <c r="L629" s="9">
        <f>SalesTable[[#This Row],[Profit]]/SalesTable[[#This Row],[Sales]]</f>
        <v>1.0193101237931173</v>
      </c>
    </row>
    <row r="630" spans="1:12" ht="14" x14ac:dyDescent="0.15">
      <c r="A630" s="1">
        <v>10629</v>
      </c>
      <c r="B630" s="2">
        <v>45190</v>
      </c>
      <c r="C630" s="1" t="s">
        <v>9</v>
      </c>
      <c r="D630" s="1" t="s">
        <v>15</v>
      </c>
      <c r="E630" s="1" t="s">
        <v>17</v>
      </c>
      <c r="F630" s="1" t="s">
        <v>21</v>
      </c>
      <c r="G630" s="4">
        <v>160.52000000000001</v>
      </c>
      <c r="H630" s="1">
        <v>2</v>
      </c>
      <c r="I630" s="1" t="str">
        <f>TEXT(SalesTable[[#This Row],[Order_Date]],"mmm")</f>
        <v>Sep</v>
      </c>
      <c r="J630" s="1">
        <f>YEAR(SalesTable[[#This Row],[Order_Date]])</f>
        <v>2023</v>
      </c>
      <c r="K630" s="4">
        <v>191.61</v>
      </c>
      <c r="L630" s="9">
        <f>SalesTable[[#This Row],[Profit]]/SalesTable[[#This Row],[Sales]]</f>
        <v>1.1936830301520061</v>
      </c>
    </row>
    <row r="631" spans="1:12" ht="14" x14ac:dyDescent="0.15">
      <c r="A631" s="1">
        <v>10630</v>
      </c>
      <c r="B631" s="2">
        <v>45191</v>
      </c>
      <c r="C631" s="1" t="s">
        <v>9</v>
      </c>
      <c r="D631" s="1" t="s">
        <v>15</v>
      </c>
      <c r="E631" s="1" t="s">
        <v>16</v>
      </c>
      <c r="F631" s="1" t="s">
        <v>23</v>
      </c>
      <c r="G631" s="4">
        <v>971.61</v>
      </c>
      <c r="H631" s="1">
        <v>7</v>
      </c>
      <c r="I631" s="1" t="str">
        <f>TEXT(SalesTable[[#This Row],[Order_Date]],"mmm")</f>
        <v>Sep</v>
      </c>
      <c r="J631" s="1">
        <f>YEAR(SalesTable[[#This Row],[Order_Date]])</f>
        <v>2023</v>
      </c>
      <c r="K631" s="4">
        <v>271.12</v>
      </c>
      <c r="L631" s="9">
        <f>SalesTable[[#This Row],[Profit]]/SalesTable[[#This Row],[Sales]]</f>
        <v>0.27904200244954253</v>
      </c>
    </row>
    <row r="632" spans="1:12" ht="14" x14ac:dyDescent="0.15">
      <c r="A632" s="1">
        <v>10631</v>
      </c>
      <c r="B632" s="2">
        <v>45192</v>
      </c>
      <c r="C632" s="1" t="s">
        <v>11</v>
      </c>
      <c r="D632" s="1" t="s">
        <v>13</v>
      </c>
      <c r="E632" s="1" t="s">
        <v>17</v>
      </c>
      <c r="F632" s="1" t="s">
        <v>21</v>
      </c>
      <c r="G632" s="4">
        <v>70.88</v>
      </c>
      <c r="H632" s="1">
        <v>9</v>
      </c>
      <c r="I632" s="1" t="str">
        <f>TEXT(SalesTable[[#This Row],[Order_Date]],"mmm")</f>
        <v>Sep</v>
      </c>
      <c r="J632" s="1">
        <f>YEAR(SalesTable[[#This Row],[Order_Date]])</f>
        <v>2023</v>
      </c>
      <c r="K632" s="4">
        <v>33.06</v>
      </c>
      <c r="L632" s="9">
        <f>SalesTable[[#This Row],[Profit]]/SalesTable[[#This Row],[Sales]]</f>
        <v>0.46642212189616261</v>
      </c>
    </row>
    <row r="633" spans="1:12" ht="14" x14ac:dyDescent="0.15">
      <c r="A633" s="1">
        <v>10632</v>
      </c>
      <c r="B633" s="2">
        <v>45193</v>
      </c>
      <c r="C633" s="1" t="s">
        <v>10</v>
      </c>
      <c r="D633" s="1" t="s">
        <v>15</v>
      </c>
      <c r="E633" s="1" t="s">
        <v>19</v>
      </c>
      <c r="F633" s="1" t="s">
        <v>24</v>
      </c>
      <c r="G633" s="4">
        <v>812.56</v>
      </c>
      <c r="H633" s="1">
        <v>3</v>
      </c>
      <c r="I633" s="1" t="str">
        <f>TEXT(SalesTable[[#This Row],[Order_Date]],"mmm")</f>
        <v>Sep</v>
      </c>
      <c r="J633" s="1">
        <f>YEAR(SalesTable[[#This Row],[Order_Date]])</f>
        <v>2023</v>
      </c>
      <c r="K633" s="4">
        <v>101.28</v>
      </c>
      <c r="L633" s="9">
        <f>SalesTable[[#This Row],[Profit]]/SalesTable[[#This Row],[Sales]]</f>
        <v>0.12464310327852714</v>
      </c>
    </row>
    <row r="634" spans="1:12" ht="14" x14ac:dyDescent="0.15">
      <c r="A634" s="1">
        <v>10633</v>
      </c>
      <c r="B634" s="2">
        <v>45194</v>
      </c>
      <c r="C634" s="1" t="s">
        <v>11</v>
      </c>
      <c r="D634" s="1" t="s">
        <v>15</v>
      </c>
      <c r="E634" s="1" t="s">
        <v>19</v>
      </c>
      <c r="F634" s="1" t="s">
        <v>25</v>
      </c>
      <c r="G634" s="4">
        <v>798.63</v>
      </c>
      <c r="H634" s="1">
        <v>6</v>
      </c>
      <c r="I634" s="1" t="str">
        <f>TEXT(SalesTable[[#This Row],[Order_Date]],"mmm")</f>
        <v>Sep</v>
      </c>
      <c r="J634" s="1">
        <f>YEAR(SalesTable[[#This Row],[Order_Date]])</f>
        <v>2023</v>
      </c>
      <c r="K634" s="4">
        <v>-94.37</v>
      </c>
      <c r="L634" s="9">
        <f>SalesTable[[#This Row],[Profit]]/SalesTable[[#This Row],[Sales]]</f>
        <v>-0.11816485731815735</v>
      </c>
    </row>
    <row r="635" spans="1:12" ht="14" x14ac:dyDescent="0.15">
      <c r="A635" s="1">
        <v>10634</v>
      </c>
      <c r="B635" s="2">
        <v>45195</v>
      </c>
      <c r="C635" s="1" t="s">
        <v>11</v>
      </c>
      <c r="D635" s="1" t="s">
        <v>15</v>
      </c>
      <c r="E635" s="1" t="s">
        <v>18</v>
      </c>
      <c r="F635" s="1" t="s">
        <v>25</v>
      </c>
      <c r="G635" s="4">
        <v>332.35</v>
      </c>
      <c r="H635" s="1">
        <v>9</v>
      </c>
      <c r="I635" s="1" t="str">
        <f>TEXT(SalesTable[[#This Row],[Order_Date]],"mmm")</f>
        <v>Sep</v>
      </c>
      <c r="J635" s="1">
        <f>YEAR(SalesTable[[#This Row],[Order_Date]])</f>
        <v>2023</v>
      </c>
      <c r="K635" s="4">
        <v>-97.22</v>
      </c>
      <c r="L635" s="9">
        <f>SalesTable[[#This Row],[Profit]]/SalesTable[[#This Row],[Sales]]</f>
        <v>-0.29252294268090867</v>
      </c>
    </row>
    <row r="636" spans="1:12" ht="14" x14ac:dyDescent="0.15">
      <c r="A636" s="1">
        <v>10635</v>
      </c>
      <c r="B636" s="2">
        <v>45196</v>
      </c>
      <c r="C636" s="1" t="s">
        <v>12</v>
      </c>
      <c r="D636" s="1" t="s">
        <v>13</v>
      </c>
      <c r="E636" s="1" t="s">
        <v>19</v>
      </c>
      <c r="F636" s="1" t="s">
        <v>21</v>
      </c>
      <c r="G636" s="4">
        <v>178.85</v>
      </c>
      <c r="H636" s="1">
        <v>2</v>
      </c>
      <c r="I636" s="1" t="str">
        <f>TEXT(SalesTable[[#This Row],[Order_Date]],"mmm")</f>
        <v>Sep</v>
      </c>
      <c r="J636" s="1">
        <f>YEAR(SalesTable[[#This Row],[Order_Date]])</f>
        <v>2023</v>
      </c>
      <c r="K636" s="4">
        <v>-3.95</v>
      </c>
      <c r="L636" s="9">
        <f>SalesTable[[#This Row],[Profit]]/SalesTable[[#This Row],[Sales]]</f>
        <v>-2.2085546547386078E-2</v>
      </c>
    </row>
    <row r="637" spans="1:12" ht="14" x14ac:dyDescent="0.15">
      <c r="A637" s="1">
        <v>10636</v>
      </c>
      <c r="B637" s="2">
        <v>45197</v>
      </c>
      <c r="C637" s="1" t="s">
        <v>12</v>
      </c>
      <c r="D637" s="1" t="s">
        <v>14</v>
      </c>
      <c r="E637" s="1" t="s">
        <v>17</v>
      </c>
      <c r="F637" s="1" t="s">
        <v>25</v>
      </c>
      <c r="G637" s="4">
        <v>188.35</v>
      </c>
      <c r="H637" s="1">
        <v>7</v>
      </c>
      <c r="I637" s="1" t="str">
        <f>TEXT(SalesTable[[#This Row],[Order_Date]],"mmm")</f>
        <v>Sep</v>
      </c>
      <c r="J637" s="1">
        <f>YEAR(SalesTable[[#This Row],[Order_Date]])</f>
        <v>2023</v>
      </c>
      <c r="K637" s="4">
        <v>-59.68</v>
      </c>
      <c r="L637" s="9">
        <f>SalesTable[[#This Row],[Profit]]/SalesTable[[#This Row],[Sales]]</f>
        <v>-0.31685691531722859</v>
      </c>
    </row>
    <row r="638" spans="1:12" ht="14" x14ac:dyDescent="0.15">
      <c r="A638" s="1">
        <v>10637</v>
      </c>
      <c r="B638" s="2">
        <v>45198</v>
      </c>
      <c r="C638" s="1" t="s">
        <v>11</v>
      </c>
      <c r="D638" s="1" t="s">
        <v>14</v>
      </c>
      <c r="E638" s="1" t="s">
        <v>20</v>
      </c>
      <c r="F638" s="1" t="s">
        <v>24</v>
      </c>
      <c r="G638" s="4">
        <v>712.56</v>
      </c>
      <c r="H638" s="1">
        <v>5</v>
      </c>
      <c r="I638" s="1" t="str">
        <f>TEXT(SalesTable[[#This Row],[Order_Date]],"mmm")</f>
        <v>Sep</v>
      </c>
      <c r="J638" s="1">
        <f>YEAR(SalesTable[[#This Row],[Order_Date]])</f>
        <v>2023</v>
      </c>
      <c r="K638" s="4">
        <v>4.08</v>
      </c>
      <c r="L638" s="9">
        <f>SalesTable[[#This Row],[Profit]]/SalesTable[[#This Row],[Sales]]</f>
        <v>5.7258336140114524E-3</v>
      </c>
    </row>
    <row r="639" spans="1:12" ht="14" x14ac:dyDescent="0.15">
      <c r="A639" s="1">
        <v>10638</v>
      </c>
      <c r="B639" s="2">
        <v>45199</v>
      </c>
      <c r="C639" s="1" t="s">
        <v>9</v>
      </c>
      <c r="D639" s="1" t="s">
        <v>15</v>
      </c>
      <c r="E639" s="1" t="s">
        <v>20</v>
      </c>
      <c r="F639" s="1" t="s">
        <v>25</v>
      </c>
      <c r="G639" s="4">
        <v>660.67</v>
      </c>
      <c r="H639" s="1">
        <v>5</v>
      </c>
      <c r="I639" s="1" t="str">
        <f>TEXT(SalesTable[[#This Row],[Order_Date]],"mmm")</f>
        <v>Sep</v>
      </c>
      <c r="J639" s="1">
        <f>YEAR(SalesTable[[#This Row],[Order_Date]])</f>
        <v>2023</v>
      </c>
      <c r="K639" s="4">
        <v>-29.18</v>
      </c>
      <c r="L639" s="9">
        <f>SalesTable[[#This Row],[Profit]]/SalesTable[[#This Row],[Sales]]</f>
        <v>-4.4167284726111374E-2</v>
      </c>
    </row>
    <row r="640" spans="1:12" ht="14" x14ac:dyDescent="0.15">
      <c r="A640" s="1">
        <v>10639</v>
      </c>
      <c r="B640" s="2">
        <v>45200</v>
      </c>
      <c r="C640" s="1" t="s">
        <v>12</v>
      </c>
      <c r="D640" s="1" t="s">
        <v>14</v>
      </c>
      <c r="E640" s="1" t="s">
        <v>18</v>
      </c>
      <c r="F640" s="1" t="s">
        <v>24</v>
      </c>
      <c r="G640" s="4">
        <v>793.61</v>
      </c>
      <c r="H640" s="1">
        <v>7</v>
      </c>
      <c r="I640" s="1" t="str">
        <f>TEXT(SalesTable[[#This Row],[Order_Date]],"mmm")</f>
        <v>Oct</v>
      </c>
      <c r="J640" s="1">
        <f>YEAR(SalesTable[[#This Row],[Order_Date]])</f>
        <v>2023</v>
      </c>
      <c r="K640" s="4">
        <v>-88.59</v>
      </c>
      <c r="L640" s="9">
        <f>SalesTable[[#This Row],[Profit]]/SalesTable[[#This Row],[Sales]]</f>
        <v>-0.11162913773767971</v>
      </c>
    </row>
    <row r="641" spans="1:12" ht="14" x14ac:dyDescent="0.15">
      <c r="A641" s="1">
        <v>10640</v>
      </c>
      <c r="B641" s="2">
        <v>45201</v>
      </c>
      <c r="C641" s="1" t="s">
        <v>10</v>
      </c>
      <c r="D641" s="1" t="s">
        <v>13</v>
      </c>
      <c r="E641" s="1" t="s">
        <v>17</v>
      </c>
      <c r="F641" s="1" t="s">
        <v>23</v>
      </c>
      <c r="G641" s="4">
        <v>940.61</v>
      </c>
      <c r="H641" s="1">
        <v>9</v>
      </c>
      <c r="I641" s="1" t="str">
        <f>TEXT(SalesTable[[#This Row],[Order_Date]],"mmm")</f>
        <v>Oct</v>
      </c>
      <c r="J641" s="1">
        <f>YEAR(SalesTable[[#This Row],[Order_Date]])</f>
        <v>2023</v>
      </c>
      <c r="K641" s="4">
        <v>263.72000000000003</v>
      </c>
      <c r="L641" s="9">
        <f>SalesTable[[#This Row],[Profit]]/SalesTable[[#This Row],[Sales]]</f>
        <v>0.28037124844515793</v>
      </c>
    </row>
    <row r="642" spans="1:12" ht="14" x14ac:dyDescent="0.15">
      <c r="A642" s="1">
        <v>10641</v>
      </c>
      <c r="B642" s="2">
        <v>45202</v>
      </c>
      <c r="C642" s="1" t="s">
        <v>12</v>
      </c>
      <c r="D642" s="1" t="s">
        <v>13</v>
      </c>
      <c r="E642" s="1" t="s">
        <v>17</v>
      </c>
      <c r="F642" s="1" t="s">
        <v>24</v>
      </c>
      <c r="G642" s="4">
        <v>707.33</v>
      </c>
      <c r="H642" s="1">
        <v>4</v>
      </c>
      <c r="I642" s="1" t="str">
        <f>TEXT(SalesTable[[#This Row],[Order_Date]],"mmm")</f>
        <v>Oct</v>
      </c>
      <c r="J642" s="1">
        <f>YEAR(SalesTable[[#This Row],[Order_Date]])</f>
        <v>2023</v>
      </c>
      <c r="K642" s="4">
        <v>-96.71</v>
      </c>
      <c r="L642" s="9">
        <f>SalesTable[[#This Row],[Profit]]/SalesTable[[#This Row],[Sales]]</f>
        <v>-0.13672543225934145</v>
      </c>
    </row>
    <row r="643" spans="1:12" ht="14" x14ac:dyDescent="0.15">
      <c r="A643" s="1">
        <v>10642</v>
      </c>
      <c r="B643" s="2">
        <v>45203</v>
      </c>
      <c r="C643" s="1" t="s">
        <v>12</v>
      </c>
      <c r="D643" s="1" t="s">
        <v>14</v>
      </c>
      <c r="E643" s="1" t="s">
        <v>19</v>
      </c>
      <c r="F643" s="1" t="s">
        <v>22</v>
      </c>
      <c r="G643" s="4">
        <v>198.06</v>
      </c>
      <c r="H643" s="1">
        <v>9</v>
      </c>
      <c r="I643" s="1" t="str">
        <f>TEXT(SalesTable[[#This Row],[Order_Date]],"mmm")</f>
        <v>Oct</v>
      </c>
      <c r="J643" s="1">
        <f>YEAR(SalesTable[[#This Row],[Order_Date]])</f>
        <v>2023</v>
      </c>
      <c r="K643" s="4">
        <v>194.43</v>
      </c>
      <c r="L643" s="9">
        <f>SalesTable[[#This Row],[Profit]]/SalesTable[[#This Row],[Sales]]</f>
        <v>0.98167222053923053</v>
      </c>
    </row>
    <row r="644" spans="1:12" ht="14" x14ac:dyDescent="0.15">
      <c r="A644" s="1">
        <v>10643</v>
      </c>
      <c r="B644" s="2">
        <v>45204</v>
      </c>
      <c r="C644" s="1" t="s">
        <v>10</v>
      </c>
      <c r="D644" s="1" t="s">
        <v>14</v>
      </c>
      <c r="E644" s="1" t="s">
        <v>17</v>
      </c>
      <c r="F644" s="1" t="s">
        <v>22</v>
      </c>
      <c r="G644" s="4">
        <v>281.27</v>
      </c>
      <c r="H644" s="1">
        <v>9</v>
      </c>
      <c r="I644" s="1" t="str">
        <f>TEXT(SalesTable[[#This Row],[Order_Date]],"mmm")</f>
        <v>Oct</v>
      </c>
      <c r="J644" s="1">
        <f>YEAR(SalesTable[[#This Row],[Order_Date]])</f>
        <v>2023</v>
      </c>
      <c r="K644" s="4">
        <v>-39.14</v>
      </c>
      <c r="L644" s="9">
        <f>SalesTable[[#This Row],[Profit]]/SalesTable[[#This Row],[Sales]]</f>
        <v>-0.13915454900984819</v>
      </c>
    </row>
    <row r="645" spans="1:12" ht="14" x14ac:dyDescent="0.15">
      <c r="A645" s="1">
        <v>10644</v>
      </c>
      <c r="B645" s="2">
        <v>45205</v>
      </c>
      <c r="C645" s="1" t="s">
        <v>11</v>
      </c>
      <c r="D645" s="1" t="s">
        <v>15</v>
      </c>
      <c r="E645" s="1" t="s">
        <v>16</v>
      </c>
      <c r="F645" s="1" t="s">
        <v>22</v>
      </c>
      <c r="G645" s="4">
        <v>850.08</v>
      </c>
      <c r="H645" s="1">
        <v>4</v>
      </c>
      <c r="I645" s="1" t="str">
        <f>TEXT(SalesTable[[#This Row],[Order_Date]],"mmm")</f>
        <v>Oct</v>
      </c>
      <c r="J645" s="1">
        <f>YEAR(SalesTable[[#This Row],[Order_Date]])</f>
        <v>2023</v>
      </c>
      <c r="K645" s="4">
        <v>264.89</v>
      </c>
      <c r="L645" s="9">
        <f>SalesTable[[#This Row],[Profit]]/SalesTable[[#This Row],[Sales]]</f>
        <v>0.31160596649727079</v>
      </c>
    </row>
    <row r="646" spans="1:12" ht="14" x14ac:dyDescent="0.15">
      <c r="A646" s="1">
        <v>10645</v>
      </c>
      <c r="B646" s="2">
        <v>45206</v>
      </c>
      <c r="C646" s="1" t="s">
        <v>10</v>
      </c>
      <c r="D646" s="1" t="s">
        <v>14</v>
      </c>
      <c r="E646" s="1" t="s">
        <v>19</v>
      </c>
      <c r="F646" s="1" t="s">
        <v>21</v>
      </c>
      <c r="G646" s="4">
        <v>248.84</v>
      </c>
      <c r="H646" s="1">
        <v>3</v>
      </c>
      <c r="I646" s="1" t="str">
        <f>TEXT(SalesTable[[#This Row],[Order_Date]],"mmm")</f>
        <v>Oct</v>
      </c>
      <c r="J646" s="1">
        <f>YEAR(SalesTable[[#This Row],[Order_Date]])</f>
        <v>2023</v>
      </c>
      <c r="K646" s="4">
        <v>257.12</v>
      </c>
      <c r="L646" s="9">
        <f>SalesTable[[#This Row],[Profit]]/SalesTable[[#This Row],[Sales]]</f>
        <v>1.0332743931843755</v>
      </c>
    </row>
    <row r="647" spans="1:12" ht="14" x14ac:dyDescent="0.15">
      <c r="A647" s="1">
        <v>10646</v>
      </c>
      <c r="B647" s="2">
        <v>45207</v>
      </c>
      <c r="C647" s="1" t="s">
        <v>11</v>
      </c>
      <c r="D647" s="1" t="s">
        <v>15</v>
      </c>
      <c r="E647" s="1" t="s">
        <v>16</v>
      </c>
      <c r="F647" s="1" t="s">
        <v>21</v>
      </c>
      <c r="G647" s="4">
        <v>118.9</v>
      </c>
      <c r="H647" s="1">
        <v>2</v>
      </c>
      <c r="I647" s="1" t="str">
        <f>TEXT(SalesTable[[#This Row],[Order_Date]],"mmm")</f>
        <v>Oct</v>
      </c>
      <c r="J647" s="1">
        <f>YEAR(SalesTable[[#This Row],[Order_Date]])</f>
        <v>2023</v>
      </c>
      <c r="K647" s="4">
        <v>161.56</v>
      </c>
      <c r="L647" s="9">
        <f>SalesTable[[#This Row],[Profit]]/SalesTable[[#This Row],[Sales]]</f>
        <v>1.3587888982338099</v>
      </c>
    </row>
    <row r="648" spans="1:12" ht="14" x14ac:dyDescent="0.15">
      <c r="A648" s="1">
        <v>10647</v>
      </c>
      <c r="B648" s="2">
        <v>45208</v>
      </c>
      <c r="C648" s="1" t="s">
        <v>11</v>
      </c>
      <c r="D648" s="1" t="s">
        <v>15</v>
      </c>
      <c r="E648" s="1" t="s">
        <v>18</v>
      </c>
      <c r="F648" s="1" t="s">
        <v>21</v>
      </c>
      <c r="G648" s="4">
        <v>718.12</v>
      </c>
      <c r="H648" s="1">
        <v>9</v>
      </c>
      <c r="I648" s="1" t="str">
        <f>TEXT(SalesTable[[#This Row],[Order_Date]],"mmm")</f>
        <v>Oct</v>
      </c>
      <c r="J648" s="1">
        <f>YEAR(SalesTable[[#This Row],[Order_Date]])</f>
        <v>2023</v>
      </c>
      <c r="K648" s="4">
        <v>168.89</v>
      </c>
      <c r="L648" s="9">
        <f>SalesTable[[#This Row],[Profit]]/SalesTable[[#This Row],[Sales]]</f>
        <v>0.23518353478527262</v>
      </c>
    </row>
    <row r="649" spans="1:12" ht="14" x14ac:dyDescent="0.15">
      <c r="A649" s="1">
        <v>10648</v>
      </c>
      <c r="B649" s="2">
        <v>45209</v>
      </c>
      <c r="C649" s="1" t="s">
        <v>11</v>
      </c>
      <c r="D649" s="1" t="s">
        <v>13</v>
      </c>
      <c r="E649" s="1" t="s">
        <v>20</v>
      </c>
      <c r="F649" s="1" t="s">
        <v>24</v>
      </c>
      <c r="G649" s="4">
        <v>432.4</v>
      </c>
      <c r="H649" s="1">
        <v>2</v>
      </c>
      <c r="I649" s="1" t="str">
        <f>TEXT(SalesTable[[#This Row],[Order_Date]],"mmm")</f>
        <v>Oct</v>
      </c>
      <c r="J649" s="1">
        <f>YEAR(SalesTable[[#This Row],[Order_Date]])</f>
        <v>2023</v>
      </c>
      <c r="K649" s="4">
        <v>-97.86</v>
      </c>
      <c r="L649" s="9">
        <f>SalesTable[[#This Row],[Profit]]/SalesTable[[#This Row],[Sales]]</f>
        <v>-0.22631822386679001</v>
      </c>
    </row>
    <row r="650" spans="1:12" ht="14" x14ac:dyDescent="0.15">
      <c r="A650" s="1">
        <v>10649</v>
      </c>
      <c r="B650" s="2">
        <v>45210</v>
      </c>
      <c r="C650" s="1" t="s">
        <v>10</v>
      </c>
      <c r="D650" s="1" t="s">
        <v>13</v>
      </c>
      <c r="E650" s="1" t="s">
        <v>18</v>
      </c>
      <c r="F650" s="1" t="s">
        <v>21</v>
      </c>
      <c r="G650" s="4">
        <v>924.04</v>
      </c>
      <c r="H650" s="1">
        <v>6</v>
      </c>
      <c r="I650" s="1" t="str">
        <f>TEXT(SalesTable[[#This Row],[Order_Date]],"mmm")</f>
        <v>Oct</v>
      </c>
      <c r="J650" s="1">
        <f>YEAR(SalesTable[[#This Row],[Order_Date]])</f>
        <v>2023</v>
      </c>
      <c r="K650" s="4">
        <v>293.95</v>
      </c>
      <c r="L650" s="9">
        <f>SalesTable[[#This Row],[Profit]]/SalesTable[[#This Row],[Sales]]</f>
        <v>0.3181139344617116</v>
      </c>
    </row>
    <row r="651" spans="1:12" ht="14" x14ac:dyDescent="0.15">
      <c r="A651" s="1">
        <v>10650</v>
      </c>
      <c r="B651" s="2">
        <v>45211</v>
      </c>
      <c r="C651" s="1" t="s">
        <v>11</v>
      </c>
      <c r="D651" s="1" t="s">
        <v>13</v>
      </c>
      <c r="E651" s="1" t="s">
        <v>20</v>
      </c>
      <c r="F651" s="1" t="s">
        <v>23</v>
      </c>
      <c r="G651" s="4">
        <v>667.74</v>
      </c>
      <c r="H651" s="1">
        <v>5</v>
      </c>
      <c r="I651" s="1" t="str">
        <f>TEXT(SalesTable[[#This Row],[Order_Date]],"mmm")</f>
        <v>Oct</v>
      </c>
      <c r="J651" s="1">
        <f>YEAR(SalesTable[[#This Row],[Order_Date]])</f>
        <v>2023</v>
      </c>
      <c r="K651" s="4">
        <v>251.13</v>
      </c>
      <c r="L651" s="9">
        <f>SalesTable[[#This Row],[Profit]]/SalesTable[[#This Row],[Sales]]</f>
        <v>0.37608949591158236</v>
      </c>
    </row>
    <row r="652" spans="1:12" ht="14" x14ac:dyDescent="0.15">
      <c r="A652" s="1">
        <v>10651</v>
      </c>
      <c r="B652" s="2">
        <v>45212</v>
      </c>
      <c r="C652" s="1" t="s">
        <v>9</v>
      </c>
      <c r="D652" s="1" t="s">
        <v>13</v>
      </c>
      <c r="E652" s="1" t="s">
        <v>18</v>
      </c>
      <c r="F652" s="1" t="s">
        <v>22</v>
      </c>
      <c r="G652" s="4">
        <v>135.9</v>
      </c>
      <c r="H652" s="1">
        <v>5</v>
      </c>
      <c r="I652" s="1" t="str">
        <f>TEXT(SalesTable[[#This Row],[Order_Date]],"mmm")</f>
        <v>Oct</v>
      </c>
      <c r="J652" s="1">
        <f>YEAR(SalesTable[[#This Row],[Order_Date]])</f>
        <v>2023</v>
      </c>
      <c r="K652" s="4">
        <v>258.04000000000002</v>
      </c>
      <c r="L652" s="9">
        <f>SalesTable[[#This Row],[Profit]]/SalesTable[[#This Row],[Sales]]</f>
        <v>1.8987490802060338</v>
      </c>
    </row>
    <row r="653" spans="1:12" ht="14" x14ac:dyDescent="0.15">
      <c r="A653" s="1">
        <v>10652</v>
      </c>
      <c r="B653" s="2">
        <v>45213</v>
      </c>
      <c r="C653" s="1" t="s">
        <v>10</v>
      </c>
      <c r="D653" s="1" t="s">
        <v>14</v>
      </c>
      <c r="E653" s="1" t="s">
        <v>17</v>
      </c>
      <c r="F653" s="1" t="s">
        <v>24</v>
      </c>
      <c r="G653" s="4">
        <v>950.46</v>
      </c>
      <c r="H653" s="1">
        <v>4</v>
      </c>
      <c r="I653" s="1" t="str">
        <f>TEXT(SalesTable[[#This Row],[Order_Date]],"mmm")</f>
        <v>Oct</v>
      </c>
      <c r="J653" s="1">
        <f>YEAR(SalesTable[[#This Row],[Order_Date]])</f>
        <v>2023</v>
      </c>
      <c r="K653" s="4">
        <v>163.69999999999999</v>
      </c>
      <c r="L653" s="9">
        <f>SalesTable[[#This Row],[Profit]]/SalesTable[[#This Row],[Sales]]</f>
        <v>0.17223239273614879</v>
      </c>
    </row>
    <row r="654" spans="1:12" ht="14" x14ac:dyDescent="0.15">
      <c r="A654" s="1">
        <v>10653</v>
      </c>
      <c r="B654" s="2">
        <v>45214</v>
      </c>
      <c r="C654" s="1" t="s">
        <v>9</v>
      </c>
      <c r="D654" s="1" t="s">
        <v>13</v>
      </c>
      <c r="E654" s="1" t="s">
        <v>16</v>
      </c>
      <c r="F654" s="1" t="s">
        <v>22</v>
      </c>
      <c r="G654" s="4">
        <v>295.63</v>
      </c>
      <c r="H654" s="1">
        <v>6</v>
      </c>
      <c r="I654" s="1" t="str">
        <f>TEXT(SalesTable[[#This Row],[Order_Date]],"mmm")</f>
        <v>Oct</v>
      </c>
      <c r="J654" s="1">
        <f>YEAR(SalesTable[[#This Row],[Order_Date]])</f>
        <v>2023</v>
      </c>
      <c r="K654" s="4">
        <v>37.909999999999997</v>
      </c>
      <c r="L654" s="9">
        <f>SalesTable[[#This Row],[Profit]]/SalesTable[[#This Row],[Sales]]</f>
        <v>0.12823461759631971</v>
      </c>
    </row>
    <row r="655" spans="1:12" ht="14" x14ac:dyDescent="0.15">
      <c r="A655" s="1">
        <v>10654</v>
      </c>
      <c r="B655" s="2">
        <v>45215</v>
      </c>
      <c r="C655" s="1" t="s">
        <v>11</v>
      </c>
      <c r="D655" s="1" t="s">
        <v>14</v>
      </c>
      <c r="E655" s="1" t="s">
        <v>20</v>
      </c>
      <c r="F655" s="1" t="s">
        <v>21</v>
      </c>
      <c r="G655" s="4">
        <v>370.35</v>
      </c>
      <c r="H655" s="1">
        <v>5</v>
      </c>
      <c r="I655" s="1" t="str">
        <f>TEXT(SalesTable[[#This Row],[Order_Date]],"mmm")</f>
        <v>Oct</v>
      </c>
      <c r="J655" s="1">
        <f>YEAR(SalesTable[[#This Row],[Order_Date]])</f>
        <v>2023</v>
      </c>
      <c r="K655" s="4">
        <v>257.45999999999998</v>
      </c>
      <c r="L655" s="9">
        <f>SalesTable[[#This Row],[Profit]]/SalesTable[[#This Row],[Sales]]</f>
        <v>0.69518023491292014</v>
      </c>
    </row>
    <row r="656" spans="1:12" ht="14" x14ac:dyDescent="0.15">
      <c r="A656" s="1">
        <v>10655</v>
      </c>
      <c r="B656" s="2">
        <v>45216</v>
      </c>
      <c r="C656" s="1" t="s">
        <v>12</v>
      </c>
      <c r="D656" s="1" t="s">
        <v>13</v>
      </c>
      <c r="E656" s="1" t="s">
        <v>19</v>
      </c>
      <c r="F656" s="1" t="s">
        <v>24</v>
      </c>
      <c r="G656" s="4">
        <v>432.15</v>
      </c>
      <c r="H656" s="1">
        <v>4</v>
      </c>
      <c r="I656" s="1" t="str">
        <f>TEXT(SalesTable[[#This Row],[Order_Date]],"mmm")</f>
        <v>Oct</v>
      </c>
      <c r="J656" s="1">
        <f>YEAR(SalesTable[[#This Row],[Order_Date]])</f>
        <v>2023</v>
      </c>
      <c r="K656" s="4">
        <v>16.61</v>
      </c>
      <c r="L656" s="9">
        <f>SalesTable[[#This Row],[Profit]]/SalesTable[[#This Row],[Sales]]</f>
        <v>3.8435728335068843E-2</v>
      </c>
    </row>
    <row r="657" spans="1:12" ht="14" x14ac:dyDescent="0.15">
      <c r="A657" s="1">
        <v>10656</v>
      </c>
      <c r="B657" s="2">
        <v>45217</v>
      </c>
      <c r="C657" s="1" t="s">
        <v>11</v>
      </c>
      <c r="D657" s="1" t="s">
        <v>14</v>
      </c>
      <c r="E657" s="1" t="s">
        <v>16</v>
      </c>
      <c r="F657" s="1" t="s">
        <v>25</v>
      </c>
      <c r="G657" s="4">
        <v>98.66</v>
      </c>
      <c r="H657" s="1">
        <v>9</v>
      </c>
      <c r="I657" s="1" t="str">
        <f>TEXT(SalesTable[[#This Row],[Order_Date]],"mmm")</f>
        <v>Oct</v>
      </c>
      <c r="J657" s="1">
        <f>YEAR(SalesTable[[#This Row],[Order_Date]])</f>
        <v>2023</v>
      </c>
      <c r="K657" s="4">
        <v>125.08</v>
      </c>
      <c r="L657" s="9">
        <f>SalesTable[[#This Row],[Profit]]/SalesTable[[#This Row],[Sales]]</f>
        <v>1.267788364078654</v>
      </c>
    </row>
    <row r="658" spans="1:12" ht="14" x14ac:dyDescent="0.15">
      <c r="A658" s="1">
        <v>10657</v>
      </c>
      <c r="B658" s="2">
        <v>45218</v>
      </c>
      <c r="C658" s="1" t="s">
        <v>9</v>
      </c>
      <c r="D658" s="1" t="s">
        <v>15</v>
      </c>
      <c r="E658" s="1" t="s">
        <v>19</v>
      </c>
      <c r="F658" s="1" t="s">
        <v>23</v>
      </c>
      <c r="G658" s="4">
        <v>521.69000000000005</v>
      </c>
      <c r="H658" s="1">
        <v>6</v>
      </c>
      <c r="I658" s="1" t="str">
        <f>TEXT(SalesTable[[#This Row],[Order_Date]],"mmm")</f>
        <v>Oct</v>
      </c>
      <c r="J658" s="1">
        <f>YEAR(SalesTable[[#This Row],[Order_Date]])</f>
        <v>2023</v>
      </c>
      <c r="K658" s="4">
        <v>-60.11</v>
      </c>
      <c r="L658" s="9">
        <f>SalesTable[[#This Row],[Profit]]/SalesTable[[#This Row],[Sales]]</f>
        <v>-0.11522168337518449</v>
      </c>
    </row>
    <row r="659" spans="1:12" ht="14" x14ac:dyDescent="0.15">
      <c r="A659" s="1">
        <v>10658</v>
      </c>
      <c r="B659" s="2">
        <v>45219</v>
      </c>
      <c r="C659" s="1" t="s">
        <v>9</v>
      </c>
      <c r="D659" s="1" t="s">
        <v>14</v>
      </c>
      <c r="E659" s="1" t="s">
        <v>16</v>
      </c>
      <c r="F659" s="1" t="s">
        <v>21</v>
      </c>
      <c r="G659" s="4">
        <v>167.15</v>
      </c>
      <c r="H659" s="1">
        <v>3</v>
      </c>
      <c r="I659" s="1" t="str">
        <f>TEXT(SalesTable[[#This Row],[Order_Date]],"mmm")</f>
        <v>Oct</v>
      </c>
      <c r="J659" s="1">
        <f>YEAR(SalesTable[[#This Row],[Order_Date]])</f>
        <v>2023</v>
      </c>
      <c r="K659" s="4">
        <v>268.77999999999997</v>
      </c>
      <c r="L659" s="9">
        <f>SalesTable[[#This Row],[Profit]]/SalesTable[[#This Row],[Sales]]</f>
        <v>1.6080167514208792</v>
      </c>
    </row>
    <row r="660" spans="1:12" ht="14" x14ac:dyDescent="0.15">
      <c r="A660" s="1">
        <v>10659</v>
      </c>
      <c r="B660" s="2">
        <v>45220</v>
      </c>
      <c r="C660" s="1" t="s">
        <v>10</v>
      </c>
      <c r="D660" s="1" t="s">
        <v>14</v>
      </c>
      <c r="E660" s="1" t="s">
        <v>16</v>
      </c>
      <c r="F660" s="1" t="s">
        <v>21</v>
      </c>
      <c r="G660" s="4">
        <v>430.92</v>
      </c>
      <c r="H660" s="1">
        <v>6</v>
      </c>
      <c r="I660" s="1" t="str">
        <f>TEXT(SalesTable[[#This Row],[Order_Date]],"mmm")</f>
        <v>Oct</v>
      </c>
      <c r="J660" s="1">
        <f>YEAR(SalesTable[[#This Row],[Order_Date]])</f>
        <v>2023</v>
      </c>
      <c r="K660" s="4">
        <v>-43.69</v>
      </c>
      <c r="L660" s="9">
        <f>SalesTable[[#This Row],[Profit]]/SalesTable[[#This Row],[Sales]]</f>
        <v>-0.10138772858071103</v>
      </c>
    </row>
    <row r="661" spans="1:12" ht="14" x14ac:dyDescent="0.15">
      <c r="A661" s="1">
        <v>10660</v>
      </c>
      <c r="B661" s="2">
        <v>45221</v>
      </c>
      <c r="C661" s="1" t="s">
        <v>12</v>
      </c>
      <c r="D661" s="1" t="s">
        <v>13</v>
      </c>
      <c r="E661" s="1" t="s">
        <v>18</v>
      </c>
      <c r="F661" s="1" t="s">
        <v>23</v>
      </c>
      <c r="G661" s="4">
        <v>383.17</v>
      </c>
      <c r="H661" s="1">
        <v>1</v>
      </c>
      <c r="I661" s="1" t="str">
        <f>TEXT(SalesTable[[#This Row],[Order_Date]],"mmm")</f>
        <v>Oct</v>
      </c>
      <c r="J661" s="1">
        <f>YEAR(SalesTable[[#This Row],[Order_Date]])</f>
        <v>2023</v>
      </c>
      <c r="K661" s="4">
        <v>-10.039999999999999</v>
      </c>
      <c r="L661" s="9">
        <f>SalesTable[[#This Row],[Profit]]/SalesTable[[#This Row],[Sales]]</f>
        <v>-2.6202468878043686E-2</v>
      </c>
    </row>
    <row r="662" spans="1:12" ht="14" x14ac:dyDescent="0.15">
      <c r="A662" s="1">
        <v>10661</v>
      </c>
      <c r="B662" s="2">
        <v>45222</v>
      </c>
      <c r="C662" s="1" t="s">
        <v>10</v>
      </c>
      <c r="D662" s="1" t="s">
        <v>14</v>
      </c>
      <c r="E662" s="1" t="s">
        <v>20</v>
      </c>
      <c r="F662" s="1" t="s">
        <v>23</v>
      </c>
      <c r="G662" s="4">
        <v>784.2</v>
      </c>
      <c r="H662" s="1">
        <v>5</v>
      </c>
      <c r="I662" s="1" t="str">
        <f>TEXT(SalesTable[[#This Row],[Order_Date]],"mmm")</f>
        <v>Oct</v>
      </c>
      <c r="J662" s="1">
        <f>YEAR(SalesTable[[#This Row],[Order_Date]])</f>
        <v>2023</v>
      </c>
      <c r="K662" s="4">
        <v>123.25</v>
      </c>
      <c r="L662" s="9">
        <f>SalesTable[[#This Row],[Profit]]/SalesTable[[#This Row],[Sales]]</f>
        <v>0.15716653914817647</v>
      </c>
    </row>
    <row r="663" spans="1:12" ht="14" x14ac:dyDescent="0.15">
      <c r="A663" s="1">
        <v>10662</v>
      </c>
      <c r="B663" s="2">
        <v>45223</v>
      </c>
      <c r="C663" s="1" t="s">
        <v>9</v>
      </c>
      <c r="D663" s="1" t="s">
        <v>15</v>
      </c>
      <c r="E663" s="1" t="s">
        <v>20</v>
      </c>
      <c r="F663" s="1" t="s">
        <v>25</v>
      </c>
      <c r="G663" s="4">
        <v>813.01</v>
      </c>
      <c r="H663" s="1">
        <v>6</v>
      </c>
      <c r="I663" s="1" t="str">
        <f>TEXT(SalesTable[[#This Row],[Order_Date]],"mmm")</f>
        <v>Oct</v>
      </c>
      <c r="J663" s="1">
        <f>YEAR(SalesTable[[#This Row],[Order_Date]])</f>
        <v>2023</v>
      </c>
      <c r="K663" s="4">
        <v>205.64</v>
      </c>
      <c r="L663" s="9">
        <f>SalesTable[[#This Row],[Profit]]/SalesTable[[#This Row],[Sales]]</f>
        <v>0.25293661824577801</v>
      </c>
    </row>
    <row r="664" spans="1:12" ht="14" x14ac:dyDescent="0.15">
      <c r="A664" s="1">
        <v>10663</v>
      </c>
      <c r="B664" s="2">
        <v>45224</v>
      </c>
      <c r="C664" s="1" t="s">
        <v>11</v>
      </c>
      <c r="D664" s="1" t="s">
        <v>15</v>
      </c>
      <c r="E664" s="1" t="s">
        <v>16</v>
      </c>
      <c r="F664" s="1" t="s">
        <v>21</v>
      </c>
      <c r="G664" s="4">
        <v>195.74</v>
      </c>
      <c r="H664" s="1">
        <v>8</v>
      </c>
      <c r="I664" s="1" t="str">
        <f>TEXT(SalesTable[[#This Row],[Order_Date]],"mmm")</f>
        <v>Oct</v>
      </c>
      <c r="J664" s="1">
        <f>YEAR(SalesTable[[#This Row],[Order_Date]])</f>
        <v>2023</v>
      </c>
      <c r="K664" s="4">
        <v>147.74</v>
      </c>
      <c r="L664" s="9">
        <f>SalesTable[[#This Row],[Profit]]/SalesTable[[#This Row],[Sales]]</f>
        <v>0.75477674466128541</v>
      </c>
    </row>
    <row r="665" spans="1:12" ht="14" x14ac:dyDescent="0.15">
      <c r="A665" s="1">
        <v>10664</v>
      </c>
      <c r="B665" s="2">
        <v>45225</v>
      </c>
      <c r="C665" s="1" t="s">
        <v>12</v>
      </c>
      <c r="D665" s="1" t="s">
        <v>13</v>
      </c>
      <c r="E665" s="1" t="s">
        <v>17</v>
      </c>
      <c r="F665" s="1" t="s">
        <v>21</v>
      </c>
      <c r="G665" s="4">
        <v>398.22</v>
      </c>
      <c r="H665" s="1">
        <v>9</v>
      </c>
      <c r="I665" s="1" t="str">
        <f>TEXT(SalesTable[[#This Row],[Order_Date]],"mmm")</f>
        <v>Oct</v>
      </c>
      <c r="J665" s="1">
        <f>YEAR(SalesTable[[#This Row],[Order_Date]])</f>
        <v>2023</v>
      </c>
      <c r="K665" s="4">
        <v>-7.15</v>
      </c>
      <c r="L665" s="9">
        <f>SalesTable[[#This Row],[Profit]]/SalesTable[[#This Row],[Sales]]</f>
        <v>-1.7954899301893427E-2</v>
      </c>
    </row>
    <row r="666" spans="1:12" ht="14" x14ac:dyDescent="0.15">
      <c r="A666" s="1">
        <v>10665</v>
      </c>
      <c r="B666" s="2">
        <v>45226</v>
      </c>
      <c r="C666" s="1" t="s">
        <v>11</v>
      </c>
      <c r="D666" s="1" t="s">
        <v>15</v>
      </c>
      <c r="E666" s="1" t="s">
        <v>17</v>
      </c>
      <c r="F666" s="1" t="s">
        <v>22</v>
      </c>
      <c r="G666" s="4">
        <v>404.69</v>
      </c>
      <c r="H666" s="1">
        <v>3</v>
      </c>
      <c r="I666" s="1" t="str">
        <f>TEXT(SalesTable[[#This Row],[Order_Date]],"mmm")</f>
        <v>Oct</v>
      </c>
      <c r="J666" s="1">
        <f>YEAR(SalesTable[[#This Row],[Order_Date]])</f>
        <v>2023</v>
      </c>
      <c r="K666" s="4">
        <v>-99.62</v>
      </c>
      <c r="L666" s="9">
        <f>SalesTable[[#This Row],[Profit]]/SalesTable[[#This Row],[Sales]]</f>
        <v>-0.24616373026267022</v>
      </c>
    </row>
    <row r="667" spans="1:12" ht="14" x14ac:dyDescent="0.15">
      <c r="A667" s="1">
        <v>10666</v>
      </c>
      <c r="B667" s="2">
        <v>45227</v>
      </c>
      <c r="C667" s="1" t="s">
        <v>11</v>
      </c>
      <c r="D667" s="1" t="s">
        <v>14</v>
      </c>
      <c r="E667" s="1" t="s">
        <v>19</v>
      </c>
      <c r="F667" s="1" t="s">
        <v>24</v>
      </c>
      <c r="G667" s="4">
        <v>193.84</v>
      </c>
      <c r="H667" s="1">
        <v>2</v>
      </c>
      <c r="I667" s="1" t="str">
        <f>TEXT(SalesTable[[#This Row],[Order_Date]],"mmm")</f>
        <v>Oct</v>
      </c>
      <c r="J667" s="1">
        <f>YEAR(SalesTable[[#This Row],[Order_Date]])</f>
        <v>2023</v>
      </c>
      <c r="K667" s="4">
        <v>202.86</v>
      </c>
      <c r="L667" s="9">
        <f>SalesTable[[#This Row],[Profit]]/SalesTable[[#This Row],[Sales]]</f>
        <v>1.0465332232769295</v>
      </c>
    </row>
    <row r="668" spans="1:12" ht="14" x14ac:dyDescent="0.15">
      <c r="A668" s="1">
        <v>10667</v>
      </c>
      <c r="B668" s="2">
        <v>45228</v>
      </c>
      <c r="C668" s="1" t="s">
        <v>12</v>
      </c>
      <c r="D668" s="1" t="s">
        <v>15</v>
      </c>
      <c r="E668" s="1" t="s">
        <v>19</v>
      </c>
      <c r="F668" s="1" t="s">
        <v>24</v>
      </c>
      <c r="G668" s="4">
        <v>808.53</v>
      </c>
      <c r="H668" s="1">
        <v>4</v>
      </c>
      <c r="I668" s="1" t="str">
        <f>TEXT(SalesTable[[#This Row],[Order_Date]],"mmm")</f>
        <v>Oct</v>
      </c>
      <c r="J668" s="1">
        <f>YEAR(SalesTable[[#This Row],[Order_Date]])</f>
        <v>2023</v>
      </c>
      <c r="K668" s="4">
        <v>294.08</v>
      </c>
      <c r="L668" s="9">
        <f>SalesTable[[#This Row],[Profit]]/SalesTable[[#This Row],[Sales]]</f>
        <v>0.36372181613545568</v>
      </c>
    </row>
    <row r="669" spans="1:12" ht="14" x14ac:dyDescent="0.15">
      <c r="A669" s="1">
        <v>10668</v>
      </c>
      <c r="B669" s="2">
        <v>45229</v>
      </c>
      <c r="C669" s="1" t="s">
        <v>10</v>
      </c>
      <c r="D669" s="1" t="s">
        <v>13</v>
      </c>
      <c r="E669" s="1" t="s">
        <v>18</v>
      </c>
      <c r="F669" s="1" t="s">
        <v>22</v>
      </c>
      <c r="G669" s="4">
        <v>721.87</v>
      </c>
      <c r="H669" s="1">
        <v>8</v>
      </c>
      <c r="I669" s="1" t="str">
        <f>TEXT(SalesTable[[#This Row],[Order_Date]],"mmm")</f>
        <v>Oct</v>
      </c>
      <c r="J669" s="1">
        <f>YEAR(SalesTable[[#This Row],[Order_Date]])</f>
        <v>2023</v>
      </c>
      <c r="K669" s="4">
        <v>223.97</v>
      </c>
      <c r="L669" s="9">
        <f>SalesTable[[#This Row],[Profit]]/SalesTable[[#This Row],[Sales]]</f>
        <v>0.31026362087356452</v>
      </c>
    </row>
    <row r="670" spans="1:12" ht="14" x14ac:dyDescent="0.15">
      <c r="A670" s="1">
        <v>10669</v>
      </c>
      <c r="B670" s="2">
        <v>45230</v>
      </c>
      <c r="C670" s="1" t="s">
        <v>11</v>
      </c>
      <c r="D670" s="1" t="s">
        <v>14</v>
      </c>
      <c r="E670" s="1" t="s">
        <v>16</v>
      </c>
      <c r="F670" s="1" t="s">
        <v>24</v>
      </c>
      <c r="G670" s="4">
        <v>230.86</v>
      </c>
      <c r="H670" s="1">
        <v>8</v>
      </c>
      <c r="I670" s="1" t="str">
        <f>TEXT(SalesTable[[#This Row],[Order_Date]],"mmm")</f>
        <v>Oct</v>
      </c>
      <c r="J670" s="1">
        <f>YEAR(SalesTable[[#This Row],[Order_Date]])</f>
        <v>2023</v>
      </c>
      <c r="K670" s="4">
        <v>84.08</v>
      </c>
      <c r="L670" s="9">
        <f>SalesTable[[#This Row],[Profit]]/SalesTable[[#This Row],[Sales]]</f>
        <v>0.36420341332409251</v>
      </c>
    </row>
    <row r="671" spans="1:12" ht="14" x14ac:dyDescent="0.15">
      <c r="A671" s="1">
        <v>10670</v>
      </c>
      <c r="B671" s="2">
        <v>45231</v>
      </c>
      <c r="C671" s="1" t="s">
        <v>9</v>
      </c>
      <c r="D671" s="1" t="s">
        <v>13</v>
      </c>
      <c r="E671" s="1" t="s">
        <v>19</v>
      </c>
      <c r="F671" s="1" t="s">
        <v>23</v>
      </c>
      <c r="G671" s="4">
        <v>398.39</v>
      </c>
      <c r="H671" s="1">
        <v>3</v>
      </c>
      <c r="I671" s="1" t="str">
        <f>TEXT(SalesTable[[#This Row],[Order_Date]],"mmm")</f>
        <v>Nov</v>
      </c>
      <c r="J671" s="1">
        <f>YEAR(SalesTable[[#This Row],[Order_Date]])</f>
        <v>2023</v>
      </c>
      <c r="K671" s="4">
        <v>261.51</v>
      </c>
      <c r="L671" s="9">
        <f>SalesTable[[#This Row],[Profit]]/SalesTable[[#This Row],[Sales]]</f>
        <v>0.65641707874193633</v>
      </c>
    </row>
    <row r="672" spans="1:12" ht="14" x14ac:dyDescent="0.15">
      <c r="A672" s="1">
        <v>10671</v>
      </c>
      <c r="B672" s="2">
        <v>45232</v>
      </c>
      <c r="C672" s="1" t="s">
        <v>11</v>
      </c>
      <c r="D672" s="1" t="s">
        <v>14</v>
      </c>
      <c r="E672" s="1" t="s">
        <v>19</v>
      </c>
      <c r="F672" s="1" t="s">
        <v>24</v>
      </c>
      <c r="G672" s="4">
        <v>150.51</v>
      </c>
      <c r="H672" s="1">
        <v>4</v>
      </c>
      <c r="I672" s="1" t="str">
        <f>TEXT(SalesTable[[#This Row],[Order_Date]],"mmm")</f>
        <v>Nov</v>
      </c>
      <c r="J672" s="1">
        <f>YEAR(SalesTable[[#This Row],[Order_Date]])</f>
        <v>2023</v>
      </c>
      <c r="K672" s="4">
        <v>63.94</v>
      </c>
      <c r="L672" s="9">
        <f>SalesTable[[#This Row],[Profit]]/SalesTable[[#This Row],[Sales]]</f>
        <v>0.42482227094545216</v>
      </c>
    </row>
    <row r="673" spans="1:12" ht="14" x14ac:dyDescent="0.15">
      <c r="A673" s="1">
        <v>10672</v>
      </c>
      <c r="B673" s="2">
        <v>45233</v>
      </c>
      <c r="C673" s="1" t="s">
        <v>12</v>
      </c>
      <c r="D673" s="1" t="s">
        <v>15</v>
      </c>
      <c r="E673" s="1" t="s">
        <v>16</v>
      </c>
      <c r="F673" s="1" t="s">
        <v>24</v>
      </c>
      <c r="G673" s="4">
        <v>646.79999999999995</v>
      </c>
      <c r="H673" s="1">
        <v>3</v>
      </c>
      <c r="I673" s="1" t="str">
        <f>TEXT(SalesTable[[#This Row],[Order_Date]],"mmm")</f>
        <v>Nov</v>
      </c>
      <c r="J673" s="1">
        <f>YEAR(SalesTable[[#This Row],[Order_Date]])</f>
        <v>2023</v>
      </c>
      <c r="K673" s="4">
        <v>109.97</v>
      </c>
      <c r="L673" s="9">
        <f>SalesTable[[#This Row],[Profit]]/SalesTable[[#This Row],[Sales]]</f>
        <v>0.17002164502164502</v>
      </c>
    </row>
    <row r="674" spans="1:12" ht="14" x14ac:dyDescent="0.15">
      <c r="A674" s="1">
        <v>10673</v>
      </c>
      <c r="B674" s="2">
        <v>45234</v>
      </c>
      <c r="C674" s="1" t="s">
        <v>12</v>
      </c>
      <c r="D674" s="1" t="s">
        <v>13</v>
      </c>
      <c r="E674" s="1" t="s">
        <v>18</v>
      </c>
      <c r="F674" s="1" t="s">
        <v>22</v>
      </c>
      <c r="G674" s="4">
        <v>165.3</v>
      </c>
      <c r="H674" s="1">
        <v>2</v>
      </c>
      <c r="I674" s="1" t="str">
        <f>TEXT(SalesTable[[#This Row],[Order_Date]],"mmm")</f>
        <v>Nov</v>
      </c>
      <c r="J674" s="1">
        <f>YEAR(SalesTable[[#This Row],[Order_Date]])</f>
        <v>2023</v>
      </c>
      <c r="K674" s="4">
        <v>90.85</v>
      </c>
      <c r="L674" s="9">
        <f>SalesTable[[#This Row],[Profit]]/SalesTable[[#This Row],[Sales]]</f>
        <v>0.54960677555958859</v>
      </c>
    </row>
    <row r="675" spans="1:12" ht="14" x14ac:dyDescent="0.15">
      <c r="A675" s="1">
        <v>10674</v>
      </c>
      <c r="B675" s="2">
        <v>45235</v>
      </c>
      <c r="C675" s="1" t="s">
        <v>12</v>
      </c>
      <c r="D675" s="1" t="s">
        <v>13</v>
      </c>
      <c r="E675" s="1" t="s">
        <v>19</v>
      </c>
      <c r="F675" s="1" t="s">
        <v>25</v>
      </c>
      <c r="G675" s="4">
        <v>986.64</v>
      </c>
      <c r="H675" s="1">
        <v>4</v>
      </c>
      <c r="I675" s="1" t="str">
        <f>TEXT(SalesTable[[#This Row],[Order_Date]],"mmm")</f>
        <v>Nov</v>
      </c>
      <c r="J675" s="1">
        <f>YEAR(SalesTable[[#This Row],[Order_Date]])</f>
        <v>2023</v>
      </c>
      <c r="K675" s="4">
        <v>79.05</v>
      </c>
      <c r="L675" s="9">
        <f>SalesTable[[#This Row],[Profit]]/SalesTable[[#This Row],[Sales]]</f>
        <v>8.0120408659693498E-2</v>
      </c>
    </row>
    <row r="676" spans="1:12" ht="14" x14ac:dyDescent="0.15">
      <c r="A676" s="1">
        <v>10675</v>
      </c>
      <c r="B676" s="2">
        <v>45236</v>
      </c>
      <c r="C676" s="1" t="s">
        <v>10</v>
      </c>
      <c r="D676" s="1" t="s">
        <v>14</v>
      </c>
      <c r="E676" s="1" t="s">
        <v>18</v>
      </c>
      <c r="F676" s="1" t="s">
        <v>24</v>
      </c>
      <c r="G676" s="4">
        <v>791.65</v>
      </c>
      <c r="H676" s="1">
        <v>6</v>
      </c>
      <c r="I676" s="1" t="str">
        <f>TEXT(SalesTable[[#This Row],[Order_Date]],"mmm")</f>
        <v>Nov</v>
      </c>
      <c r="J676" s="1">
        <f>YEAR(SalesTable[[#This Row],[Order_Date]])</f>
        <v>2023</v>
      </c>
      <c r="K676" s="4">
        <v>210.08</v>
      </c>
      <c r="L676" s="9">
        <f>SalesTable[[#This Row],[Profit]]/SalesTable[[#This Row],[Sales]]</f>
        <v>0.26536979725888971</v>
      </c>
    </row>
    <row r="677" spans="1:12" ht="14" x14ac:dyDescent="0.15">
      <c r="A677" s="1">
        <v>10676</v>
      </c>
      <c r="B677" s="2">
        <v>45237</v>
      </c>
      <c r="C677" s="1" t="s">
        <v>11</v>
      </c>
      <c r="D677" s="1" t="s">
        <v>13</v>
      </c>
      <c r="E677" s="1" t="s">
        <v>20</v>
      </c>
      <c r="F677" s="1" t="s">
        <v>24</v>
      </c>
      <c r="G677" s="4">
        <v>420.73</v>
      </c>
      <c r="H677" s="1">
        <v>5</v>
      </c>
      <c r="I677" s="1" t="str">
        <f>TEXT(SalesTable[[#This Row],[Order_Date]],"mmm")</f>
        <v>Nov</v>
      </c>
      <c r="J677" s="1">
        <f>YEAR(SalesTable[[#This Row],[Order_Date]])</f>
        <v>2023</v>
      </c>
      <c r="K677" s="4">
        <v>110.71</v>
      </c>
      <c r="L677" s="9">
        <f>SalesTable[[#This Row],[Profit]]/SalesTable[[#This Row],[Sales]]</f>
        <v>0.26313787940009031</v>
      </c>
    </row>
    <row r="678" spans="1:12" ht="14" x14ac:dyDescent="0.15">
      <c r="A678" s="1">
        <v>10677</v>
      </c>
      <c r="B678" s="2">
        <v>45238</v>
      </c>
      <c r="C678" s="1" t="s">
        <v>10</v>
      </c>
      <c r="D678" s="1" t="s">
        <v>14</v>
      </c>
      <c r="E678" s="1" t="s">
        <v>18</v>
      </c>
      <c r="F678" s="1" t="s">
        <v>25</v>
      </c>
      <c r="G678" s="4">
        <v>599.64</v>
      </c>
      <c r="H678" s="1">
        <v>3</v>
      </c>
      <c r="I678" s="1" t="str">
        <f>TEXT(SalesTable[[#This Row],[Order_Date]],"mmm")</f>
        <v>Nov</v>
      </c>
      <c r="J678" s="1">
        <f>YEAR(SalesTable[[#This Row],[Order_Date]])</f>
        <v>2023</v>
      </c>
      <c r="K678" s="4">
        <v>26.69</v>
      </c>
      <c r="L678" s="9">
        <f>SalesTable[[#This Row],[Profit]]/SalesTable[[#This Row],[Sales]]</f>
        <v>4.4510039356947508E-2</v>
      </c>
    </row>
    <row r="679" spans="1:12" ht="14" x14ac:dyDescent="0.15">
      <c r="A679" s="1">
        <v>10678</v>
      </c>
      <c r="B679" s="2">
        <v>45239</v>
      </c>
      <c r="C679" s="1" t="s">
        <v>10</v>
      </c>
      <c r="D679" s="1" t="s">
        <v>14</v>
      </c>
      <c r="E679" s="1" t="s">
        <v>17</v>
      </c>
      <c r="F679" s="1" t="s">
        <v>22</v>
      </c>
      <c r="G679" s="4">
        <v>915.77</v>
      </c>
      <c r="H679" s="1">
        <v>2</v>
      </c>
      <c r="I679" s="1" t="str">
        <f>TEXT(SalesTable[[#This Row],[Order_Date]],"mmm")</f>
        <v>Nov</v>
      </c>
      <c r="J679" s="1">
        <f>YEAR(SalesTable[[#This Row],[Order_Date]])</f>
        <v>2023</v>
      </c>
      <c r="K679" s="4">
        <v>3.26</v>
      </c>
      <c r="L679" s="9">
        <f>SalesTable[[#This Row],[Profit]]/SalesTable[[#This Row],[Sales]]</f>
        <v>3.559845812813261E-3</v>
      </c>
    </row>
    <row r="680" spans="1:12" ht="14" x14ac:dyDescent="0.15">
      <c r="A680" s="1">
        <v>10679</v>
      </c>
      <c r="B680" s="2">
        <v>45240</v>
      </c>
      <c r="C680" s="1" t="s">
        <v>12</v>
      </c>
      <c r="D680" s="1" t="s">
        <v>14</v>
      </c>
      <c r="E680" s="1" t="s">
        <v>17</v>
      </c>
      <c r="F680" s="1" t="s">
        <v>25</v>
      </c>
      <c r="G680" s="4">
        <v>576.39</v>
      </c>
      <c r="H680" s="1">
        <v>9</v>
      </c>
      <c r="I680" s="1" t="str">
        <f>TEXT(SalesTable[[#This Row],[Order_Date]],"mmm")</f>
        <v>Nov</v>
      </c>
      <c r="J680" s="1">
        <f>YEAR(SalesTable[[#This Row],[Order_Date]])</f>
        <v>2023</v>
      </c>
      <c r="K680" s="4">
        <v>-84.9</v>
      </c>
      <c r="L680" s="9">
        <f>SalesTable[[#This Row],[Profit]]/SalesTable[[#This Row],[Sales]]</f>
        <v>-0.14729610159787646</v>
      </c>
    </row>
    <row r="681" spans="1:12" ht="14" x14ac:dyDescent="0.15">
      <c r="A681" s="1">
        <v>10680</v>
      </c>
      <c r="B681" s="2">
        <v>45241</v>
      </c>
      <c r="C681" s="1" t="s">
        <v>12</v>
      </c>
      <c r="D681" s="1" t="s">
        <v>14</v>
      </c>
      <c r="E681" s="1" t="s">
        <v>18</v>
      </c>
      <c r="F681" s="1" t="s">
        <v>22</v>
      </c>
      <c r="G681" s="4">
        <v>215.77</v>
      </c>
      <c r="H681" s="1">
        <v>1</v>
      </c>
      <c r="I681" s="1" t="str">
        <f>TEXT(SalesTable[[#This Row],[Order_Date]],"mmm")</f>
        <v>Nov</v>
      </c>
      <c r="J681" s="1">
        <f>YEAR(SalesTable[[#This Row],[Order_Date]])</f>
        <v>2023</v>
      </c>
      <c r="K681" s="4">
        <v>133.28</v>
      </c>
      <c r="L681" s="9">
        <f>SalesTable[[#This Row],[Profit]]/SalesTable[[#This Row],[Sales]]</f>
        <v>0.61769476757658615</v>
      </c>
    </row>
    <row r="682" spans="1:12" ht="14" x14ac:dyDescent="0.15">
      <c r="A682" s="1">
        <v>10681</v>
      </c>
      <c r="B682" s="2">
        <v>45242</v>
      </c>
      <c r="C682" s="1" t="s">
        <v>10</v>
      </c>
      <c r="D682" s="1" t="s">
        <v>15</v>
      </c>
      <c r="E682" s="1" t="s">
        <v>17</v>
      </c>
      <c r="F682" s="1" t="s">
        <v>23</v>
      </c>
      <c r="G682" s="4">
        <v>409.77</v>
      </c>
      <c r="H682" s="1">
        <v>9</v>
      </c>
      <c r="I682" s="1" t="str">
        <f>TEXT(SalesTable[[#This Row],[Order_Date]],"mmm")</f>
        <v>Nov</v>
      </c>
      <c r="J682" s="1">
        <f>YEAR(SalesTable[[#This Row],[Order_Date]])</f>
        <v>2023</v>
      </c>
      <c r="K682" s="4">
        <v>-8.02</v>
      </c>
      <c r="L682" s="9">
        <f>SalesTable[[#This Row],[Profit]]/SalesTable[[#This Row],[Sales]]</f>
        <v>-1.9571954999145862E-2</v>
      </c>
    </row>
    <row r="683" spans="1:12" ht="14" x14ac:dyDescent="0.15">
      <c r="A683" s="1">
        <v>10682</v>
      </c>
      <c r="B683" s="2">
        <v>45243</v>
      </c>
      <c r="C683" s="1" t="s">
        <v>11</v>
      </c>
      <c r="D683" s="1" t="s">
        <v>14</v>
      </c>
      <c r="E683" s="1" t="s">
        <v>20</v>
      </c>
      <c r="F683" s="1" t="s">
        <v>22</v>
      </c>
      <c r="G683" s="4">
        <v>850.99</v>
      </c>
      <c r="H683" s="1">
        <v>1</v>
      </c>
      <c r="I683" s="1" t="str">
        <f>TEXT(SalesTable[[#This Row],[Order_Date]],"mmm")</f>
        <v>Nov</v>
      </c>
      <c r="J683" s="1">
        <f>YEAR(SalesTable[[#This Row],[Order_Date]])</f>
        <v>2023</v>
      </c>
      <c r="K683" s="4">
        <v>-40.75</v>
      </c>
      <c r="L683" s="9">
        <f>SalesTable[[#This Row],[Profit]]/SalesTable[[#This Row],[Sales]]</f>
        <v>-4.7885404058802102E-2</v>
      </c>
    </row>
    <row r="684" spans="1:12" ht="14" x14ac:dyDescent="0.15">
      <c r="A684" s="1">
        <v>10683</v>
      </c>
      <c r="B684" s="2">
        <v>45244</v>
      </c>
      <c r="C684" s="1" t="s">
        <v>9</v>
      </c>
      <c r="D684" s="1" t="s">
        <v>13</v>
      </c>
      <c r="E684" s="1" t="s">
        <v>16</v>
      </c>
      <c r="F684" s="1" t="s">
        <v>23</v>
      </c>
      <c r="G684" s="4">
        <v>662</v>
      </c>
      <c r="H684" s="1">
        <v>7</v>
      </c>
      <c r="I684" s="1" t="str">
        <f>TEXT(SalesTable[[#This Row],[Order_Date]],"mmm")</f>
        <v>Nov</v>
      </c>
      <c r="J684" s="1">
        <f>YEAR(SalesTable[[#This Row],[Order_Date]])</f>
        <v>2023</v>
      </c>
      <c r="K684" s="4">
        <v>161.53</v>
      </c>
      <c r="L684" s="9">
        <f>SalesTable[[#This Row],[Profit]]/SalesTable[[#This Row],[Sales]]</f>
        <v>0.24400302114803626</v>
      </c>
    </row>
    <row r="685" spans="1:12" ht="14" x14ac:dyDescent="0.15">
      <c r="A685" s="1">
        <v>10684</v>
      </c>
      <c r="B685" s="2">
        <v>45245</v>
      </c>
      <c r="C685" s="1" t="s">
        <v>10</v>
      </c>
      <c r="D685" s="1" t="s">
        <v>15</v>
      </c>
      <c r="E685" s="1" t="s">
        <v>17</v>
      </c>
      <c r="F685" s="1" t="s">
        <v>23</v>
      </c>
      <c r="G685" s="4">
        <v>668.19</v>
      </c>
      <c r="H685" s="1">
        <v>6</v>
      </c>
      <c r="I685" s="1" t="str">
        <f>TEXT(SalesTable[[#This Row],[Order_Date]],"mmm")</f>
        <v>Nov</v>
      </c>
      <c r="J685" s="1">
        <f>YEAR(SalesTable[[#This Row],[Order_Date]])</f>
        <v>2023</v>
      </c>
      <c r="K685" s="4">
        <v>172.48</v>
      </c>
      <c r="L685" s="9">
        <f>SalesTable[[#This Row],[Profit]]/SalesTable[[#This Row],[Sales]]</f>
        <v>0.25813017255571019</v>
      </c>
    </row>
    <row r="686" spans="1:12" ht="14" x14ac:dyDescent="0.15">
      <c r="A686" s="1">
        <v>10685</v>
      </c>
      <c r="B686" s="2">
        <v>45246</v>
      </c>
      <c r="C686" s="1" t="s">
        <v>11</v>
      </c>
      <c r="D686" s="1" t="s">
        <v>13</v>
      </c>
      <c r="E686" s="1" t="s">
        <v>17</v>
      </c>
      <c r="F686" s="1" t="s">
        <v>22</v>
      </c>
      <c r="G686" s="4">
        <v>873.48</v>
      </c>
      <c r="H686" s="1">
        <v>7</v>
      </c>
      <c r="I686" s="1" t="str">
        <f>TEXT(SalesTable[[#This Row],[Order_Date]],"mmm")</f>
        <v>Nov</v>
      </c>
      <c r="J686" s="1">
        <f>YEAR(SalesTable[[#This Row],[Order_Date]])</f>
        <v>2023</v>
      </c>
      <c r="K686" s="4">
        <v>200.86</v>
      </c>
      <c r="L686" s="9">
        <f>SalesTable[[#This Row],[Profit]]/SalesTable[[#This Row],[Sales]]</f>
        <v>0.22995374822548886</v>
      </c>
    </row>
    <row r="687" spans="1:12" ht="14" x14ac:dyDescent="0.15">
      <c r="A687" s="1">
        <v>10686</v>
      </c>
      <c r="B687" s="2">
        <v>45247</v>
      </c>
      <c r="C687" s="1" t="s">
        <v>12</v>
      </c>
      <c r="D687" s="1" t="s">
        <v>15</v>
      </c>
      <c r="E687" s="1" t="s">
        <v>18</v>
      </c>
      <c r="F687" s="1" t="s">
        <v>21</v>
      </c>
      <c r="G687" s="4">
        <v>899.27</v>
      </c>
      <c r="H687" s="1">
        <v>3</v>
      </c>
      <c r="I687" s="1" t="str">
        <f>TEXT(SalesTable[[#This Row],[Order_Date]],"mmm")</f>
        <v>Nov</v>
      </c>
      <c r="J687" s="1">
        <f>YEAR(SalesTable[[#This Row],[Order_Date]])</f>
        <v>2023</v>
      </c>
      <c r="K687" s="4">
        <v>101.43</v>
      </c>
      <c r="L687" s="9">
        <f>SalesTable[[#This Row],[Profit]]/SalesTable[[#This Row],[Sales]]</f>
        <v>0.11279148642788041</v>
      </c>
    </row>
    <row r="688" spans="1:12" ht="14" x14ac:dyDescent="0.15">
      <c r="A688" s="1">
        <v>10687</v>
      </c>
      <c r="B688" s="2">
        <v>45248</v>
      </c>
      <c r="C688" s="1" t="s">
        <v>12</v>
      </c>
      <c r="D688" s="1" t="s">
        <v>14</v>
      </c>
      <c r="E688" s="1" t="s">
        <v>20</v>
      </c>
      <c r="F688" s="1" t="s">
        <v>22</v>
      </c>
      <c r="G688" s="4">
        <v>923.8</v>
      </c>
      <c r="H688" s="1">
        <v>3</v>
      </c>
      <c r="I688" s="1" t="str">
        <f>TEXT(SalesTable[[#This Row],[Order_Date]],"mmm")</f>
        <v>Nov</v>
      </c>
      <c r="J688" s="1">
        <f>YEAR(SalesTable[[#This Row],[Order_Date]])</f>
        <v>2023</v>
      </c>
      <c r="K688" s="4">
        <v>257.62</v>
      </c>
      <c r="L688" s="9">
        <f>SalesTable[[#This Row],[Profit]]/SalesTable[[#This Row],[Sales]]</f>
        <v>0.27886988525654904</v>
      </c>
    </row>
    <row r="689" spans="1:12" ht="14" x14ac:dyDescent="0.15">
      <c r="A689" s="1">
        <v>10688</v>
      </c>
      <c r="B689" s="2">
        <v>45249</v>
      </c>
      <c r="C689" s="1" t="s">
        <v>11</v>
      </c>
      <c r="D689" s="1" t="s">
        <v>15</v>
      </c>
      <c r="E689" s="1" t="s">
        <v>16</v>
      </c>
      <c r="F689" s="1" t="s">
        <v>24</v>
      </c>
      <c r="G689" s="4">
        <v>140.11000000000001</v>
      </c>
      <c r="H689" s="1">
        <v>1</v>
      </c>
      <c r="I689" s="1" t="str">
        <f>TEXT(SalesTable[[#This Row],[Order_Date]],"mmm")</f>
        <v>Nov</v>
      </c>
      <c r="J689" s="1">
        <f>YEAR(SalesTable[[#This Row],[Order_Date]])</f>
        <v>2023</v>
      </c>
      <c r="K689" s="4">
        <v>274.54000000000002</v>
      </c>
      <c r="L689" s="9">
        <f>SalesTable[[#This Row],[Profit]]/SalesTable[[#This Row],[Sales]]</f>
        <v>1.9594604239526086</v>
      </c>
    </row>
    <row r="690" spans="1:12" ht="14" x14ac:dyDescent="0.15">
      <c r="A690" s="1">
        <v>10689</v>
      </c>
      <c r="B690" s="2">
        <v>45250</v>
      </c>
      <c r="C690" s="1" t="s">
        <v>9</v>
      </c>
      <c r="D690" s="1" t="s">
        <v>15</v>
      </c>
      <c r="E690" s="1" t="s">
        <v>18</v>
      </c>
      <c r="F690" s="1" t="s">
        <v>24</v>
      </c>
      <c r="G690" s="4">
        <v>566.91999999999996</v>
      </c>
      <c r="H690" s="1">
        <v>4</v>
      </c>
      <c r="I690" s="1" t="str">
        <f>TEXT(SalesTable[[#This Row],[Order_Date]],"mmm")</f>
        <v>Nov</v>
      </c>
      <c r="J690" s="1">
        <f>YEAR(SalesTable[[#This Row],[Order_Date]])</f>
        <v>2023</v>
      </c>
      <c r="K690" s="4">
        <v>222.95</v>
      </c>
      <c r="L690" s="9">
        <f>SalesTable[[#This Row],[Profit]]/SalesTable[[#This Row],[Sales]]</f>
        <v>0.39326536371974885</v>
      </c>
    </row>
    <row r="691" spans="1:12" ht="14" x14ac:dyDescent="0.15">
      <c r="A691" s="1">
        <v>10690</v>
      </c>
      <c r="B691" s="2">
        <v>45251</v>
      </c>
      <c r="C691" s="1" t="s">
        <v>12</v>
      </c>
      <c r="D691" s="1" t="s">
        <v>13</v>
      </c>
      <c r="E691" s="1" t="s">
        <v>18</v>
      </c>
      <c r="F691" s="1" t="s">
        <v>21</v>
      </c>
      <c r="G691" s="4">
        <v>753.48</v>
      </c>
      <c r="H691" s="1">
        <v>2</v>
      </c>
      <c r="I691" s="1" t="str">
        <f>TEXT(SalesTable[[#This Row],[Order_Date]],"mmm")</f>
        <v>Nov</v>
      </c>
      <c r="J691" s="1">
        <f>YEAR(SalesTable[[#This Row],[Order_Date]])</f>
        <v>2023</v>
      </c>
      <c r="K691" s="4">
        <v>154.24</v>
      </c>
      <c r="L691" s="9">
        <f>SalesTable[[#This Row],[Profit]]/SalesTable[[#This Row],[Sales]]</f>
        <v>0.20470350905133514</v>
      </c>
    </row>
    <row r="692" spans="1:12" ht="14" x14ac:dyDescent="0.15">
      <c r="A692" s="1">
        <v>10691</v>
      </c>
      <c r="B692" s="2">
        <v>45252</v>
      </c>
      <c r="C692" s="1" t="s">
        <v>12</v>
      </c>
      <c r="D692" s="1" t="s">
        <v>13</v>
      </c>
      <c r="E692" s="1" t="s">
        <v>20</v>
      </c>
      <c r="F692" s="1" t="s">
        <v>23</v>
      </c>
      <c r="G692" s="4">
        <v>769.08</v>
      </c>
      <c r="H692" s="1">
        <v>8</v>
      </c>
      <c r="I692" s="1" t="str">
        <f>TEXT(SalesTable[[#This Row],[Order_Date]],"mmm")</f>
        <v>Nov</v>
      </c>
      <c r="J692" s="1">
        <f>YEAR(SalesTable[[#This Row],[Order_Date]])</f>
        <v>2023</v>
      </c>
      <c r="K692" s="4">
        <v>21.49</v>
      </c>
      <c r="L692" s="9">
        <f>SalesTable[[#This Row],[Profit]]/SalesTable[[#This Row],[Sales]]</f>
        <v>2.7942476725438183E-2</v>
      </c>
    </row>
    <row r="693" spans="1:12" ht="14" x14ac:dyDescent="0.15">
      <c r="A693" s="1">
        <v>10692</v>
      </c>
      <c r="B693" s="2">
        <v>45253</v>
      </c>
      <c r="C693" s="1" t="s">
        <v>12</v>
      </c>
      <c r="D693" s="1" t="s">
        <v>14</v>
      </c>
      <c r="E693" s="1" t="s">
        <v>16</v>
      </c>
      <c r="F693" s="1" t="s">
        <v>21</v>
      </c>
      <c r="G693" s="4">
        <v>626.38</v>
      </c>
      <c r="H693" s="1">
        <v>3</v>
      </c>
      <c r="I693" s="1" t="str">
        <f>TEXT(SalesTable[[#This Row],[Order_Date]],"mmm")</f>
        <v>Nov</v>
      </c>
      <c r="J693" s="1">
        <f>YEAR(SalesTable[[#This Row],[Order_Date]])</f>
        <v>2023</v>
      </c>
      <c r="K693" s="4">
        <v>293.18</v>
      </c>
      <c r="L693" s="9">
        <f>SalesTable[[#This Row],[Profit]]/SalesTable[[#This Row],[Sales]]</f>
        <v>0.46805453558542737</v>
      </c>
    </row>
    <row r="694" spans="1:12" ht="14" x14ac:dyDescent="0.15">
      <c r="A694" s="1">
        <v>10693</v>
      </c>
      <c r="B694" s="2">
        <v>45254</v>
      </c>
      <c r="C694" s="1" t="s">
        <v>11</v>
      </c>
      <c r="D694" s="1" t="s">
        <v>15</v>
      </c>
      <c r="E694" s="1" t="s">
        <v>20</v>
      </c>
      <c r="F694" s="1" t="s">
        <v>24</v>
      </c>
      <c r="G694" s="4">
        <v>208.45</v>
      </c>
      <c r="H694" s="1">
        <v>7</v>
      </c>
      <c r="I694" s="1" t="str">
        <f>TEXT(SalesTable[[#This Row],[Order_Date]],"mmm")</f>
        <v>Nov</v>
      </c>
      <c r="J694" s="1">
        <f>YEAR(SalesTable[[#This Row],[Order_Date]])</f>
        <v>2023</v>
      </c>
      <c r="K694" s="4">
        <v>9.65</v>
      </c>
      <c r="L694" s="9">
        <f>SalesTable[[#This Row],[Profit]]/SalesTable[[#This Row],[Sales]]</f>
        <v>4.6294075317822023E-2</v>
      </c>
    </row>
    <row r="695" spans="1:12" ht="14" x14ac:dyDescent="0.15">
      <c r="A695" s="1">
        <v>10694</v>
      </c>
      <c r="B695" s="2">
        <v>45255</v>
      </c>
      <c r="C695" s="1" t="s">
        <v>10</v>
      </c>
      <c r="D695" s="1" t="s">
        <v>15</v>
      </c>
      <c r="E695" s="1" t="s">
        <v>16</v>
      </c>
      <c r="F695" s="1" t="s">
        <v>21</v>
      </c>
      <c r="G695" s="4">
        <v>807.55</v>
      </c>
      <c r="H695" s="1">
        <v>7</v>
      </c>
      <c r="I695" s="1" t="str">
        <f>TEXT(SalesTable[[#This Row],[Order_Date]],"mmm")</f>
        <v>Nov</v>
      </c>
      <c r="J695" s="1">
        <f>YEAR(SalesTable[[#This Row],[Order_Date]])</f>
        <v>2023</v>
      </c>
      <c r="K695" s="4">
        <v>-18.940000000000001</v>
      </c>
      <c r="L695" s="9">
        <f>SalesTable[[#This Row],[Profit]]/SalesTable[[#This Row],[Sales]]</f>
        <v>-2.3453656120364066E-2</v>
      </c>
    </row>
    <row r="696" spans="1:12" ht="14" x14ac:dyDescent="0.15">
      <c r="A696" s="1">
        <v>10695</v>
      </c>
      <c r="B696" s="2">
        <v>45256</v>
      </c>
      <c r="C696" s="1" t="s">
        <v>12</v>
      </c>
      <c r="D696" s="1" t="s">
        <v>15</v>
      </c>
      <c r="E696" s="1" t="s">
        <v>20</v>
      </c>
      <c r="F696" s="1" t="s">
        <v>22</v>
      </c>
      <c r="G696" s="4">
        <v>734.11</v>
      </c>
      <c r="H696" s="1">
        <v>9</v>
      </c>
      <c r="I696" s="1" t="str">
        <f>TEXT(SalesTable[[#This Row],[Order_Date]],"mmm")</f>
        <v>Nov</v>
      </c>
      <c r="J696" s="1">
        <f>YEAR(SalesTable[[#This Row],[Order_Date]])</f>
        <v>2023</v>
      </c>
      <c r="K696" s="4">
        <v>76.86</v>
      </c>
      <c r="L696" s="9">
        <f>SalesTable[[#This Row],[Profit]]/SalesTable[[#This Row],[Sales]]</f>
        <v>0.10469820599092779</v>
      </c>
    </row>
    <row r="697" spans="1:12" ht="14" x14ac:dyDescent="0.15">
      <c r="A697" s="1">
        <v>10696</v>
      </c>
      <c r="B697" s="2">
        <v>45257</v>
      </c>
      <c r="C697" s="1" t="s">
        <v>10</v>
      </c>
      <c r="D697" s="1" t="s">
        <v>14</v>
      </c>
      <c r="E697" s="1" t="s">
        <v>18</v>
      </c>
      <c r="F697" s="1" t="s">
        <v>21</v>
      </c>
      <c r="G697" s="4">
        <v>131.83000000000001</v>
      </c>
      <c r="H697" s="1">
        <v>6</v>
      </c>
      <c r="I697" s="1" t="str">
        <f>TEXT(SalesTable[[#This Row],[Order_Date]],"mmm")</f>
        <v>Nov</v>
      </c>
      <c r="J697" s="1">
        <f>YEAR(SalesTable[[#This Row],[Order_Date]])</f>
        <v>2023</v>
      </c>
      <c r="K697" s="4">
        <v>-77.260000000000005</v>
      </c>
      <c r="L697" s="9">
        <f>SalesTable[[#This Row],[Profit]]/SalesTable[[#This Row],[Sales]]</f>
        <v>-0.58605780171432909</v>
      </c>
    </row>
    <row r="698" spans="1:12" ht="14" x14ac:dyDescent="0.15">
      <c r="A698" s="1">
        <v>10697</v>
      </c>
      <c r="B698" s="2">
        <v>45258</v>
      </c>
      <c r="C698" s="1" t="s">
        <v>9</v>
      </c>
      <c r="D698" s="1" t="s">
        <v>14</v>
      </c>
      <c r="E698" s="1" t="s">
        <v>18</v>
      </c>
      <c r="F698" s="1" t="s">
        <v>23</v>
      </c>
      <c r="G698" s="4">
        <v>490.62</v>
      </c>
      <c r="H698" s="1">
        <v>1</v>
      </c>
      <c r="I698" s="1" t="str">
        <f>TEXT(SalesTable[[#This Row],[Order_Date]],"mmm")</f>
        <v>Nov</v>
      </c>
      <c r="J698" s="1">
        <f>YEAR(SalesTable[[#This Row],[Order_Date]])</f>
        <v>2023</v>
      </c>
      <c r="K698" s="4">
        <v>291.39999999999998</v>
      </c>
      <c r="L698" s="9">
        <f>SalesTable[[#This Row],[Profit]]/SalesTable[[#This Row],[Sales]]</f>
        <v>0.59394235864824096</v>
      </c>
    </row>
    <row r="699" spans="1:12" ht="14" x14ac:dyDescent="0.15">
      <c r="A699" s="1">
        <v>10698</v>
      </c>
      <c r="B699" s="2">
        <v>45259</v>
      </c>
      <c r="C699" s="1" t="s">
        <v>12</v>
      </c>
      <c r="D699" s="1" t="s">
        <v>14</v>
      </c>
      <c r="E699" s="1" t="s">
        <v>19</v>
      </c>
      <c r="F699" s="1" t="s">
        <v>22</v>
      </c>
      <c r="G699" s="4">
        <v>215.28</v>
      </c>
      <c r="H699" s="1">
        <v>8</v>
      </c>
      <c r="I699" s="1" t="str">
        <f>TEXT(SalesTable[[#This Row],[Order_Date]],"mmm")</f>
        <v>Nov</v>
      </c>
      <c r="J699" s="1">
        <f>YEAR(SalesTable[[#This Row],[Order_Date]])</f>
        <v>2023</v>
      </c>
      <c r="K699" s="4">
        <v>135.37</v>
      </c>
      <c r="L699" s="9">
        <f>SalesTable[[#This Row],[Profit]]/SalesTable[[#This Row],[Sales]]</f>
        <v>0.62880899293942771</v>
      </c>
    </row>
    <row r="700" spans="1:12" ht="14" x14ac:dyDescent="0.15">
      <c r="A700" s="1">
        <v>10699</v>
      </c>
      <c r="B700" s="2">
        <v>45260</v>
      </c>
      <c r="C700" s="1" t="s">
        <v>12</v>
      </c>
      <c r="D700" s="1" t="s">
        <v>14</v>
      </c>
      <c r="E700" s="1" t="s">
        <v>17</v>
      </c>
      <c r="F700" s="1" t="s">
        <v>25</v>
      </c>
      <c r="G700" s="4">
        <v>370.6</v>
      </c>
      <c r="H700" s="1">
        <v>1</v>
      </c>
      <c r="I700" s="1" t="str">
        <f>TEXT(SalesTable[[#This Row],[Order_Date]],"mmm")</f>
        <v>Nov</v>
      </c>
      <c r="J700" s="1">
        <f>YEAR(SalesTable[[#This Row],[Order_Date]])</f>
        <v>2023</v>
      </c>
      <c r="K700" s="4">
        <v>122.78</v>
      </c>
      <c r="L700" s="9">
        <f>SalesTable[[#This Row],[Profit]]/SalesTable[[#This Row],[Sales]]</f>
        <v>0.33130059363194819</v>
      </c>
    </row>
    <row r="701" spans="1:12" ht="14" x14ac:dyDescent="0.15">
      <c r="A701" s="1">
        <v>10700</v>
      </c>
      <c r="B701" s="2">
        <v>45261</v>
      </c>
      <c r="C701" s="1" t="s">
        <v>9</v>
      </c>
      <c r="D701" s="1" t="s">
        <v>14</v>
      </c>
      <c r="E701" s="1" t="s">
        <v>20</v>
      </c>
      <c r="F701" s="1" t="s">
        <v>24</v>
      </c>
      <c r="G701" s="4">
        <v>67.180000000000007</v>
      </c>
      <c r="H701" s="1">
        <v>3</v>
      </c>
      <c r="I701" s="1" t="str">
        <f>TEXT(SalesTable[[#This Row],[Order_Date]],"mmm")</f>
        <v>Dec</v>
      </c>
      <c r="J701" s="1">
        <f>YEAR(SalesTable[[#This Row],[Order_Date]])</f>
        <v>2023</v>
      </c>
      <c r="K701" s="4">
        <v>162.32</v>
      </c>
      <c r="L701" s="9">
        <f>SalesTable[[#This Row],[Profit]]/SalesTable[[#This Row],[Sales]]</f>
        <v>2.4161952962191124</v>
      </c>
    </row>
    <row r="702" spans="1:12" ht="14" x14ac:dyDescent="0.15">
      <c r="A702" s="1">
        <v>10701</v>
      </c>
      <c r="B702" s="2">
        <v>45262</v>
      </c>
      <c r="C702" s="1" t="s">
        <v>12</v>
      </c>
      <c r="D702" s="1" t="s">
        <v>13</v>
      </c>
      <c r="E702" s="1" t="s">
        <v>19</v>
      </c>
      <c r="F702" s="1" t="s">
        <v>24</v>
      </c>
      <c r="G702" s="4">
        <v>430.31</v>
      </c>
      <c r="H702" s="1">
        <v>5</v>
      </c>
      <c r="I702" s="1" t="str">
        <f>TEXT(SalesTable[[#This Row],[Order_Date]],"mmm")</f>
        <v>Dec</v>
      </c>
      <c r="J702" s="1">
        <f>YEAR(SalesTable[[#This Row],[Order_Date]])</f>
        <v>2023</v>
      </c>
      <c r="K702" s="4">
        <v>98.81</v>
      </c>
      <c r="L702" s="9">
        <f>SalesTable[[#This Row],[Profit]]/SalesTable[[#This Row],[Sales]]</f>
        <v>0.22962515395877392</v>
      </c>
    </row>
    <row r="703" spans="1:12" ht="14" x14ac:dyDescent="0.15">
      <c r="A703" s="1">
        <v>10702</v>
      </c>
      <c r="B703" s="2">
        <v>45263</v>
      </c>
      <c r="C703" s="1" t="s">
        <v>10</v>
      </c>
      <c r="D703" s="1" t="s">
        <v>15</v>
      </c>
      <c r="E703" s="1" t="s">
        <v>17</v>
      </c>
      <c r="F703" s="1" t="s">
        <v>21</v>
      </c>
      <c r="G703" s="4">
        <v>572.38</v>
      </c>
      <c r="H703" s="1">
        <v>8</v>
      </c>
      <c r="I703" s="1" t="str">
        <f>TEXT(SalesTable[[#This Row],[Order_Date]],"mmm")</f>
        <v>Dec</v>
      </c>
      <c r="J703" s="1">
        <f>YEAR(SalesTable[[#This Row],[Order_Date]])</f>
        <v>2023</v>
      </c>
      <c r="K703" s="4">
        <v>-87.17</v>
      </c>
      <c r="L703" s="9">
        <f>SalesTable[[#This Row],[Profit]]/SalesTable[[#This Row],[Sales]]</f>
        <v>-0.15229393060554178</v>
      </c>
    </row>
    <row r="704" spans="1:12" ht="14" x14ac:dyDescent="0.15">
      <c r="A704" s="1">
        <v>10703</v>
      </c>
      <c r="B704" s="2">
        <v>45264</v>
      </c>
      <c r="C704" s="1" t="s">
        <v>11</v>
      </c>
      <c r="D704" s="1" t="s">
        <v>15</v>
      </c>
      <c r="E704" s="1" t="s">
        <v>20</v>
      </c>
      <c r="F704" s="1" t="s">
        <v>22</v>
      </c>
      <c r="G704" s="4">
        <v>638.6</v>
      </c>
      <c r="H704" s="1">
        <v>9</v>
      </c>
      <c r="I704" s="1" t="str">
        <f>TEXT(SalesTable[[#This Row],[Order_Date]],"mmm")</f>
        <v>Dec</v>
      </c>
      <c r="J704" s="1">
        <f>YEAR(SalesTable[[#This Row],[Order_Date]])</f>
        <v>2023</v>
      </c>
      <c r="K704" s="4">
        <v>144.91999999999999</v>
      </c>
      <c r="L704" s="9">
        <f>SalesTable[[#This Row],[Profit]]/SalesTable[[#This Row],[Sales]]</f>
        <v>0.22693391794550577</v>
      </c>
    </row>
    <row r="705" spans="1:12" ht="14" x14ac:dyDescent="0.15">
      <c r="A705" s="1">
        <v>10704</v>
      </c>
      <c r="B705" s="2">
        <v>45265</v>
      </c>
      <c r="C705" s="1" t="s">
        <v>10</v>
      </c>
      <c r="D705" s="1" t="s">
        <v>15</v>
      </c>
      <c r="E705" s="1" t="s">
        <v>16</v>
      </c>
      <c r="F705" s="1" t="s">
        <v>25</v>
      </c>
      <c r="G705" s="4">
        <v>680.32</v>
      </c>
      <c r="H705" s="1">
        <v>7</v>
      </c>
      <c r="I705" s="1" t="str">
        <f>TEXT(SalesTable[[#This Row],[Order_Date]],"mmm")</f>
        <v>Dec</v>
      </c>
      <c r="J705" s="1">
        <f>YEAR(SalesTable[[#This Row],[Order_Date]])</f>
        <v>2023</v>
      </c>
      <c r="K705" s="4">
        <v>186.47</v>
      </c>
      <c r="L705" s="9">
        <f>SalesTable[[#This Row],[Profit]]/SalesTable[[#This Row],[Sales]]</f>
        <v>0.27409160395108184</v>
      </c>
    </row>
    <row r="706" spans="1:12" ht="14" x14ac:dyDescent="0.15">
      <c r="A706" s="1">
        <v>10705</v>
      </c>
      <c r="B706" s="2">
        <v>45266</v>
      </c>
      <c r="C706" s="1" t="s">
        <v>11</v>
      </c>
      <c r="D706" s="1" t="s">
        <v>15</v>
      </c>
      <c r="E706" s="1" t="s">
        <v>17</v>
      </c>
      <c r="F706" s="1" t="s">
        <v>22</v>
      </c>
      <c r="G706" s="4">
        <v>844.48</v>
      </c>
      <c r="H706" s="1">
        <v>9</v>
      </c>
      <c r="I706" s="1" t="str">
        <f>TEXT(SalesTable[[#This Row],[Order_Date]],"mmm")</f>
        <v>Dec</v>
      </c>
      <c r="J706" s="1">
        <f>YEAR(SalesTable[[#This Row],[Order_Date]])</f>
        <v>2023</v>
      </c>
      <c r="K706" s="4">
        <v>66.7</v>
      </c>
      <c r="L706" s="9">
        <f>SalesTable[[#This Row],[Profit]]/SalesTable[[#This Row],[Sales]]</f>
        <v>7.898351648351648E-2</v>
      </c>
    </row>
    <row r="707" spans="1:12" ht="14" x14ac:dyDescent="0.15">
      <c r="A707" s="1">
        <v>10706</v>
      </c>
      <c r="B707" s="2">
        <v>45267</v>
      </c>
      <c r="C707" s="1" t="s">
        <v>11</v>
      </c>
      <c r="D707" s="1" t="s">
        <v>15</v>
      </c>
      <c r="E707" s="1" t="s">
        <v>18</v>
      </c>
      <c r="F707" s="1" t="s">
        <v>24</v>
      </c>
      <c r="G707" s="4">
        <v>254.69</v>
      </c>
      <c r="H707" s="1">
        <v>3</v>
      </c>
      <c r="I707" s="1" t="str">
        <f>TEXT(SalesTable[[#This Row],[Order_Date]],"mmm")</f>
        <v>Dec</v>
      </c>
      <c r="J707" s="1">
        <f>YEAR(SalesTable[[#This Row],[Order_Date]])</f>
        <v>2023</v>
      </c>
      <c r="K707" s="4">
        <v>202.92</v>
      </c>
      <c r="L707" s="9">
        <f>SalesTable[[#This Row],[Profit]]/SalesTable[[#This Row],[Sales]]</f>
        <v>0.79673328359967011</v>
      </c>
    </row>
    <row r="708" spans="1:12" ht="14" x14ac:dyDescent="0.15">
      <c r="A708" s="1">
        <v>10707</v>
      </c>
      <c r="B708" s="2">
        <v>45268</v>
      </c>
      <c r="C708" s="1" t="s">
        <v>10</v>
      </c>
      <c r="D708" s="1" t="s">
        <v>15</v>
      </c>
      <c r="E708" s="1" t="s">
        <v>19</v>
      </c>
      <c r="F708" s="1" t="s">
        <v>22</v>
      </c>
      <c r="G708" s="4">
        <v>164.46</v>
      </c>
      <c r="H708" s="1">
        <v>5</v>
      </c>
      <c r="I708" s="1" t="str">
        <f>TEXT(SalesTable[[#This Row],[Order_Date]],"mmm")</f>
        <v>Dec</v>
      </c>
      <c r="J708" s="1">
        <f>YEAR(SalesTable[[#This Row],[Order_Date]])</f>
        <v>2023</v>
      </c>
      <c r="K708" s="4">
        <v>-9.1999999999999993</v>
      </c>
      <c r="L708" s="9">
        <f>SalesTable[[#This Row],[Profit]]/SalesTable[[#This Row],[Sales]]</f>
        <v>-5.5940654262434629E-2</v>
      </c>
    </row>
    <row r="709" spans="1:12" ht="14" x14ac:dyDescent="0.15">
      <c r="A709" s="1">
        <v>10708</v>
      </c>
      <c r="B709" s="2">
        <v>45269</v>
      </c>
      <c r="C709" s="1" t="s">
        <v>10</v>
      </c>
      <c r="D709" s="1" t="s">
        <v>15</v>
      </c>
      <c r="E709" s="1" t="s">
        <v>17</v>
      </c>
      <c r="F709" s="1" t="s">
        <v>25</v>
      </c>
      <c r="G709" s="4">
        <v>858.96</v>
      </c>
      <c r="H709" s="1">
        <v>8</v>
      </c>
      <c r="I709" s="1" t="str">
        <f>TEXT(SalesTable[[#This Row],[Order_Date]],"mmm")</f>
        <v>Dec</v>
      </c>
      <c r="J709" s="1">
        <f>YEAR(SalesTable[[#This Row],[Order_Date]])</f>
        <v>2023</v>
      </c>
      <c r="K709" s="4">
        <v>-11.49</v>
      </c>
      <c r="L709" s="9">
        <f>SalesTable[[#This Row],[Profit]]/SalesTable[[#This Row],[Sales]]</f>
        <v>-1.3376641519977648E-2</v>
      </c>
    </row>
    <row r="710" spans="1:12" ht="14" x14ac:dyDescent="0.15">
      <c r="A710" s="1">
        <v>10709</v>
      </c>
      <c r="B710" s="2">
        <v>45270</v>
      </c>
      <c r="C710" s="1" t="s">
        <v>10</v>
      </c>
      <c r="D710" s="1" t="s">
        <v>15</v>
      </c>
      <c r="E710" s="1" t="s">
        <v>17</v>
      </c>
      <c r="F710" s="1" t="s">
        <v>21</v>
      </c>
      <c r="G710" s="4">
        <v>198.78</v>
      </c>
      <c r="H710" s="1">
        <v>1</v>
      </c>
      <c r="I710" s="1" t="str">
        <f>TEXT(SalesTable[[#This Row],[Order_Date]],"mmm")</f>
        <v>Dec</v>
      </c>
      <c r="J710" s="1">
        <f>YEAR(SalesTable[[#This Row],[Order_Date]])</f>
        <v>2023</v>
      </c>
      <c r="K710" s="4">
        <v>-35.43</v>
      </c>
      <c r="L710" s="9">
        <f>SalesTable[[#This Row],[Profit]]/SalesTable[[#This Row],[Sales]]</f>
        <v>-0.1782372472079686</v>
      </c>
    </row>
    <row r="711" spans="1:12" ht="14" x14ac:dyDescent="0.15">
      <c r="A711" s="1">
        <v>10710</v>
      </c>
      <c r="B711" s="2">
        <v>45271</v>
      </c>
      <c r="C711" s="1" t="s">
        <v>10</v>
      </c>
      <c r="D711" s="1" t="s">
        <v>13</v>
      </c>
      <c r="E711" s="1" t="s">
        <v>18</v>
      </c>
      <c r="F711" s="1" t="s">
        <v>23</v>
      </c>
      <c r="G711" s="4">
        <v>976.02</v>
      </c>
      <c r="H711" s="1">
        <v>8</v>
      </c>
      <c r="I711" s="1" t="str">
        <f>TEXT(SalesTable[[#This Row],[Order_Date]],"mmm")</f>
        <v>Dec</v>
      </c>
      <c r="J711" s="1">
        <f>YEAR(SalesTable[[#This Row],[Order_Date]])</f>
        <v>2023</v>
      </c>
      <c r="K711" s="4">
        <v>48.8</v>
      </c>
      <c r="L711" s="9">
        <f>SalesTable[[#This Row],[Profit]]/SalesTable[[#This Row],[Sales]]</f>
        <v>4.999897543083133E-2</v>
      </c>
    </row>
    <row r="712" spans="1:12" ht="14" x14ac:dyDescent="0.15">
      <c r="A712" s="1">
        <v>10711</v>
      </c>
      <c r="B712" s="2">
        <v>45272</v>
      </c>
      <c r="C712" s="1" t="s">
        <v>9</v>
      </c>
      <c r="D712" s="1" t="s">
        <v>15</v>
      </c>
      <c r="E712" s="1" t="s">
        <v>20</v>
      </c>
      <c r="F712" s="1" t="s">
        <v>22</v>
      </c>
      <c r="G712" s="4">
        <v>850.41</v>
      </c>
      <c r="H712" s="1">
        <v>7</v>
      </c>
      <c r="I712" s="1" t="str">
        <f>TEXT(SalesTable[[#This Row],[Order_Date]],"mmm")</f>
        <v>Dec</v>
      </c>
      <c r="J712" s="1">
        <f>YEAR(SalesTable[[#This Row],[Order_Date]])</f>
        <v>2023</v>
      </c>
      <c r="K712" s="4">
        <v>238.8</v>
      </c>
      <c r="L712" s="9">
        <f>SalesTable[[#This Row],[Profit]]/SalesTable[[#This Row],[Sales]]</f>
        <v>0.28080572900130529</v>
      </c>
    </row>
    <row r="713" spans="1:12" ht="14" x14ac:dyDescent="0.15">
      <c r="A713" s="1">
        <v>10712</v>
      </c>
      <c r="B713" s="2">
        <v>45273</v>
      </c>
      <c r="C713" s="1" t="s">
        <v>12</v>
      </c>
      <c r="D713" s="1" t="s">
        <v>13</v>
      </c>
      <c r="E713" s="1" t="s">
        <v>16</v>
      </c>
      <c r="F713" s="1" t="s">
        <v>23</v>
      </c>
      <c r="G713" s="4">
        <v>525.83000000000004</v>
      </c>
      <c r="H713" s="1">
        <v>1</v>
      </c>
      <c r="I713" s="1" t="str">
        <f>TEXT(SalesTable[[#This Row],[Order_Date]],"mmm")</f>
        <v>Dec</v>
      </c>
      <c r="J713" s="1">
        <f>YEAR(SalesTable[[#This Row],[Order_Date]])</f>
        <v>2023</v>
      </c>
      <c r="K713" s="4">
        <v>231.16</v>
      </c>
      <c r="L713" s="9">
        <f>SalesTable[[#This Row],[Profit]]/SalesTable[[#This Row],[Sales]]</f>
        <v>0.43960975980830302</v>
      </c>
    </row>
    <row r="714" spans="1:12" ht="14" x14ac:dyDescent="0.15">
      <c r="A714" s="1">
        <v>10713</v>
      </c>
      <c r="B714" s="2">
        <v>45274</v>
      </c>
      <c r="C714" s="1" t="s">
        <v>11</v>
      </c>
      <c r="D714" s="1" t="s">
        <v>14</v>
      </c>
      <c r="E714" s="1" t="s">
        <v>18</v>
      </c>
      <c r="F714" s="1" t="s">
        <v>24</v>
      </c>
      <c r="G714" s="4">
        <v>982.35</v>
      </c>
      <c r="H714" s="1">
        <v>6</v>
      </c>
      <c r="I714" s="1" t="str">
        <f>TEXT(SalesTable[[#This Row],[Order_Date]],"mmm")</f>
        <v>Dec</v>
      </c>
      <c r="J714" s="1">
        <f>YEAR(SalesTable[[#This Row],[Order_Date]])</f>
        <v>2023</v>
      </c>
      <c r="K714" s="4">
        <v>53.13</v>
      </c>
      <c r="L714" s="9">
        <f>SalesTable[[#This Row],[Profit]]/SalesTable[[#This Row],[Sales]]</f>
        <v>5.4084593067643918E-2</v>
      </c>
    </row>
    <row r="715" spans="1:12" ht="14" x14ac:dyDescent="0.15">
      <c r="A715" s="1">
        <v>10714</v>
      </c>
      <c r="B715" s="2">
        <v>45275</v>
      </c>
      <c r="C715" s="1" t="s">
        <v>10</v>
      </c>
      <c r="D715" s="1" t="s">
        <v>15</v>
      </c>
      <c r="E715" s="1" t="s">
        <v>16</v>
      </c>
      <c r="F715" s="1" t="s">
        <v>21</v>
      </c>
      <c r="G715" s="4">
        <v>142.51</v>
      </c>
      <c r="H715" s="1">
        <v>1</v>
      </c>
      <c r="I715" s="1" t="str">
        <f>TEXT(SalesTable[[#This Row],[Order_Date]],"mmm")</f>
        <v>Dec</v>
      </c>
      <c r="J715" s="1">
        <f>YEAR(SalesTable[[#This Row],[Order_Date]])</f>
        <v>2023</v>
      </c>
      <c r="K715" s="4">
        <v>135.65</v>
      </c>
      <c r="L715" s="9">
        <f>SalesTable[[#This Row],[Profit]]/SalesTable[[#This Row],[Sales]]</f>
        <v>0.95186302715598914</v>
      </c>
    </row>
    <row r="716" spans="1:12" ht="14" x14ac:dyDescent="0.15">
      <c r="A716" s="1">
        <v>10715</v>
      </c>
      <c r="B716" s="2">
        <v>45276</v>
      </c>
      <c r="C716" s="1" t="s">
        <v>10</v>
      </c>
      <c r="D716" s="1" t="s">
        <v>14</v>
      </c>
      <c r="E716" s="1" t="s">
        <v>20</v>
      </c>
      <c r="F716" s="1" t="s">
        <v>21</v>
      </c>
      <c r="G716" s="4">
        <v>337.91</v>
      </c>
      <c r="H716" s="1">
        <v>2</v>
      </c>
      <c r="I716" s="1" t="str">
        <f>TEXT(SalesTable[[#This Row],[Order_Date]],"mmm")</f>
        <v>Dec</v>
      </c>
      <c r="J716" s="1">
        <f>YEAR(SalesTable[[#This Row],[Order_Date]])</f>
        <v>2023</v>
      </c>
      <c r="K716" s="4">
        <v>188.33</v>
      </c>
      <c r="L716" s="9">
        <f>SalesTable[[#This Row],[Profit]]/SalesTable[[#This Row],[Sales]]</f>
        <v>0.55733775265603269</v>
      </c>
    </row>
    <row r="717" spans="1:12" ht="14" x14ac:dyDescent="0.15">
      <c r="A717" s="1">
        <v>10716</v>
      </c>
      <c r="B717" s="2">
        <v>45277</v>
      </c>
      <c r="C717" s="1" t="s">
        <v>10</v>
      </c>
      <c r="D717" s="1" t="s">
        <v>14</v>
      </c>
      <c r="E717" s="1" t="s">
        <v>17</v>
      </c>
      <c r="F717" s="1" t="s">
        <v>22</v>
      </c>
      <c r="G717" s="4">
        <v>656.31</v>
      </c>
      <c r="H717" s="1">
        <v>5</v>
      </c>
      <c r="I717" s="1" t="str">
        <f>TEXT(SalesTable[[#This Row],[Order_Date]],"mmm")</f>
        <v>Dec</v>
      </c>
      <c r="J717" s="1">
        <f>YEAR(SalesTable[[#This Row],[Order_Date]])</f>
        <v>2023</v>
      </c>
      <c r="K717" s="4">
        <v>-3.52</v>
      </c>
      <c r="L717" s="9">
        <f>SalesTable[[#This Row],[Profit]]/SalesTable[[#This Row],[Sales]]</f>
        <v>-5.363319163200317E-3</v>
      </c>
    </row>
    <row r="718" spans="1:12" ht="14" x14ac:dyDescent="0.15">
      <c r="A718" s="1">
        <v>10717</v>
      </c>
      <c r="B718" s="2">
        <v>45278</v>
      </c>
      <c r="C718" s="1" t="s">
        <v>9</v>
      </c>
      <c r="D718" s="1" t="s">
        <v>14</v>
      </c>
      <c r="E718" s="1" t="s">
        <v>16</v>
      </c>
      <c r="F718" s="1" t="s">
        <v>21</v>
      </c>
      <c r="G718" s="4">
        <v>382.51</v>
      </c>
      <c r="H718" s="1">
        <v>2</v>
      </c>
      <c r="I718" s="1" t="str">
        <f>TEXT(SalesTable[[#This Row],[Order_Date]],"mmm")</f>
        <v>Dec</v>
      </c>
      <c r="J718" s="1">
        <f>YEAR(SalesTable[[#This Row],[Order_Date]])</f>
        <v>2023</v>
      </c>
      <c r="K718" s="4">
        <v>-32.74</v>
      </c>
      <c r="L718" s="9">
        <f>SalesTable[[#This Row],[Profit]]/SalesTable[[#This Row],[Sales]]</f>
        <v>-8.5592533528535214E-2</v>
      </c>
    </row>
    <row r="719" spans="1:12" ht="14" x14ac:dyDescent="0.15">
      <c r="A719" s="1">
        <v>10718</v>
      </c>
      <c r="B719" s="2">
        <v>45279</v>
      </c>
      <c r="C719" s="1" t="s">
        <v>10</v>
      </c>
      <c r="D719" s="1" t="s">
        <v>13</v>
      </c>
      <c r="E719" s="1" t="s">
        <v>19</v>
      </c>
      <c r="F719" s="1" t="s">
        <v>22</v>
      </c>
      <c r="G719" s="4">
        <v>931.95</v>
      </c>
      <c r="H719" s="1">
        <v>1</v>
      </c>
      <c r="I719" s="1" t="str">
        <f>TEXT(SalesTable[[#This Row],[Order_Date]],"mmm")</f>
        <v>Dec</v>
      </c>
      <c r="J719" s="1">
        <f>YEAR(SalesTable[[#This Row],[Order_Date]])</f>
        <v>2023</v>
      </c>
      <c r="K719" s="4">
        <v>288.83999999999997</v>
      </c>
      <c r="L719" s="9">
        <f>SalesTable[[#This Row],[Profit]]/SalesTable[[#This Row],[Sales]]</f>
        <v>0.30993079027844839</v>
      </c>
    </row>
    <row r="720" spans="1:12" ht="14" x14ac:dyDescent="0.15">
      <c r="A720" s="1">
        <v>10719</v>
      </c>
      <c r="B720" s="2">
        <v>45280</v>
      </c>
      <c r="C720" s="1" t="s">
        <v>10</v>
      </c>
      <c r="D720" s="1" t="s">
        <v>14</v>
      </c>
      <c r="E720" s="1" t="s">
        <v>19</v>
      </c>
      <c r="F720" s="1" t="s">
        <v>22</v>
      </c>
      <c r="G720" s="4">
        <v>112.34</v>
      </c>
      <c r="H720" s="1">
        <v>6</v>
      </c>
      <c r="I720" s="1" t="str">
        <f>TEXT(SalesTable[[#This Row],[Order_Date]],"mmm")</f>
        <v>Dec</v>
      </c>
      <c r="J720" s="1">
        <f>YEAR(SalesTable[[#This Row],[Order_Date]])</f>
        <v>2023</v>
      </c>
      <c r="K720" s="4">
        <v>147.02000000000001</v>
      </c>
      <c r="L720" s="9">
        <f>SalesTable[[#This Row],[Profit]]/SalesTable[[#This Row],[Sales]]</f>
        <v>1.3087057147943744</v>
      </c>
    </row>
    <row r="721" spans="1:12" ht="14" x14ac:dyDescent="0.15">
      <c r="A721" s="1">
        <v>10720</v>
      </c>
      <c r="B721" s="2">
        <v>45281</v>
      </c>
      <c r="C721" s="1" t="s">
        <v>10</v>
      </c>
      <c r="D721" s="1" t="s">
        <v>14</v>
      </c>
      <c r="E721" s="1" t="s">
        <v>18</v>
      </c>
      <c r="F721" s="1" t="s">
        <v>23</v>
      </c>
      <c r="G721" s="4">
        <v>571.94000000000005</v>
      </c>
      <c r="H721" s="1">
        <v>8</v>
      </c>
      <c r="I721" s="1" t="str">
        <f>TEXT(SalesTable[[#This Row],[Order_Date]],"mmm")</f>
        <v>Dec</v>
      </c>
      <c r="J721" s="1">
        <f>YEAR(SalesTable[[#This Row],[Order_Date]])</f>
        <v>2023</v>
      </c>
      <c r="K721" s="4">
        <v>292.57</v>
      </c>
      <c r="L721" s="9">
        <f>SalesTable[[#This Row],[Profit]]/SalesTable[[#This Row],[Sales]]</f>
        <v>0.51153967199356565</v>
      </c>
    </row>
    <row r="722" spans="1:12" ht="14" x14ac:dyDescent="0.15">
      <c r="A722" s="1">
        <v>10721</v>
      </c>
      <c r="B722" s="2">
        <v>45282</v>
      </c>
      <c r="C722" s="1" t="s">
        <v>12</v>
      </c>
      <c r="D722" s="1" t="s">
        <v>14</v>
      </c>
      <c r="E722" s="1" t="s">
        <v>20</v>
      </c>
      <c r="F722" s="1" t="s">
        <v>21</v>
      </c>
      <c r="G722" s="4">
        <v>611.32000000000005</v>
      </c>
      <c r="H722" s="1">
        <v>8</v>
      </c>
      <c r="I722" s="1" t="str">
        <f>TEXT(SalesTable[[#This Row],[Order_Date]],"mmm")</f>
        <v>Dec</v>
      </c>
      <c r="J722" s="1">
        <f>YEAR(SalesTable[[#This Row],[Order_Date]])</f>
        <v>2023</v>
      </c>
      <c r="K722" s="4">
        <v>35.1</v>
      </c>
      <c r="L722" s="9">
        <f>SalesTable[[#This Row],[Profit]]/SalesTable[[#This Row],[Sales]]</f>
        <v>5.741673755152784E-2</v>
      </c>
    </row>
    <row r="723" spans="1:12" ht="14" x14ac:dyDescent="0.15">
      <c r="A723" s="1">
        <v>10722</v>
      </c>
      <c r="B723" s="2">
        <v>45283</v>
      </c>
      <c r="C723" s="1" t="s">
        <v>9</v>
      </c>
      <c r="D723" s="1" t="s">
        <v>15</v>
      </c>
      <c r="E723" s="1" t="s">
        <v>18</v>
      </c>
      <c r="F723" s="1" t="s">
        <v>22</v>
      </c>
      <c r="G723" s="4">
        <v>670.09</v>
      </c>
      <c r="H723" s="1">
        <v>8</v>
      </c>
      <c r="I723" s="1" t="str">
        <f>TEXT(SalesTable[[#This Row],[Order_Date]],"mmm")</f>
        <v>Dec</v>
      </c>
      <c r="J723" s="1">
        <f>YEAR(SalesTable[[#This Row],[Order_Date]])</f>
        <v>2023</v>
      </c>
      <c r="K723" s="4">
        <v>181.21</v>
      </c>
      <c r="L723" s="9">
        <f>SalesTable[[#This Row],[Profit]]/SalesTable[[#This Row],[Sales]]</f>
        <v>0.27042636063812325</v>
      </c>
    </row>
    <row r="724" spans="1:12" ht="14" x14ac:dyDescent="0.15">
      <c r="A724" s="1">
        <v>10723</v>
      </c>
      <c r="B724" s="2">
        <v>45284</v>
      </c>
      <c r="C724" s="1" t="s">
        <v>10</v>
      </c>
      <c r="D724" s="1" t="s">
        <v>15</v>
      </c>
      <c r="E724" s="1" t="s">
        <v>18</v>
      </c>
      <c r="F724" s="1" t="s">
        <v>23</v>
      </c>
      <c r="G724" s="4">
        <v>292.88</v>
      </c>
      <c r="H724" s="1">
        <v>6</v>
      </c>
      <c r="I724" s="1" t="str">
        <f>TEXT(SalesTable[[#This Row],[Order_Date]],"mmm")</f>
        <v>Dec</v>
      </c>
      <c r="J724" s="1">
        <f>YEAR(SalesTable[[#This Row],[Order_Date]])</f>
        <v>2023</v>
      </c>
      <c r="K724" s="4">
        <v>-10.96</v>
      </c>
      <c r="L724" s="9">
        <f>SalesTable[[#This Row],[Profit]]/SalesTable[[#This Row],[Sales]]</f>
        <v>-3.7421469543840485E-2</v>
      </c>
    </row>
    <row r="725" spans="1:12" ht="14" x14ac:dyDescent="0.15">
      <c r="A725" s="1">
        <v>10724</v>
      </c>
      <c r="B725" s="2">
        <v>45285</v>
      </c>
      <c r="C725" s="1" t="s">
        <v>11</v>
      </c>
      <c r="D725" s="1" t="s">
        <v>13</v>
      </c>
      <c r="E725" s="1" t="s">
        <v>18</v>
      </c>
      <c r="F725" s="1" t="s">
        <v>25</v>
      </c>
      <c r="G725" s="4">
        <v>396.34</v>
      </c>
      <c r="H725" s="1">
        <v>3</v>
      </c>
      <c r="I725" s="1" t="str">
        <f>TEXT(SalesTable[[#This Row],[Order_Date]],"mmm")</f>
        <v>Dec</v>
      </c>
      <c r="J725" s="1">
        <f>YEAR(SalesTable[[#This Row],[Order_Date]])</f>
        <v>2023</v>
      </c>
      <c r="K725" s="4">
        <v>4.4800000000000004</v>
      </c>
      <c r="L725" s="9">
        <f>SalesTable[[#This Row],[Profit]]/SalesTable[[#This Row],[Sales]]</f>
        <v>1.1303426351112682E-2</v>
      </c>
    </row>
    <row r="726" spans="1:12" ht="14" x14ac:dyDescent="0.15">
      <c r="A726" s="1">
        <v>10725</v>
      </c>
      <c r="B726" s="2">
        <v>45286</v>
      </c>
      <c r="C726" s="1" t="s">
        <v>11</v>
      </c>
      <c r="D726" s="1" t="s">
        <v>13</v>
      </c>
      <c r="E726" s="1" t="s">
        <v>19</v>
      </c>
      <c r="F726" s="1" t="s">
        <v>23</v>
      </c>
      <c r="G726" s="4">
        <v>851.5</v>
      </c>
      <c r="H726" s="1">
        <v>1</v>
      </c>
      <c r="I726" s="1" t="str">
        <f>TEXT(SalesTable[[#This Row],[Order_Date]],"mmm")</f>
        <v>Dec</v>
      </c>
      <c r="J726" s="1">
        <f>YEAR(SalesTable[[#This Row],[Order_Date]])</f>
        <v>2023</v>
      </c>
      <c r="K726" s="4">
        <v>104.76</v>
      </c>
      <c r="L726" s="9">
        <f>SalesTable[[#This Row],[Profit]]/SalesTable[[#This Row],[Sales]]</f>
        <v>0.12302994715208457</v>
      </c>
    </row>
    <row r="727" spans="1:12" ht="14" x14ac:dyDescent="0.15">
      <c r="A727" s="1">
        <v>10726</v>
      </c>
      <c r="B727" s="2">
        <v>45287</v>
      </c>
      <c r="C727" s="1" t="s">
        <v>11</v>
      </c>
      <c r="D727" s="1" t="s">
        <v>15</v>
      </c>
      <c r="E727" s="1" t="s">
        <v>19</v>
      </c>
      <c r="F727" s="1" t="s">
        <v>23</v>
      </c>
      <c r="G727" s="4">
        <v>235.2</v>
      </c>
      <c r="H727" s="1">
        <v>2</v>
      </c>
      <c r="I727" s="1" t="str">
        <f>TEXT(SalesTable[[#This Row],[Order_Date]],"mmm")</f>
        <v>Dec</v>
      </c>
      <c r="J727" s="1">
        <f>YEAR(SalesTable[[#This Row],[Order_Date]])</f>
        <v>2023</v>
      </c>
      <c r="K727" s="4">
        <v>27.85</v>
      </c>
      <c r="L727" s="9">
        <f>SalesTable[[#This Row],[Profit]]/SalesTable[[#This Row],[Sales]]</f>
        <v>0.11840986394557824</v>
      </c>
    </row>
    <row r="728" spans="1:12" ht="14" x14ac:dyDescent="0.15">
      <c r="A728" s="1">
        <v>10727</v>
      </c>
      <c r="B728" s="2">
        <v>45288</v>
      </c>
      <c r="C728" s="1" t="s">
        <v>9</v>
      </c>
      <c r="D728" s="1" t="s">
        <v>13</v>
      </c>
      <c r="E728" s="1" t="s">
        <v>18</v>
      </c>
      <c r="F728" s="1" t="s">
        <v>22</v>
      </c>
      <c r="G728" s="4">
        <v>835.52</v>
      </c>
      <c r="H728" s="1">
        <v>5</v>
      </c>
      <c r="I728" s="1" t="str">
        <f>TEXT(SalesTable[[#This Row],[Order_Date]],"mmm")</f>
        <v>Dec</v>
      </c>
      <c r="J728" s="1">
        <f>YEAR(SalesTable[[#This Row],[Order_Date]])</f>
        <v>2023</v>
      </c>
      <c r="K728" s="4">
        <v>-32.950000000000003</v>
      </c>
      <c r="L728" s="9">
        <f>SalesTable[[#This Row],[Profit]]/SalesTable[[#This Row],[Sales]]</f>
        <v>-3.9436518575258525E-2</v>
      </c>
    </row>
    <row r="729" spans="1:12" ht="14" x14ac:dyDescent="0.15">
      <c r="A729" s="1">
        <v>10728</v>
      </c>
      <c r="B729" s="2">
        <v>45289</v>
      </c>
      <c r="C729" s="1" t="s">
        <v>9</v>
      </c>
      <c r="D729" s="1" t="s">
        <v>15</v>
      </c>
      <c r="E729" s="1" t="s">
        <v>19</v>
      </c>
      <c r="F729" s="1" t="s">
        <v>24</v>
      </c>
      <c r="G729" s="4">
        <v>584.52</v>
      </c>
      <c r="H729" s="1">
        <v>5</v>
      </c>
      <c r="I729" s="1" t="str">
        <f>TEXT(SalesTable[[#This Row],[Order_Date]],"mmm")</f>
        <v>Dec</v>
      </c>
      <c r="J729" s="1">
        <f>YEAR(SalesTable[[#This Row],[Order_Date]])</f>
        <v>2023</v>
      </c>
      <c r="K729" s="4">
        <v>5.15</v>
      </c>
      <c r="L729" s="9">
        <f>SalesTable[[#This Row],[Profit]]/SalesTable[[#This Row],[Sales]]</f>
        <v>8.8106480531034027E-3</v>
      </c>
    </row>
    <row r="730" spans="1:12" ht="14" x14ac:dyDescent="0.15">
      <c r="A730" s="1">
        <v>10729</v>
      </c>
      <c r="B730" s="2">
        <v>45290</v>
      </c>
      <c r="C730" s="1" t="s">
        <v>11</v>
      </c>
      <c r="D730" s="1" t="s">
        <v>14</v>
      </c>
      <c r="E730" s="1" t="s">
        <v>20</v>
      </c>
      <c r="F730" s="1" t="s">
        <v>24</v>
      </c>
      <c r="G730" s="4">
        <v>774.08</v>
      </c>
      <c r="H730" s="1">
        <v>1</v>
      </c>
      <c r="I730" s="1" t="str">
        <f>TEXT(SalesTable[[#This Row],[Order_Date]],"mmm")</f>
        <v>Dec</v>
      </c>
      <c r="J730" s="1">
        <f>YEAR(SalesTable[[#This Row],[Order_Date]])</f>
        <v>2023</v>
      </c>
      <c r="K730" s="4">
        <v>-85.7</v>
      </c>
      <c r="L730" s="9">
        <f>SalesTable[[#This Row],[Profit]]/SalesTable[[#This Row],[Sales]]</f>
        <v>-0.11071207110376188</v>
      </c>
    </row>
    <row r="731" spans="1:12" ht="14" x14ac:dyDescent="0.15">
      <c r="A731" s="1">
        <v>10730</v>
      </c>
      <c r="B731" s="2">
        <v>45291</v>
      </c>
      <c r="C731" s="1" t="s">
        <v>10</v>
      </c>
      <c r="D731" s="1" t="s">
        <v>14</v>
      </c>
      <c r="E731" s="1" t="s">
        <v>18</v>
      </c>
      <c r="F731" s="1" t="s">
        <v>24</v>
      </c>
      <c r="G731" s="4">
        <v>727.93</v>
      </c>
      <c r="H731" s="1">
        <v>1</v>
      </c>
      <c r="I731" s="1" t="str">
        <f>TEXT(SalesTable[[#This Row],[Order_Date]],"mmm")</f>
        <v>Dec</v>
      </c>
      <c r="J731" s="1">
        <f>YEAR(SalesTable[[#This Row],[Order_Date]])</f>
        <v>2023</v>
      </c>
      <c r="K731" s="4">
        <v>181.77</v>
      </c>
      <c r="L731" s="9">
        <f>SalesTable[[#This Row],[Profit]]/SalesTable[[#This Row],[Sales]]</f>
        <v>0.24970807632602038</v>
      </c>
    </row>
    <row r="732" spans="1:12" ht="14" x14ac:dyDescent="0.15">
      <c r="A732" s="1">
        <v>10731</v>
      </c>
      <c r="B732" s="2">
        <v>45292</v>
      </c>
      <c r="C732" s="1" t="s">
        <v>9</v>
      </c>
      <c r="D732" s="1" t="s">
        <v>13</v>
      </c>
      <c r="E732" s="1" t="s">
        <v>19</v>
      </c>
      <c r="F732" s="1" t="s">
        <v>23</v>
      </c>
      <c r="G732" s="4">
        <v>247.14</v>
      </c>
      <c r="H732" s="1">
        <v>9</v>
      </c>
      <c r="I732" s="1" t="str">
        <f>TEXT(SalesTable[[#This Row],[Order_Date]],"mmm")</f>
        <v>Jan</v>
      </c>
      <c r="J732" s="1">
        <f>YEAR(SalesTable[[#This Row],[Order_Date]])</f>
        <v>2024</v>
      </c>
      <c r="K732" s="4">
        <v>96.85</v>
      </c>
      <c r="L732" s="9">
        <f>SalesTable[[#This Row],[Profit]]/SalesTable[[#This Row],[Sales]]</f>
        <v>0.39188314315772438</v>
      </c>
    </row>
    <row r="733" spans="1:12" ht="14" x14ac:dyDescent="0.15">
      <c r="A733" s="1">
        <v>10732</v>
      </c>
      <c r="B733" s="2">
        <v>45293</v>
      </c>
      <c r="C733" s="1" t="s">
        <v>11</v>
      </c>
      <c r="D733" s="1" t="s">
        <v>15</v>
      </c>
      <c r="E733" s="1" t="s">
        <v>16</v>
      </c>
      <c r="F733" s="1" t="s">
        <v>22</v>
      </c>
      <c r="G733" s="4">
        <v>590.37</v>
      </c>
      <c r="H733" s="1">
        <v>2</v>
      </c>
      <c r="I733" s="1" t="str">
        <f>TEXT(SalesTable[[#This Row],[Order_Date]],"mmm")</f>
        <v>Jan</v>
      </c>
      <c r="J733" s="1">
        <f>YEAR(SalesTable[[#This Row],[Order_Date]])</f>
        <v>2024</v>
      </c>
      <c r="K733" s="4">
        <v>-62.3</v>
      </c>
      <c r="L733" s="9">
        <f>SalesTable[[#This Row],[Profit]]/SalesTable[[#This Row],[Sales]]</f>
        <v>-0.10552704236326371</v>
      </c>
    </row>
    <row r="734" spans="1:12" ht="14" x14ac:dyDescent="0.15">
      <c r="A734" s="1">
        <v>10733</v>
      </c>
      <c r="B734" s="2">
        <v>45294</v>
      </c>
      <c r="C734" s="1" t="s">
        <v>11</v>
      </c>
      <c r="D734" s="1" t="s">
        <v>15</v>
      </c>
      <c r="E734" s="1" t="s">
        <v>18</v>
      </c>
      <c r="F734" s="1" t="s">
        <v>21</v>
      </c>
      <c r="G734" s="4">
        <v>874.34</v>
      </c>
      <c r="H734" s="1">
        <v>7</v>
      </c>
      <c r="I734" s="1" t="str">
        <f>TEXT(SalesTable[[#This Row],[Order_Date]],"mmm")</f>
        <v>Jan</v>
      </c>
      <c r="J734" s="1">
        <f>YEAR(SalesTable[[#This Row],[Order_Date]])</f>
        <v>2024</v>
      </c>
      <c r="K734" s="4">
        <v>-31.32</v>
      </c>
      <c r="L734" s="9">
        <f>SalesTable[[#This Row],[Profit]]/SalesTable[[#This Row],[Sales]]</f>
        <v>-3.5821305213075007E-2</v>
      </c>
    </row>
    <row r="735" spans="1:12" ht="14" x14ac:dyDescent="0.15">
      <c r="A735" s="1">
        <v>10734</v>
      </c>
      <c r="B735" s="2">
        <v>45295</v>
      </c>
      <c r="C735" s="1" t="s">
        <v>10</v>
      </c>
      <c r="D735" s="1" t="s">
        <v>13</v>
      </c>
      <c r="E735" s="1" t="s">
        <v>18</v>
      </c>
      <c r="F735" s="1" t="s">
        <v>23</v>
      </c>
      <c r="G735" s="4">
        <v>460.51</v>
      </c>
      <c r="H735" s="1">
        <v>4</v>
      </c>
      <c r="I735" s="1" t="str">
        <f>TEXT(SalesTable[[#This Row],[Order_Date]],"mmm")</f>
        <v>Jan</v>
      </c>
      <c r="J735" s="1">
        <f>YEAR(SalesTable[[#This Row],[Order_Date]])</f>
        <v>2024</v>
      </c>
      <c r="K735" s="4">
        <v>-58.99</v>
      </c>
      <c r="L735" s="9">
        <f>SalesTable[[#This Row],[Profit]]/SalesTable[[#This Row],[Sales]]</f>
        <v>-0.12809710972617316</v>
      </c>
    </row>
    <row r="736" spans="1:12" ht="14" x14ac:dyDescent="0.15">
      <c r="A736" s="1">
        <v>10735</v>
      </c>
      <c r="B736" s="2">
        <v>45296</v>
      </c>
      <c r="C736" s="1" t="s">
        <v>12</v>
      </c>
      <c r="D736" s="1" t="s">
        <v>15</v>
      </c>
      <c r="E736" s="1" t="s">
        <v>20</v>
      </c>
      <c r="F736" s="1" t="s">
        <v>23</v>
      </c>
      <c r="G736" s="4">
        <v>968.26</v>
      </c>
      <c r="H736" s="1">
        <v>7</v>
      </c>
      <c r="I736" s="1" t="str">
        <f>TEXT(SalesTable[[#This Row],[Order_Date]],"mmm")</f>
        <v>Jan</v>
      </c>
      <c r="J736" s="1">
        <f>YEAR(SalesTable[[#This Row],[Order_Date]])</f>
        <v>2024</v>
      </c>
      <c r="K736" s="4">
        <v>145.04</v>
      </c>
      <c r="L736" s="9">
        <f>SalesTable[[#This Row],[Profit]]/SalesTable[[#This Row],[Sales]]</f>
        <v>0.1497944766901452</v>
      </c>
    </row>
    <row r="737" spans="1:12" ht="14" x14ac:dyDescent="0.15">
      <c r="A737" s="1">
        <v>10736</v>
      </c>
      <c r="B737" s="2">
        <v>45297</v>
      </c>
      <c r="C737" s="1" t="s">
        <v>9</v>
      </c>
      <c r="D737" s="1" t="s">
        <v>14</v>
      </c>
      <c r="E737" s="1" t="s">
        <v>17</v>
      </c>
      <c r="F737" s="1" t="s">
        <v>22</v>
      </c>
      <c r="G737" s="4">
        <v>479.6</v>
      </c>
      <c r="H737" s="1">
        <v>8</v>
      </c>
      <c r="I737" s="1" t="str">
        <f>TEXT(SalesTable[[#This Row],[Order_Date]],"mmm")</f>
        <v>Jan</v>
      </c>
      <c r="J737" s="1">
        <f>YEAR(SalesTable[[#This Row],[Order_Date]])</f>
        <v>2024</v>
      </c>
      <c r="K737" s="4">
        <v>-62.32</v>
      </c>
      <c r="L737" s="9">
        <f>SalesTable[[#This Row],[Profit]]/SalesTable[[#This Row],[Sales]]</f>
        <v>-0.1299416180150125</v>
      </c>
    </row>
    <row r="738" spans="1:12" ht="14" x14ac:dyDescent="0.15">
      <c r="A738" s="1">
        <v>10737</v>
      </c>
      <c r="B738" s="2">
        <v>45298</v>
      </c>
      <c r="C738" s="1" t="s">
        <v>10</v>
      </c>
      <c r="D738" s="1" t="s">
        <v>13</v>
      </c>
      <c r="E738" s="1" t="s">
        <v>17</v>
      </c>
      <c r="F738" s="1" t="s">
        <v>25</v>
      </c>
      <c r="G738" s="4">
        <v>185.65</v>
      </c>
      <c r="H738" s="1">
        <v>5</v>
      </c>
      <c r="I738" s="1" t="str">
        <f>TEXT(SalesTable[[#This Row],[Order_Date]],"mmm")</f>
        <v>Jan</v>
      </c>
      <c r="J738" s="1">
        <f>YEAR(SalesTable[[#This Row],[Order_Date]])</f>
        <v>2024</v>
      </c>
      <c r="K738" s="4">
        <v>201.71</v>
      </c>
      <c r="L738" s="9">
        <f>SalesTable[[#This Row],[Profit]]/SalesTable[[#This Row],[Sales]]</f>
        <v>1.0865068677619176</v>
      </c>
    </row>
    <row r="739" spans="1:12" ht="14" x14ac:dyDescent="0.15">
      <c r="A739" s="1">
        <v>10738</v>
      </c>
      <c r="B739" s="2">
        <v>45299</v>
      </c>
      <c r="C739" s="1" t="s">
        <v>11</v>
      </c>
      <c r="D739" s="1" t="s">
        <v>13</v>
      </c>
      <c r="E739" s="1" t="s">
        <v>20</v>
      </c>
      <c r="F739" s="1" t="s">
        <v>23</v>
      </c>
      <c r="G739" s="4">
        <v>419.96</v>
      </c>
      <c r="H739" s="1">
        <v>1</v>
      </c>
      <c r="I739" s="1" t="str">
        <f>TEXT(SalesTable[[#This Row],[Order_Date]],"mmm")</f>
        <v>Jan</v>
      </c>
      <c r="J739" s="1">
        <f>YEAR(SalesTable[[#This Row],[Order_Date]])</f>
        <v>2024</v>
      </c>
      <c r="K739" s="4">
        <v>-91.8</v>
      </c>
      <c r="L739" s="9">
        <f>SalesTable[[#This Row],[Profit]]/SalesTable[[#This Row],[Sales]]</f>
        <v>-0.21859224688065532</v>
      </c>
    </row>
    <row r="740" spans="1:12" ht="14" x14ac:dyDescent="0.15">
      <c r="A740" s="1">
        <v>10739</v>
      </c>
      <c r="B740" s="2">
        <v>45300</v>
      </c>
      <c r="C740" s="1" t="s">
        <v>11</v>
      </c>
      <c r="D740" s="1" t="s">
        <v>15</v>
      </c>
      <c r="E740" s="1" t="s">
        <v>20</v>
      </c>
      <c r="F740" s="1" t="s">
        <v>25</v>
      </c>
      <c r="G740" s="4">
        <v>954.12</v>
      </c>
      <c r="H740" s="1">
        <v>4</v>
      </c>
      <c r="I740" s="1" t="str">
        <f>TEXT(SalesTable[[#This Row],[Order_Date]],"mmm")</f>
        <v>Jan</v>
      </c>
      <c r="J740" s="1">
        <f>YEAR(SalesTable[[#This Row],[Order_Date]])</f>
        <v>2024</v>
      </c>
      <c r="K740" s="4">
        <v>-0.25</v>
      </c>
      <c r="L740" s="9">
        <f>SalesTable[[#This Row],[Profit]]/SalesTable[[#This Row],[Sales]]</f>
        <v>-2.6202154865216117E-4</v>
      </c>
    </row>
    <row r="741" spans="1:12" ht="14" x14ac:dyDescent="0.15">
      <c r="A741" s="1">
        <v>10740</v>
      </c>
      <c r="B741" s="2">
        <v>45301</v>
      </c>
      <c r="C741" s="1" t="s">
        <v>10</v>
      </c>
      <c r="D741" s="1" t="s">
        <v>13</v>
      </c>
      <c r="E741" s="1" t="s">
        <v>20</v>
      </c>
      <c r="F741" s="1" t="s">
        <v>25</v>
      </c>
      <c r="G741" s="4">
        <v>353.73</v>
      </c>
      <c r="H741" s="1">
        <v>3</v>
      </c>
      <c r="I741" s="1" t="str">
        <f>TEXT(SalesTable[[#This Row],[Order_Date]],"mmm")</f>
        <v>Jan</v>
      </c>
      <c r="J741" s="1">
        <f>YEAR(SalesTable[[#This Row],[Order_Date]])</f>
        <v>2024</v>
      </c>
      <c r="K741" s="4">
        <v>256.27</v>
      </c>
      <c r="L741" s="9">
        <f>SalesTable[[#This Row],[Profit]]/SalesTable[[#This Row],[Sales]]</f>
        <v>0.72447912249455793</v>
      </c>
    </row>
    <row r="742" spans="1:12" ht="14" x14ac:dyDescent="0.15">
      <c r="A742" s="1">
        <v>10741</v>
      </c>
      <c r="B742" s="2">
        <v>45302</v>
      </c>
      <c r="C742" s="1" t="s">
        <v>9</v>
      </c>
      <c r="D742" s="1" t="s">
        <v>15</v>
      </c>
      <c r="E742" s="1" t="s">
        <v>17</v>
      </c>
      <c r="F742" s="1" t="s">
        <v>24</v>
      </c>
      <c r="G742" s="4">
        <v>874.69</v>
      </c>
      <c r="H742" s="1">
        <v>5</v>
      </c>
      <c r="I742" s="1" t="str">
        <f>TEXT(SalesTable[[#This Row],[Order_Date]],"mmm")</f>
        <v>Jan</v>
      </c>
      <c r="J742" s="1">
        <f>YEAR(SalesTable[[#This Row],[Order_Date]])</f>
        <v>2024</v>
      </c>
      <c r="K742" s="4">
        <v>187.41</v>
      </c>
      <c r="L742" s="9">
        <f>SalesTable[[#This Row],[Profit]]/SalesTable[[#This Row],[Sales]]</f>
        <v>0.21425876596279822</v>
      </c>
    </row>
    <row r="743" spans="1:12" ht="14" x14ac:dyDescent="0.15">
      <c r="A743" s="1">
        <v>10742</v>
      </c>
      <c r="B743" s="2">
        <v>45303</v>
      </c>
      <c r="C743" s="1" t="s">
        <v>12</v>
      </c>
      <c r="D743" s="1" t="s">
        <v>15</v>
      </c>
      <c r="E743" s="1" t="s">
        <v>20</v>
      </c>
      <c r="F743" s="1" t="s">
        <v>22</v>
      </c>
      <c r="G743" s="4">
        <v>887.19</v>
      </c>
      <c r="H743" s="1">
        <v>6</v>
      </c>
      <c r="I743" s="1" t="str">
        <f>TEXT(SalesTable[[#This Row],[Order_Date]],"mmm")</f>
        <v>Jan</v>
      </c>
      <c r="J743" s="1">
        <f>YEAR(SalesTable[[#This Row],[Order_Date]])</f>
        <v>2024</v>
      </c>
      <c r="K743" s="4">
        <v>-70.81</v>
      </c>
      <c r="L743" s="9">
        <f>SalesTable[[#This Row],[Profit]]/SalesTable[[#This Row],[Sales]]</f>
        <v>-7.9813794114000386E-2</v>
      </c>
    </row>
    <row r="744" spans="1:12" ht="14" x14ac:dyDescent="0.15">
      <c r="A744" s="1">
        <v>10743</v>
      </c>
      <c r="B744" s="2">
        <v>45304</v>
      </c>
      <c r="C744" s="1" t="s">
        <v>12</v>
      </c>
      <c r="D744" s="1" t="s">
        <v>15</v>
      </c>
      <c r="E744" s="1" t="s">
        <v>19</v>
      </c>
      <c r="F744" s="1" t="s">
        <v>25</v>
      </c>
      <c r="G744" s="4">
        <v>382.68</v>
      </c>
      <c r="H744" s="1">
        <v>2</v>
      </c>
      <c r="I744" s="1" t="str">
        <f>TEXT(SalesTable[[#This Row],[Order_Date]],"mmm")</f>
        <v>Jan</v>
      </c>
      <c r="J744" s="1">
        <f>YEAR(SalesTable[[#This Row],[Order_Date]])</f>
        <v>2024</v>
      </c>
      <c r="K744" s="4">
        <v>228.45</v>
      </c>
      <c r="L744" s="9">
        <f>SalesTable[[#This Row],[Profit]]/SalesTable[[#This Row],[Sales]]</f>
        <v>0.59697397303229849</v>
      </c>
    </row>
    <row r="745" spans="1:12" ht="14" x14ac:dyDescent="0.15">
      <c r="A745" s="1">
        <v>10744</v>
      </c>
      <c r="B745" s="2">
        <v>45305</v>
      </c>
      <c r="C745" s="1" t="s">
        <v>11</v>
      </c>
      <c r="D745" s="1" t="s">
        <v>15</v>
      </c>
      <c r="E745" s="1" t="s">
        <v>18</v>
      </c>
      <c r="F745" s="1" t="s">
        <v>22</v>
      </c>
      <c r="G745" s="4">
        <v>129.09</v>
      </c>
      <c r="H745" s="1">
        <v>7</v>
      </c>
      <c r="I745" s="1" t="str">
        <f>TEXT(SalesTable[[#This Row],[Order_Date]],"mmm")</f>
        <v>Jan</v>
      </c>
      <c r="J745" s="1">
        <f>YEAR(SalesTable[[#This Row],[Order_Date]])</f>
        <v>2024</v>
      </c>
      <c r="K745" s="4">
        <v>97.21</v>
      </c>
      <c r="L745" s="9">
        <f>SalesTable[[#This Row],[Profit]]/SalesTable[[#This Row],[Sales]]</f>
        <v>0.75304051436981945</v>
      </c>
    </row>
    <row r="746" spans="1:12" ht="14" x14ac:dyDescent="0.15">
      <c r="A746" s="1">
        <v>10745</v>
      </c>
      <c r="B746" s="2">
        <v>45306</v>
      </c>
      <c r="C746" s="1" t="s">
        <v>9</v>
      </c>
      <c r="D746" s="1" t="s">
        <v>15</v>
      </c>
      <c r="E746" s="1" t="s">
        <v>18</v>
      </c>
      <c r="F746" s="1" t="s">
        <v>24</v>
      </c>
      <c r="G746" s="4">
        <v>738.33</v>
      </c>
      <c r="H746" s="1">
        <v>3</v>
      </c>
      <c r="I746" s="1" t="str">
        <f>TEXT(SalesTable[[#This Row],[Order_Date]],"mmm")</f>
        <v>Jan</v>
      </c>
      <c r="J746" s="1">
        <f>YEAR(SalesTable[[#This Row],[Order_Date]])</f>
        <v>2024</v>
      </c>
      <c r="K746" s="4">
        <v>238.71</v>
      </c>
      <c r="L746" s="9">
        <f>SalesTable[[#This Row],[Profit]]/SalesTable[[#This Row],[Sales]]</f>
        <v>0.32331071472105966</v>
      </c>
    </row>
    <row r="747" spans="1:12" ht="14" x14ac:dyDescent="0.15">
      <c r="A747" s="1">
        <v>10746</v>
      </c>
      <c r="B747" s="2">
        <v>45307</v>
      </c>
      <c r="C747" s="1" t="s">
        <v>12</v>
      </c>
      <c r="D747" s="1" t="s">
        <v>13</v>
      </c>
      <c r="E747" s="1" t="s">
        <v>16</v>
      </c>
      <c r="F747" s="1" t="s">
        <v>22</v>
      </c>
      <c r="G747" s="4">
        <v>345.94</v>
      </c>
      <c r="H747" s="1">
        <v>1</v>
      </c>
      <c r="I747" s="1" t="str">
        <f>TEXT(SalesTable[[#This Row],[Order_Date]],"mmm")</f>
        <v>Jan</v>
      </c>
      <c r="J747" s="1">
        <f>YEAR(SalesTable[[#This Row],[Order_Date]])</f>
        <v>2024</v>
      </c>
      <c r="K747" s="4">
        <v>140.30000000000001</v>
      </c>
      <c r="L747" s="9">
        <f>SalesTable[[#This Row],[Profit]]/SalesTable[[#This Row],[Sales]]</f>
        <v>0.40556165809099848</v>
      </c>
    </row>
    <row r="748" spans="1:12" ht="14" x14ac:dyDescent="0.15">
      <c r="A748" s="1">
        <v>10747</v>
      </c>
      <c r="B748" s="2">
        <v>45308</v>
      </c>
      <c r="C748" s="1" t="s">
        <v>9</v>
      </c>
      <c r="D748" s="1" t="s">
        <v>14</v>
      </c>
      <c r="E748" s="1" t="s">
        <v>16</v>
      </c>
      <c r="F748" s="1" t="s">
        <v>23</v>
      </c>
      <c r="G748" s="4">
        <v>793.78</v>
      </c>
      <c r="H748" s="1">
        <v>3</v>
      </c>
      <c r="I748" s="1" t="str">
        <f>TEXT(SalesTable[[#This Row],[Order_Date]],"mmm")</f>
        <v>Jan</v>
      </c>
      <c r="J748" s="1">
        <f>YEAR(SalesTable[[#This Row],[Order_Date]])</f>
        <v>2024</v>
      </c>
      <c r="K748" s="4">
        <v>172.73</v>
      </c>
      <c r="L748" s="9">
        <f>SalesTable[[#This Row],[Profit]]/SalesTable[[#This Row],[Sales]]</f>
        <v>0.21760437400791149</v>
      </c>
    </row>
    <row r="749" spans="1:12" ht="14" x14ac:dyDescent="0.15">
      <c r="A749" s="1">
        <v>10748</v>
      </c>
      <c r="B749" s="2">
        <v>45309</v>
      </c>
      <c r="C749" s="1" t="s">
        <v>9</v>
      </c>
      <c r="D749" s="1" t="s">
        <v>14</v>
      </c>
      <c r="E749" s="1" t="s">
        <v>18</v>
      </c>
      <c r="F749" s="1" t="s">
        <v>25</v>
      </c>
      <c r="G749" s="4">
        <v>470.52</v>
      </c>
      <c r="H749" s="1">
        <v>9</v>
      </c>
      <c r="I749" s="1" t="str">
        <f>TEXT(SalesTable[[#This Row],[Order_Date]],"mmm")</f>
        <v>Jan</v>
      </c>
      <c r="J749" s="1">
        <f>YEAR(SalesTable[[#This Row],[Order_Date]])</f>
        <v>2024</v>
      </c>
      <c r="K749" s="4">
        <v>297.39999999999998</v>
      </c>
      <c r="L749" s="9">
        <f>SalesTable[[#This Row],[Profit]]/SalesTable[[#This Row],[Sales]]</f>
        <v>0.63206664966420123</v>
      </c>
    </row>
    <row r="750" spans="1:12" ht="14" x14ac:dyDescent="0.15">
      <c r="A750" s="1">
        <v>10749</v>
      </c>
      <c r="B750" s="2">
        <v>45310</v>
      </c>
      <c r="C750" s="1" t="s">
        <v>11</v>
      </c>
      <c r="D750" s="1" t="s">
        <v>13</v>
      </c>
      <c r="E750" s="1" t="s">
        <v>19</v>
      </c>
      <c r="F750" s="1" t="s">
        <v>22</v>
      </c>
      <c r="G750" s="4">
        <v>511</v>
      </c>
      <c r="H750" s="1">
        <v>6</v>
      </c>
      <c r="I750" s="1" t="str">
        <f>TEXT(SalesTable[[#This Row],[Order_Date]],"mmm")</f>
        <v>Jan</v>
      </c>
      <c r="J750" s="1">
        <f>YEAR(SalesTable[[#This Row],[Order_Date]])</f>
        <v>2024</v>
      </c>
      <c r="K750" s="4">
        <v>-7.07</v>
      </c>
      <c r="L750" s="9">
        <f>SalesTable[[#This Row],[Profit]]/SalesTable[[#This Row],[Sales]]</f>
        <v>-1.3835616438356164E-2</v>
      </c>
    </row>
    <row r="751" spans="1:12" ht="14" x14ac:dyDescent="0.15">
      <c r="A751" s="1">
        <v>10750</v>
      </c>
      <c r="B751" s="2">
        <v>45311</v>
      </c>
      <c r="C751" s="1" t="s">
        <v>12</v>
      </c>
      <c r="D751" s="1" t="s">
        <v>13</v>
      </c>
      <c r="E751" s="1" t="s">
        <v>17</v>
      </c>
      <c r="F751" s="1" t="s">
        <v>21</v>
      </c>
      <c r="G751" s="4">
        <v>789.01</v>
      </c>
      <c r="H751" s="1">
        <v>6</v>
      </c>
      <c r="I751" s="1" t="str">
        <f>TEXT(SalesTable[[#This Row],[Order_Date]],"mmm")</f>
        <v>Jan</v>
      </c>
      <c r="J751" s="1">
        <f>YEAR(SalesTable[[#This Row],[Order_Date]])</f>
        <v>2024</v>
      </c>
      <c r="K751" s="4">
        <v>149.58000000000001</v>
      </c>
      <c r="L751" s="9">
        <f>SalesTable[[#This Row],[Profit]]/SalesTable[[#This Row],[Sales]]</f>
        <v>0.18957934626937556</v>
      </c>
    </row>
    <row r="752" spans="1:12" ht="14" x14ac:dyDescent="0.15">
      <c r="A752" s="1">
        <v>10751</v>
      </c>
      <c r="B752" s="2">
        <v>45312</v>
      </c>
      <c r="C752" s="1" t="s">
        <v>10</v>
      </c>
      <c r="D752" s="1" t="s">
        <v>14</v>
      </c>
      <c r="E752" s="1" t="s">
        <v>17</v>
      </c>
      <c r="F752" s="1" t="s">
        <v>22</v>
      </c>
      <c r="G752" s="4">
        <v>413.25</v>
      </c>
      <c r="H752" s="1">
        <v>4</v>
      </c>
      <c r="I752" s="1" t="str">
        <f>TEXT(SalesTable[[#This Row],[Order_Date]],"mmm")</f>
        <v>Jan</v>
      </c>
      <c r="J752" s="1">
        <f>YEAR(SalesTable[[#This Row],[Order_Date]])</f>
        <v>2024</v>
      </c>
      <c r="K752" s="4">
        <v>84.13</v>
      </c>
      <c r="L752" s="9">
        <f>SalesTable[[#This Row],[Profit]]/SalesTable[[#This Row],[Sales]]</f>
        <v>0.20358136721113126</v>
      </c>
    </row>
    <row r="753" spans="1:12" ht="14" x14ac:dyDescent="0.15">
      <c r="A753" s="1">
        <v>10752</v>
      </c>
      <c r="B753" s="2">
        <v>45313</v>
      </c>
      <c r="C753" s="1" t="s">
        <v>11</v>
      </c>
      <c r="D753" s="1" t="s">
        <v>14</v>
      </c>
      <c r="E753" s="1" t="s">
        <v>19</v>
      </c>
      <c r="F753" s="1" t="s">
        <v>25</v>
      </c>
      <c r="G753" s="4">
        <v>470.97</v>
      </c>
      <c r="H753" s="1">
        <v>8</v>
      </c>
      <c r="I753" s="1" t="str">
        <f>TEXT(SalesTable[[#This Row],[Order_Date]],"mmm")</f>
        <v>Jan</v>
      </c>
      <c r="J753" s="1">
        <f>YEAR(SalesTable[[#This Row],[Order_Date]])</f>
        <v>2024</v>
      </c>
      <c r="K753" s="4">
        <v>-84.22</v>
      </c>
      <c r="L753" s="9">
        <f>SalesTable[[#This Row],[Profit]]/SalesTable[[#This Row],[Sales]]</f>
        <v>-0.17882243030341635</v>
      </c>
    </row>
    <row r="754" spans="1:12" ht="14" x14ac:dyDescent="0.15">
      <c r="A754" s="1">
        <v>10753</v>
      </c>
      <c r="B754" s="2">
        <v>45314</v>
      </c>
      <c r="C754" s="1" t="s">
        <v>12</v>
      </c>
      <c r="D754" s="1" t="s">
        <v>14</v>
      </c>
      <c r="E754" s="1" t="s">
        <v>17</v>
      </c>
      <c r="F754" s="1" t="s">
        <v>24</v>
      </c>
      <c r="G754" s="4">
        <v>407.38</v>
      </c>
      <c r="H754" s="1">
        <v>5</v>
      </c>
      <c r="I754" s="1" t="str">
        <f>TEXT(SalesTable[[#This Row],[Order_Date]],"mmm")</f>
        <v>Jan</v>
      </c>
      <c r="J754" s="1">
        <f>YEAR(SalesTable[[#This Row],[Order_Date]])</f>
        <v>2024</v>
      </c>
      <c r="K754" s="4">
        <v>-94.21</v>
      </c>
      <c r="L754" s="9">
        <f>SalesTable[[#This Row],[Profit]]/SalesTable[[#This Row],[Sales]]</f>
        <v>-0.23125828464823997</v>
      </c>
    </row>
    <row r="755" spans="1:12" ht="14" x14ac:dyDescent="0.15">
      <c r="A755" s="1">
        <v>10754</v>
      </c>
      <c r="B755" s="2">
        <v>45315</v>
      </c>
      <c r="C755" s="1" t="s">
        <v>12</v>
      </c>
      <c r="D755" s="1" t="s">
        <v>14</v>
      </c>
      <c r="E755" s="1" t="s">
        <v>20</v>
      </c>
      <c r="F755" s="1" t="s">
        <v>24</v>
      </c>
      <c r="G755" s="4">
        <v>398.97</v>
      </c>
      <c r="H755" s="1">
        <v>7</v>
      </c>
      <c r="I755" s="1" t="str">
        <f>TEXT(SalesTable[[#This Row],[Order_Date]],"mmm")</f>
        <v>Jan</v>
      </c>
      <c r="J755" s="1">
        <f>YEAR(SalesTable[[#This Row],[Order_Date]])</f>
        <v>2024</v>
      </c>
      <c r="K755" s="4">
        <v>-52.31</v>
      </c>
      <c r="L755" s="9">
        <f>SalesTable[[#This Row],[Profit]]/SalesTable[[#This Row],[Sales]]</f>
        <v>-0.13111261498358273</v>
      </c>
    </row>
    <row r="756" spans="1:12" ht="14" x14ac:dyDescent="0.15">
      <c r="A756" s="1">
        <v>10755</v>
      </c>
      <c r="B756" s="2">
        <v>45316</v>
      </c>
      <c r="C756" s="1" t="s">
        <v>12</v>
      </c>
      <c r="D756" s="1" t="s">
        <v>14</v>
      </c>
      <c r="E756" s="1" t="s">
        <v>18</v>
      </c>
      <c r="F756" s="1" t="s">
        <v>25</v>
      </c>
      <c r="G756" s="4">
        <v>549.65</v>
      </c>
      <c r="H756" s="1">
        <v>9</v>
      </c>
      <c r="I756" s="1" t="str">
        <f>TEXT(SalesTable[[#This Row],[Order_Date]],"mmm")</f>
        <v>Jan</v>
      </c>
      <c r="J756" s="1">
        <f>YEAR(SalesTable[[#This Row],[Order_Date]])</f>
        <v>2024</v>
      </c>
      <c r="K756" s="4">
        <v>159.63999999999999</v>
      </c>
      <c r="L756" s="9">
        <f>SalesTable[[#This Row],[Profit]]/SalesTable[[#This Row],[Sales]]</f>
        <v>0.29043937050850538</v>
      </c>
    </row>
    <row r="757" spans="1:12" ht="14" x14ac:dyDescent="0.15">
      <c r="A757" s="1">
        <v>10756</v>
      </c>
      <c r="B757" s="2">
        <v>45317</v>
      </c>
      <c r="C757" s="1" t="s">
        <v>12</v>
      </c>
      <c r="D757" s="1" t="s">
        <v>15</v>
      </c>
      <c r="E757" s="1" t="s">
        <v>18</v>
      </c>
      <c r="F757" s="1" t="s">
        <v>23</v>
      </c>
      <c r="G757" s="4">
        <v>818.36</v>
      </c>
      <c r="H757" s="1">
        <v>5</v>
      </c>
      <c r="I757" s="1" t="str">
        <f>TEXT(SalesTable[[#This Row],[Order_Date]],"mmm")</f>
        <v>Jan</v>
      </c>
      <c r="J757" s="1">
        <f>YEAR(SalesTable[[#This Row],[Order_Date]])</f>
        <v>2024</v>
      </c>
      <c r="K757" s="4">
        <v>126.87</v>
      </c>
      <c r="L757" s="9">
        <f>SalesTable[[#This Row],[Profit]]/SalesTable[[#This Row],[Sales]]</f>
        <v>0.15502957133779754</v>
      </c>
    </row>
    <row r="758" spans="1:12" ht="14" x14ac:dyDescent="0.15">
      <c r="A758" s="1">
        <v>10757</v>
      </c>
      <c r="B758" s="2">
        <v>45318</v>
      </c>
      <c r="C758" s="1" t="s">
        <v>12</v>
      </c>
      <c r="D758" s="1" t="s">
        <v>13</v>
      </c>
      <c r="E758" s="1" t="s">
        <v>19</v>
      </c>
      <c r="F758" s="1" t="s">
        <v>23</v>
      </c>
      <c r="G758" s="4">
        <v>393.68</v>
      </c>
      <c r="H758" s="1">
        <v>5</v>
      </c>
      <c r="I758" s="1" t="str">
        <f>TEXT(SalesTable[[#This Row],[Order_Date]],"mmm")</f>
        <v>Jan</v>
      </c>
      <c r="J758" s="1">
        <f>YEAR(SalesTable[[#This Row],[Order_Date]])</f>
        <v>2024</v>
      </c>
      <c r="K758" s="4">
        <v>121.37</v>
      </c>
      <c r="L758" s="9">
        <f>SalesTable[[#This Row],[Profit]]/SalesTable[[#This Row],[Sales]]</f>
        <v>0.30829607803292014</v>
      </c>
    </row>
    <row r="759" spans="1:12" ht="14" x14ac:dyDescent="0.15">
      <c r="A759" s="1">
        <v>10758</v>
      </c>
      <c r="B759" s="2">
        <v>45319</v>
      </c>
      <c r="C759" s="1" t="s">
        <v>9</v>
      </c>
      <c r="D759" s="1" t="s">
        <v>15</v>
      </c>
      <c r="E759" s="1" t="s">
        <v>17</v>
      </c>
      <c r="F759" s="1" t="s">
        <v>24</v>
      </c>
      <c r="G759" s="4">
        <v>548.04</v>
      </c>
      <c r="H759" s="1">
        <v>4</v>
      </c>
      <c r="I759" s="1" t="str">
        <f>TEXT(SalesTable[[#This Row],[Order_Date]],"mmm")</f>
        <v>Jan</v>
      </c>
      <c r="J759" s="1">
        <f>YEAR(SalesTable[[#This Row],[Order_Date]])</f>
        <v>2024</v>
      </c>
      <c r="K759" s="4">
        <v>-87.26</v>
      </c>
      <c r="L759" s="9">
        <f>SalesTable[[#This Row],[Profit]]/SalesTable[[#This Row],[Sales]]</f>
        <v>-0.1592219546018539</v>
      </c>
    </row>
    <row r="760" spans="1:12" ht="14" x14ac:dyDescent="0.15">
      <c r="A760" s="1">
        <v>10759</v>
      </c>
      <c r="B760" s="2">
        <v>45320</v>
      </c>
      <c r="C760" s="1" t="s">
        <v>11</v>
      </c>
      <c r="D760" s="1" t="s">
        <v>14</v>
      </c>
      <c r="E760" s="1" t="s">
        <v>16</v>
      </c>
      <c r="F760" s="1" t="s">
        <v>24</v>
      </c>
      <c r="G760" s="4">
        <v>687.19</v>
      </c>
      <c r="H760" s="1">
        <v>6</v>
      </c>
      <c r="I760" s="1" t="str">
        <f>TEXT(SalesTable[[#This Row],[Order_Date]],"mmm")</f>
        <v>Jan</v>
      </c>
      <c r="J760" s="1">
        <f>YEAR(SalesTable[[#This Row],[Order_Date]])</f>
        <v>2024</v>
      </c>
      <c r="K760" s="4">
        <v>87.72</v>
      </c>
      <c r="L760" s="9">
        <f>SalesTable[[#This Row],[Profit]]/SalesTable[[#This Row],[Sales]]</f>
        <v>0.12765028594711797</v>
      </c>
    </row>
    <row r="761" spans="1:12" ht="14" x14ac:dyDescent="0.15">
      <c r="A761" s="1">
        <v>10760</v>
      </c>
      <c r="B761" s="2">
        <v>45321</v>
      </c>
      <c r="C761" s="1" t="s">
        <v>9</v>
      </c>
      <c r="D761" s="1" t="s">
        <v>14</v>
      </c>
      <c r="E761" s="1" t="s">
        <v>16</v>
      </c>
      <c r="F761" s="1" t="s">
        <v>25</v>
      </c>
      <c r="G761" s="4">
        <v>305.97000000000003</v>
      </c>
      <c r="H761" s="1">
        <v>2</v>
      </c>
      <c r="I761" s="1" t="str">
        <f>TEXT(SalesTable[[#This Row],[Order_Date]],"mmm")</f>
        <v>Jan</v>
      </c>
      <c r="J761" s="1">
        <f>YEAR(SalesTable[[#This Row],[Order_Date]])</f>
        <v>2024</v>
      </c>
      <c r="K761" s="4">
        <v>269.85000000000002</v>
      </c>
      <c r="L761" s="9">
        <f>SalesTable[[#This Row],[Profit]]/SalesTable[[#This Row],[Sales]]</f>
        <v>0.881949210706932</v>
      </c>
    </row>
    <row r="762" spans="1:12" ht="14" x14ac:dyDescent="0.15">
      <c r="A762" s="1">
        <v>10761</v>
      </c>
      <c r="B762" s="2">
        <v>45322</v>
      </c>
      <c r="C762" s="1" t="s">
        <v>10</v>
      </c>
      <c r="D762" s="1" t="s">
        <v>14</v>
      </c>
      <c r="E762" s="1" t="s">
        <v>17</v>
      </c>
      <c r="F762" s="1" t="s">
        <v>23</v>
      </c>
      <c r="G762" s="4">
        <v>313.64999999999998</v>
      </c>
      <c r="H762" s="1">
        <v>3</v>
      </c>
      <c r="I762" s="1" t="str">
        <f>TEXT(SalesTable[[#This Row],[Order_Date]],"mmm")</f>
        <v>Jan</v>
      </c>
      <c r="J762" s="1">
        <f>YEAR(SalesTable[[#This Row],[Order_Date]])</f>
        <v>2024</v>
      </c>
      <c r="K762" s="4">
        <v>59.04</v>
      </c>
      <c r="L762" s="9">
        <f>SalesTable[[#This Row],[Profit]]/SalesTable[[#This Row],[Sales]]</f>
        <v>0.18823529411764706</v>
      </c>
    </row>
    <row r="763" spans="1:12" ht="14" x14ac:dyDescent="0.15">
      <c r="A763" s="1">
        <v>10762</v>
      </c>
      <c r="B763" s="2">
        <v>45323</v>
      </c>
      <c r="C763" s="1" t="s">
        <v>12</v>
      </c>
      <c r="D763" s="1" t="s">
        <v>15</v>
      </c>
      <c r="E763" s="1" t="s">
        <v>16</v>
      </c>
      <c r="F763" s="1" t="s">
        <v>24</v>
      </c>
      <c r="G763" s="4">
        <v>936.74</v>
      </c>
      <c r="H763" s="1">
        <v>1</v>
      </c>
      <c r="I763" s="1" t="str">
        <f>TEXT(SalesTable[[#This Row],[Order_Date]],"mmm")</f>
        <v>Feb</v>
      </c>
      <c r="J763" s="1">
        <f>YEAR(SalesTable[[#This Row],[Order_Date]])</f>
        <v>2024</v>
      </c>
      <c r="K763" s="4">
        <v>149.97</v>
      </c>
      <c r="L763" s="9">
        <f>SalesTable[[#This Row],[Profit]]/SalesTable[[#This Row],[Sales]]</f>
        <v>0.16009778593846744</v>
      </c>
    </row>
    <row r="764" spans="1:12" ht="14" x14ac:dyDescent="0.15">
      <c r="A764" s="1">
        <v>10763</v>
      </c>
      <c r="B764" s="2">
        <v>45324</v>
      </c>
      <c r="C764" s="1" t="s">
        <v>11</v>
      </c>
      <c r="D764" s="1" t="s">
        <v>15</v>
      </c>
      <c r="E764" s="1" t="s">
        <v>19</v>
      </c>
      <c r="F764" s="1" t="s">
        <v>23</v>
      </c>
      <c r="G764" s="4">
        <v>737.36</v>
      </c>
      <c r="H764" s="1">
        <v>2</v>
      </c>
      <c r="I764" s="1" t="str">
        <f>TEXT(SalesTable[[#This Row],[Order_Date]],"mmm")</f>
        <v>Feb</v>
      </c>
      <c r="J764" s="1">
        <f>YEAR(SalesTable[[#This Row],[Order_Date]])</f>
        <v>2024</v>
      </c>
      <c r="K764" s="4">
        <v>211.93</v>
      </c>
      <c r="L764" s="9">
        <f>SalesTable[[#This Row],[Profit]]/SalesTable[[#This Row],[Sales]]</f>
        <v>0.28741727243137682</v>
      </c>
    </row>
    <row r="765" spans="1:12" ht="14" x14ac:dyDescent="0.15">
      <c r="A765" s="1">
        <v>10764</v>
      </c>
      <c r="B765" s="2">
        <v>45325</v>
      </c>
      <c r="C765" s="1" t="s">
        <v>12</v>
      </c>
      <c r="D765" s="1" t="s">
        <v>14</v>
      </c>
      <c r="E765" s="1" t="s">
        <v>19</v>
      </c>
      <c r="F765" s="1" t="s">
        <v>24</v>
      </c>
      <c r="G765" s="4">
        <v>598.33000000000004</v>
      </c>
      <c r="H765" s="1">
        <v>2</v>
      </c>
      <c r="I765" s="1" t="str">
        <f>TEXT(SalesTable[[#This Row],[Order_Date]],"mmm")</f>
        <v>Feb</v>
      </c>
      <c r="J765" s="1">
        <f>YEAR(SalesTable[[#This Row],[Order_Date]])</f>
        <v>2024</v>
      </c>
      <c r="K765" s="4">
        <v>213.57</v>
      </c>
      <c r="L765" s="9">
        <f>SalesTable[[#This Row],[Profit]]/SalesTable[[#This Row],[Sales]]</f>
        <v>0.35694349272140791</v>
      </c>
    </row>
    <row r="766" spans="1:12" ht="14" x14ac:dyDescent="0.15">
      <c r="A766" s="1">
        <v>10765</v>
      </c>
      <c r="B766" s="2">
        <v>45326</v>
      </c>
      <c r="C766" s="1" t="s">
        <v>11</v>
      </c>
      <c r="D766" s="1" t="s">
        <v>15</v>
      </c>
      <c r="E766" s="1" t="s">
        <v>17</v>
      </c>
      <c r="F766" s="1" t="s">
        <v>22</v>
      </c>
      <c r="G766" s="4">
        <v>665.33</v>
      </c>
      <c r="H766" s="1">
        <v>8</v>
      </c>
      <c r="I766" s="1" t="str">
        <f>TEXT(SalesTable[[#This Row],[Order_Date]],"mmm")</f>
        <v>Feb</v>
      </c>
      <c r="J766" s="1">
        <f>YEAR(SalesTable[[#This Row],[Order_Date]])</f>
        <v>2024</v>
      </c>
      <c r="K766" s="4">
        <v>107.71</v>
      </c>
      <c r="L766" s="9">
        <f>SalesTable[[#This Row],[Profit]]/SalesTable[[#This Row],[Sales]]</f>
        <v>0.16188958862519348</v>
      </c>
    </row>
    <row r="767" spans="1:12" ht="14" x14ac:dyDescent="0.15">
      <c r="A767" s="1">
        <v>10766</v>
      </c>
      <c r="B767" s="2">
        <v>45327</v>
      </c>
      <c r="C767" s="1" t="s">
        <v>9</v>
      </c>
      <c r="D767" s="1" t="s">
        <v>15</v>
      </c>
      <c r="E767" s="1" t="s">
        <v>16</v>
      </c>
      <c r="F767" s="1" t="s">
        <v>21</v>
      </c>
      <c r="G767" s="4">
        <v>77.83</v>
      </c>
      <c r="H767" s="1">
        <v>8</v>
      </c>
      <c r="I767" s="1" t="str">
        <f>TEXT(SalesTable[[#This Row],[Order_Date]],"mmm")</f>
        <v>Feb</v>
      </c>
      <c r="J767" s="1">
        <f>YEAR(SalesTable[[#This Row],[Order_Date]])</f>
        <v>2024</v>
      </c>
      <c r="K767" s="4">
        <v>243.18</v>
      </c>
      <c r="L767" s="9">
        <f>SalesTable[[#This Row],[Profit]]/SalesTable[[#This Row],[Sales]]</f>
        <v>3.1245021200051397</v>
      </c>
    </row>
    <row r="768" spans="1:12" ht="14" x14ac:dyDescent="0.15">
      <c r="A768" s="1">
        <v>10767</v>
      </c>
      <c r="B768" s="2">
        <v>45328</v>
      </c>
      <c r="C768" s="1" t="s">
        <v>11</v>
      </c>
      <c r="D768" s="1" t="s">
        <v>14</v>
      </c>
      <c r="E768" s="1" t="s">
        <v>19</v>
      </c>
      <c r="F768" s="1" t="s">
        <v>22</v>
      </c>
      <c r="G768" s="4">
        <v>637.20000000000005</v>
      </c>
      <c r="H768" s="1">
        <v>2</v>
      </c>
      <c r="I768" s="1" t="str">
        <f>TEXT(SalesTable[[#This Row],[Order_Date]],"mmm")</f>
        <v>Feb</v>
      </c>
      <c r="J768" s="1">
        <f>YEAR(SalesTable[[#This Row],[Order_Date]])</f>
        <v>2024</v>
      </c>
      <c r="K768" s="4">
        <v>56.55</v>
      </c>
      <c r="L768" s="9">
        <f>SalesTable[[#This Row],[Profit]]/SalesTable[[#This Row],[Sales]]</f>
        <v>8.8747645951035764E-2</v>
      </c>
    </row>
    <row r="769" spans="1:12" ht="14" x14ac:dyDescent="0.15">
      <c r="A769" s="1">
        <v>10768</v>
      </c>
      <c r="B769" s="2">
        <v>45329</v>
      </c>
      <c r="C769" s="1" t="s">
        <v>10</v>
      </c>
      <c r="D769" s="1" t="s">
        <v>15</v>
      </c>
      <c r="E769" s="1" t="s">
        <v>19</v>
      </c>
      <c r="F769" s="1" t="s">
        <v>24</v>
      </c>
      <c r="G769" s="4">
        <v>534.03</v>
      </c>
      <c r="H769" s="1">
        <v>6</v>
      </c>
      <c r="I769" s="1" t="str">
        <f>TEXT(SalesTable[[#This Row],[Order_Date]],"mmm")</f>
        <v>Feb</v>
      </c>
      <c r="J769" s="1">
        <f>YEAR(SalesTable[[#This Row],[Order_Date]])</f>
        <v>2024</v>
      </c>
      <c r="K769" s="4">
        <v>255.48</v>
      </c>
      <c r="L769" s="9">
        <f>SalesTable[[#This Row],[Profit]]/SalesTable[[#This Row],[Sales]]</f>
        <v>0.47840008988259086</v>
      </c>
    </row>
    <row r="770" spans="1:12" ht="14" x14ac:dyDescent="0.15">
      <c r="A770" s="1">
        <v>10769</v>
      </c>
      <c r="B770" s="2">
        <v>45330</v>
      </c>
      <c r="C770" s="1" t="s">
        <v>10</v>
      </c>
      <c r="D770" s="1" t="s">
        <v>13</v>
      </c>
      <c r="E770" s="1" t="s">
        <v>20</v>
      </c>
      <c r="F770" s="1" t="s">
        <v>21</v>
      </c>
      <c r="G770" s="4">
        <v>568.46</v>
      </c>
      <c r="H770" s="1">
        <v>5</v>
      </c>
      <c r="I770" s="1" t="str">
        <f>TEXT(SalesTable[[#This Row],[Order_Date]],"mmm")</f>
        <v>Feb</v>
      </c>
      <c r="J770" s="1">
        <f>YEAR(SalesTable[[#This Row],[Order_Date]])</f>
        <v>2024</v>
      </c>
      <c r="K770" s="4">
        <v>-3.91</v>
      </c>
      <c r="L770" s="9">
        <f>SalesTable[[#This Row],[Profit]]/SalesTable[[#This Row],[Sales]]</f>
        <v>-6.8782324174084366E-3</v>
      </c>
    </row>
    <row r="771" spans="1:12" ht="14" x14ac:dyDescent="0.15">
      <c r="A771" s="1">
        <v>10770</v>
      </c>
      <c r="B771" s="2">
        <v>45331</v>
      </c>
      <c r="C771" s="1" t="s">
        <v>11</v>
      </c>
      <c r="D771" s="1" t="s">
        <v>13</v>
      </c>
      <c r="E771" s="1" t="s">
        <v>20</v>
      </c>
      <c r="F771" s="1" t="s">
        <v>21</v>
      </c>
      <c r="G771" s="4">
        <v>391.45</v>
      </c>
      <c r="H771" s="1">
        <v>3</v>
      </c>
      <c r="I771" s="1" t="str">
        <f>TEXT(SalesTable[[#This Row],[Order_Date]],"mmm")</f>
        <v>Feb</v>
      </c>
      <c r="J771" s="1">
        <f>YEAR(SalesTable[[#This Row],[Order_Date]])</f>
        <v>2024</v>
      </c>
      <c r="K771" s="4">
        <v>12.09</v>
      </c>
      <c r="L771" s="9">
        <f>SalesTable[[#This Row],[Profit]]/SalesTable[[#This Row],[Sales]]</f>
        <v>3.0885170519862053E-2</v>
      </c>
    </row>
    <row r="772" spans="1:12" ht="14" x14ac:dyDescent="0.15">
      <c r="A772" s="1">
        <v>10771</v>
      </c>
      <c r="B772" s="2">
        <v>45332</v>
      </c>
      <c r="C772" s="1" t="s">
        <v>11</v>
      </c>
      <c r="D772" s="1" t="s">
        <v>13</v>
      </c>
      <c r="E772" s="1" t="s">
        <v>19</v>
      </c>
      <c r="F772" s="1" t="s">
        <v>24</v>
      </c>
      <c r="G772" s="4">
        <v>127.4</v>
      </c>
      <c r="H772" s="1">
        <v>5</v>
      </c>
      <c r="I772" s="1" t="str">
        <f>TEXT(SalesTable[[#This Row],[Order_Date]],"mmm")</f>
        <v>Feb</v>
      </c>
      <c r="J772" s="1">
        <f>YEAR(SalesTable[[#This Row],[Order_Date]])</f>
        <v>2024</v>
      </c>
      <c r="K772" s="4">
        <v>-78.75</v>
      </c>
      <c r="L772" s="9">
        <f>SalesTable[[#This Row],[Profit]]/SalesTable[[#This Row],[Sales]]</f>
        <v>-0.61813186813186816</v>
      </c>
    </row>
    <row r="773" spans="1:12" ht="14" x14ac:dyDescent="0.15">
      <c r="A773" s="1">
        <v>10772</v>
      </c>
      <c r="B773" s="2">
        <v>45333</v>
      </c>
      <c r="C773" s="1" t="s">
        <v>11</v>
      </c>
      <c r="D773" s="1" t="s">
        <v>13</v>
      </c>
      <c r="E773" s="1" t="s">
        <v>17</v>
      </c>
      <c r="F773" s="1" t="s">
        <v>24</v>
      </c>
      <c r="G773" s="4">
        <v>233.67</v>
      </c>
      <c r="H773" s="1">
        <v>5</v>
      </c>
      <c r="I773" s="1" t="str">
        <f>TEXT(SalesTable[[#This Row],[Order_Date]],"mmm")</f>
        <v>Feb</v>
      </c>
      <c r="J773" s="1">
        <f>YEAR(SalesTable[[#This Row],[Order_Date]])</f>
        <v>2024</v>
      </c>
      <c r="K773" s="4">
        <v>218.23</v>
      </c>
      <c r="L773" s="9">
        <f>SalesTable[[#This Row],[Profit]]/SalesTable[[#This Row],[Sales]]</f>
        <v>0.93392390978730688</v>
      </c>
    </row>
    <row r="774" spans="1:12" ht="14" x14ac:dyDescent="0.15">
      <c r="A774" s="1">
        <v>10773</v>
      </c>
      <c r="B774" s="2">
        <v>45334</v>
      </c>
      <c r="C774" s="1" t="s">
        <v>11</v>
      </c>
      <c r="D774" s="1" t="s">
        <v>14</v>
      </c>
      <c r="E774" s="1" t="s">
        <v>18</v>
      </c>
      <c r="F774" s="1" t="s">
        <v>23</v>
      </c>
      <c r="G774" s="4">
        <v>953.21</v>
      </c>
      <c r="H774" s="1">
        <v>5</v>
      </c>
      <c r="I774" s="1" t="str">
        <f>TEXT(SalesTable[[#This Row],[Order_Date]],"mmm")</f>
        <v>Feb</v>
      </c>
      <c r="J774" s="1">
        <f>YEAR(SalesTable[[#This Row],[Order_Date]])</f>
        <v>2024</v>
      </c>
      <c r="K774" s="4">
        <v>66.819999999999993</v>
      </c>
      <c r="L774" s="9">
        <f>SalesTable[[#This Row],[Profit]]/SalesTable[[#This Row],[Sales]]</f>
        <v>7.0099977969177815E-2</v>
      </c>
    </row>
    <row r="775" spans="1:12" ht="14" x14ac:dyDescent="0.15">
      <c r="A775" s="1">
        <v>10774</v>
      </c>
      <c r="B775" s="2">
        <v>45335</v>
      </c>
      <c r="C775" s="1" t="s">
        <v>10</v>
      </c>
      <c r="D775" s="1" t="s">
        <v>14</v>
      </c>
      <c r="E775" s="1" t="s">
        <v>18</v>
      </c>
      <c r="F775" s="1" t="s">
        <v>24</v>
      </c>
      <c r="G775" s="4">
        <v>438.26</v>
      </c>
      <c r="H775" s="1">
        <v>3</v>
      </c>
      <c r="I775" s="1" t="str">
        <f>TEXT(SalesTable[[#This Row],[Order_Date]],"mmm")</f>
        <v>Feb</v>
      </c>
      <c r="J775" s="1">
        <f>YEAR(SalesTable[[#This Row],[Order_Date]])</f>
        <v>2024</v>
      </c>
      <c r="K775" s="4">
        <v>-8.35</v>
      </c>
      <c r="L775" s="9">
        <f>SalesTable[[#This Row],[Profit]]/SalesTable[[#This Row],[Sales]]</f>
        <v>-1.9052617167891205E-2</v>
      </c>
    </row>
    <row r="776" spans="1:12" ht="14" x14ac:dyDescent="0.15">
      <c r="A776" s="1">
        <v>10775</v>
      </c>
      <c r="B776" s="2">
        <v>45336</v>
      </c>
      <c r="C776" s="1" t="s">
        <v>12</v>
      </c>
      <c r="D776" s="1" t="s">
        <v>14</v>
      </c>
      <c r="E776" s="1" t="s">
        <v>19</v>
      </c>
      <c r="F776" s="1" t="s">
        <v>25</v>
      </c>
      <c r="G776" s="4">
        <v>493.35</v>
      </c>
      <c r="H776" s="1">
        <v>3</v>
      </c>
      <c r="I776" s="1" t="str">
        <f>TEXT(SalesTable[[#This Row],[Order_Date]],"mmm")</f>
        <v>Feb</v>
      </c>
      <c r="J776" s="1">
        <f>YEAR(SalesTable[[#This Row],[Order_Date]])</f>
        <v>2024</v>
      </c>
      <c r="K776" s="4">
        <v>-7.28</v>
      </c>
      <c r="L776" s="9">
        <f>SalesTable[[#This Row],[Profit]]/SalesTable[[#This Row],[Sales]]</f>
        <v>-1.4756258234519103E-2</v>
      </c>
    </row>
    <row r="777" spans="1:12" ht="14" x14ac:dyDescent="0.15">
      <c r="A777" s="1">
        <v>10776</v>
      </c>
      <c r="B777" s="2">
        <v>45337</v>
      </c>
      <c r="C777" s="1" t="s">
        <v>11</v>
      </c>
      <c r="D777" s="1" t="s">
        <v>13</v>
      </c>
      <c r="E777" s="1" t="s">
        <v>19</v>
      </c>
      <c r="F777" s="1" t="s">
        <v>24</v>
      </c>
      <c r="G777" s="4">
        <v>100.07</v>
      </c>
      <c r="H777" s="1">
        <v>4</v>
      </c>
      <c r="I777" s="1" t="str">
        <f>TEXT(SalesTable[[#This Row],[Order_Date]],"mmm")</f>
        <v>Feb</v>
      </c>
      <c r="J777" s="1">
        <f>YEAR(SalesTable[[#This Row],[Order_Date]])</f>
        <v>2024</v>
      </c>
      <c r="K777" s="4">
        <v>260.56</v>
      </c>
      <c r="L777" s="9">
        <f>SalesTable[[#This Row],[Profit]]/SalesTable[[#This Row],[Sales]]</f>
        <v>2.6037773558509048</v>
      </c>
    </row>
    <row r="778" spans="1:12" ht="14" x14ac:dyDescent="0.15">
      <c r="A778" s="1">
        <v>10777</v>
      </c>
      <c r="B778" s="2">
        <v>45338</v>
      </c>
      <c r="C778" s="1" t="s">
        <v>11</v>
      </c>
      <c r="D778" s="1" t="s">
        <v>13</v>
      </c>
      <c r="E778" s="1" t="s">
        <v>19</v>
      </c>
      <c r="F778" s="1" t="s">
        <v>25</v>
      </c>
      <c r="G778" s="4">
        <v>85.69</v>
      </c>
      <c r="H778" s="1">
        <v>7</v>
      </c>
      <c r="I778" s="1" t="str">
        <f>TEXT(SalesTable[[#This Row],[Order_Date]],"mmm")</f>
        <v>Feb</v>
      </c>
      <c r="J778" s="1">
        <f>YEAR(SalesTable[[#This Row],[Order_Date]])</f>
        <v>2024</v>
      </c>
      <c r="K778" s="4">
        <v>233.57</v>
      </c>
      <c r="L778" s="9">
        <f>SalesTable[[#This Row],[Profit]]/SalesTable[[#This Row],[Sales]]</f>
        <v>2.7257556307620492</v>
      </c>
    </row>
    <row r="779" spans="1:12" ht="14" x14ac:dyDescent="0.15">
      <c r="A779" s="1">
        <v>10778</v>
      </c>
      <c r="B779" s="2">
        <v>45339</v>
      </c>
      <c r="C779" s="1" t="s">
        <v>10</v>
      </c>
      <c r="D779" s="1" t="s">
        <v>15</v>
      </c>
      <c r="E779" s="1" t="s">
        <v>17</v>
      </c>
      <c r="F779" s="1" t="s">
        <v>24</v>
      </c>
      <c r="G779" s="4">
        <v>731.32</v>
      </c>
      <c r="H779" s="1">
        <v>2</v>
      </c>
      <c r="I779" s="1" t="str">
        <f>TEXT(SalesTable[[#This Row],[Order_Date]],"mmm")</f>
        <v>Feb</v>
      </c>
      <c r="J779" s="1">
        <f>YEAR(SalesTable[[#This Row],[Order_Date]])</f>
        <v>2024</v>
      </c>
      <c r="K779" s="4">
        <v>121.41</v>
      </c>
      <c r="L779" s="9">
        <f>SalesTable[[#This Row],[Profit]]/SalesTable[[#This Row],[Sales]]</f>
        <v>0.1660148772083356</v>
      </c>
    </row>
    <row r="780" spans="1:12" ht="14" x14ac:dyDescent="0.15">
      <c r="A780" s="1">
        <v>10779</v>
      </c>
      <c r="B780" s="2">
        <v>45340</v>
      </c>
      <c r="C780" s="1" t="s">
        <v>10</v>
      </c>
      <c r="D780" s="1" t="s">
        <v>15</v>
      </c>
      <c r="E780" s="1" t="s">
        <v>20</v>
      </c>
      <c r="F780" s="1" t="s">
        <v>23</v>
      </c>
      <c r="G780" s="4">
        <v>561.19000000000005</v>
      </c>
      <c r="H780" s="1">
        <v>4</v>
      </c>
      <c r="I780" s="1" t="str">
        <f>TEXT(SalesTable[[#This Row],[Order_Date]],"mmm")</f>
        <v>Feb</v>
      </c>
      <c r="J780" s="1">
        <f>YEAR(SalesTable[[#This Row],[Order_Date]])</f>
        <v>2024</v>
      </c>
      <c r="K780" s="4">
        <v>146.44</v>
      </c>
      <c r="L780" s="9">
        <f>SalesTable[[#This Row],[Profit]]/SalesTable[[#This Row],[Sales]]</f>
        <v>0.26094549083198199</v>
      </c>
    </row>
    <row r="781" spans="1:12" ht="14" x14ac:dyDescent="0.15">
      <c r="A781" s="1">
        <v>10780</v>
      </c>
      <c r="B781" s="2">
        <v>45341</v>
      </c>
      <c r="C781" s="1" t="s">
        <v>9</v>
      </c>
      <c r="D781" s="1" t="s">
        <v>13</v>
      </c>
      <c r="E781" s="1" t="s">
        <v>19</v>
      </c>
      <c r="F781" s="1" t="s">
        <v>25</v>
      </c>
      <c r="G781" s="4">
        <v>533.27</v>
      </c>
      <c r="H781" s="1">
        <v>4</v>
      </c>
      <c r="I781" s="1" t="str">
        <f>TEXT(SalesTable[[#This Row],[Order_Date]],"mmm")</f>
        <v>Feb</v>
      </c>
      <c r="J781" s="1">
        <f>YEAR(SalesTable[[#This Row],[Order_Date]])</f>
        <v>2024</v>
      </c>
      <c r="K781" s="4">
        <v>89.73</v>
      </c>
      <c r="L781" s="9">
        <f>SalesTable[[#This Row],[Profit]]/SalesTable[[#This Row],[Sales]]</f>
        <v>0.16826373131809402</v>
      </c>
    </row>
    <row r="782" spans="1:12" ht="14" x14ac:dyDescent="0.15">
      <c r="A782" s="1">
        <v>10781</v>
      </c>
      <c r="B782" s="2">
        <v>45342</v>
      </c>
      <c r="C782" s="1" t="s">
        <v>11</v>
      </c>
      <c r="D782" s="1" t="s">
        <v>13</v>
      </c>
      <c r="E782" s="1" t="s">
        <v>19</v>
      </c>
      <c r="F782" s="1" t="s">
        <v>22</v>
      </c>
      <c r="G782" s="4">
        <v>280.97000000000003</v>
      </c>
      <c r="H782" s="1">
        <v>1</v>
      </c>
      <c r="I782" s="1" t="str">
        <f>TEXT(SalesTable[[#This Row],[Order_Date]],"mmm")</f>
        <v>Feb</v>
      </c>
      <c r="J782" s="1">
        <f>YEAR(SalesTable[[#This Row],[Order_Date]])</f>
        <v>2024</v>
      </c>
      <c r="K782" s="4">
        <v>56.67</v>
      </c>
      <c r="L782" s="9">
        <f>SalesTable[[#This Row],[Profit]]/SalesTable[[#This Row],[Sales]]</f>
        <v>0.20169413104601913</v>
      </c>
    </row>
    <row r="783" spans="1:12" ht="14" x14ac:dyDescent="0.15">
      <c r="A783" s="1">
        <v>10782</v>
      </c>
      <c r="B783" s="2">
        <v>45343</v>
      </c>
      <c r="C783" s="1" t="s">
        <v>9</v>
      </c>
      <c r="D783" s="1" t="s">
        <v>13</v>
      </c>
      <c r="E783" s="1" t="s">
        <v>16</v>
      </c>
      <c r="F783" s="1" t="s">
        <v>25</v>
      </c>
      <c r="G783" s="4">
        <v>757.51</v>
      </c>
      <c r="H783" s="1">
        <v>8</v>
      </c>
      <c r="I783" s="1" t="str">
        <f>TEXT(SalesTable[[#This Row],[Order_Date]],"mmm")</f>
        <v>Feb</v>
      </c>
      <c r="J783" s="1">
        <f>YEAR(SalesTable[[#This Row],[Order_Date]])</f>
        <v>2024</v>
      </c>
      <c r="K783" s="4">
        <v>266.19</v>
      </c>
      <c r="L783" s="9">
        <f>SalesTable[[#This Row],[Profit]]/SalesTable[[#This Row],[Sales]]</f>
        <v>0.35140130163298172</v>
      </c>
    </row>
    <row r="784" spans="1:12" ht="14" x14ac:dyDescent="0.15">
      <c r="A784" s="1">
        <v>10783</v>
      </c>
      <c r="B784" s="2">
        <v>45344</v>
      </c>
      <c r="C784" s="1" t="s">
        <v>10</v>
      </c>
      <c r="D784" s="1" t="s">
        <v>13</v>
      </c>
      <c r="E784" s="1" t="s">
        <v>17</v>
      </c>
      <c r="F784" s="1" t="s">
        <v>23</v>
      </c>
      <c r="G784" s="4">
        <v>209.82</v>
      </c>
      <c r="H784" s="1">
        <v>1</v>
      </c>
      <c r="I784" s="1" t="str">
        <f>TEXT(SalesTable[[#This Row],[Order_Date]],"mmm")</f>
        <v>Feb</v>
      </c>
      <c r="J784" s="1">
        <f>YEAR(SalesTable[[#This Row],[Order_Date]])</f>
        <v>2024</v>
      </c>
      <c r="K784" s="4">
        <v>-49.75</v>
      </c>
      <c r="L784" s="9">
        <f>SalesTable[[#This Row],[Profit]]/SalesTable[[#This Row],[Sales]]</f>
        <v>-0.23710799733104568</v>
      </c>
    </row>
    <row r="785" spans="1:12" ht="14" x14ac:dyDescent="0.15">
      <c r="A785" s="1">
        <v>10784</v>
      </c>
      <c r="B785" s="2">
        <v>45345</v>
      </c>
      <c r="C785" s="1" t="s">
        <v>10</v>
      </c>
      <c r="D785" s="1" t="s">
        <v>15</v>
      </c>
      <c r="E785" s="1" t="s">
        <v>19</v>
      </c>
      <c r="F785" s="1" t="s">
        <v>25</v>
      </c>
      <c r="G785" s="4">
        <v>230.44</v>
      </c>
      <c r="H785" s="1">
        <v>8</v>
      </c>
      <c r="I785" s="1" t="str">
        <f>TEXT(SalesTable[[#This Row],[Order_Date]],"mmm")</f>
        <v>Feb</v>
      </c>
      <c r="J785" s="1">
        <f>YEAR(SalesTable[[#This Row],[Order_Date]])</f>
        <v>2024</v>
      </c>
      <c r="K785" s="4">
        <v>67.38</v>
      </c>
      <c r="L785" s="9">
        <f>SalesTable[[#This Row],[Profit]]/SalesTable[[#This Row],[Sales]]</f>
        <v>0.29239715327200139</v>
      </c>
    </row>
    <row r="786" spans="1:12" ht="14" x14ac:dyDescent="0.15">
      <c r="A786" s="1">
        <v>10785</v>
      </c>
      <c r="B786" s="2">
        <v>45346</v>
      </c>
      <c r="C786" s="1" t="s">
        <v>12</v>
      </c>
      <c r="D786" s="1" t="s">
        <v>13</v>
      </c>
      <c r="E786" s="1" t="s">
        <v>16</v>
      </c>
      <c r="F786" s="1" t="s">
        <v>24</v>
      </c>
      <c r="G786" s="4">
        <v>487.68</v>
      </c>
      <c r="H786" s="1">
        <v>7</v>
      </c>
      <c r="I786" s="1" t="str">
        <f>TEXT(SalesTable[[#This Row],[Order_Date]],"mmm")</f>
        <v>Feb</v>
      </c>
      <c r="J786" s="1">
        <f>YEAR(SalesTable[[#This Row],[Order_Date]])</f>
        <v>2024</v>
      </c>
      <c r="K786" s="4">
        <v>37.82</v>
      </c>
      <c r="L786" s="9">
        <f>SalesTable[[#This Row],[Profit]]/SalesTable[[#This Row],[Sales]]</f>
        <v>7.7550853018372709E-2</v>
      </c>
    </row>
    <row r="787" spans="1:12" ht="14" x14ac:dyDescent="0.15">
      <c r="A787" s="1">
        <v>10786</v>
      </c>
      <c r="B787" s="2">
        <v>45347</v>
      </c>
      <c r="C787" s="1" t="s">
        <v>11</v>
      </c>
      <c r="D787" s="1" t="s">
        <v>15</v>
      </c>
      <c r="E787" s="1" t="s">
        <v>18</v>
      </c>
      <c r="F787" s="1" t="s">
        <v>24</v>
      </c>
      <c r="G787" s="4">
        <v>321.97000000000003</v>
      </c>
      <c r="H787" s="1">
        <v>9</v>
      </c>
      <c r="I787" s="1" t="str">
        <f>TEXT(SalesTable[[#This Row],[Order_Date]],"mmm")</f>
        <v>Feb</v>
      </c>
      <c r="J787" s="1">
        <f>YEAR(SalesTable[[#This Row],[Order_Date]])</f>
        <v>2024</v>
      </c>
      <c r="K787" s="4">
        <v>99.26</v>
      </c>
      <c r="L787" s="9">
        <f>SalesTable[[#This Row],[Profit]]/SalesTable[[#This Row],[Sales]]</f>
        <v>0.30828959219803087</v>
      </c>
    </row>
    <row r="788" spans="1:12" ht="14" x14ac:dyDescent="0.15">
      <c r="A788" s="1">
        <v>10787</v>
      </c>
      <c r="B788" s="2">
        <v>45348</v>
      </c>
      <c r="C788" s="1" t="s">
        <v>9</v>
      </c>
      <c r="D788" s="1" t="s">
        <v>13</v>
      </c>
      <c r="E788" s="1" t="s">
        <v>19</v>
      </c>
      <c r="F788" s="1" t="s">
        <v>23</v>
      </c>
      <c r="G788" s="4">
        <v>285.08999999999997</v>
      </c>
      <c r="H788" s="1">
        <v>8</v>
      </c>
      <c r="I788" s="1" t="str">
        <f>TEXT(SalesTable[[#This Row],[Order_Date]],"mmm")</f>
        <v>Feb</v>
      </c>
      <c r="J788" s="1">
        <f>YEAR(SalesTable[[#This Row],[Order_Date]])</f>
        <v>2024</v>
      </c>
      <c r="K788" s="4">
        <v>83.05</v>
      </c>
      <c r="L788" s="9">
        <f>SalesTable[[#This Row],[Profit]]/SalesTable[[#This Row],[Sales]]</f>
        <v>0.29131151566172087</v>
      </c>
    </row>
    <row r="789" spans="1:12" ht="14" x14ac:dyDescent="0.15">
      <c r="A789" s="1">
        <v>10788</v>
      </c>
      <c r="B789" s="2">
        <v>45349</v>
      </c>
      <c r="C789" s="1" t="s">
        <v>10</v>
      </c>
      <c r="D789" s="1" t="s">
        <v>13</v>
      </c>
      <c r="E789" s="1" t="s">
        <v>19</v>
      </c>
      <c r="F789" s="1" t="s">
        <v>21</v>
      </c>
      <c r="G789" s="4">
        <v>662.98</v>
      </c>
      <c r="H789" s="1">
        <v>5</v>
      </c>
      <c r="I789" s="1" t="str">
        <f>TEXT(SalesTable[[#This Row],[Order_Date]],"mmm")</f>
        <v>Feb</v>
      </c>
      <c r="J789" s="1">
        <f>YEAR(SalesTable[[#This Row],[Order_Date]])</f>
        <v>2024</v>
      </c>
      <c r="K789" s="4">
        <v>107.56</v>
      </c>
      <c r="L789" s="9">
        <f>SalesTable[[#This Row],[Profit]]/SalesTable[[#This Row],[Sales]]</f>
        <v>0.16223717155871972</v>
      </c>
    </row>
    <row r="790" spans="1:12" ht="14" x14ac:dyDescent="0.15">
      <c r="A790" s="1">
        <v>10789</v>
      </c>
      <c r="B790" s="2">
        <v>45350</v>
      </c>
      <c r="C790" s="1" t="s">
        <v>10</v>
      </c>
      <c r="D790" s="1" t="s">
        <v>13</v>
      </c>
      <c r="E790" s="1" t="s">
        <v>16</v>
      </c>
      <c r="F790" s="1" t="s">
        <v>24</v>
      </c>
      <c r="G790" s="4">
        <v>668.42</v>
      </c>
      <c r="H790" s="1">
        <v>8</v>
      </c>
      <c r="I790" s="1" t="str">
        <f>TEXT(SalesTable[[#This Row],[Order_Date]],"mmm")</f>
        <v>Feb</v>
      </c>
      <c r="J790" s="1">
        <f>YEAR(SalesTable[[#This Row],[Order_Date]])</f>
        <v>2024</v>
      </c>
      <c r="K790" s="4">
        <v>-44.03</v>
      </c>
      <c r="L790" s="9">
        <f>SalesTable[[#This Row],[Profit]]/SalesTable[[#This Row],[Sales]]</f>
        <v>-6.5871757278357923E-2</v>
      </c>
    </row>
    <row r="791" spans="1:12" ht="14" x14ac:dyDescent="0.15">
      <c r="A791" s="1">
        <v>10790</v>
      </c>
      <c r="B791" s="2">
        <v>45351</v>
      </c>
      <c r="C791" s="1" t="s">
        <v>9</v>
      </c>
      <c r="D791" s="1" t="s">
        <v>15</v>
      </c>
      <c r="E791" s="1" t="s">
        <v>17</v>
      </c>
      <c r="F791" s="1" t="s">
        <v>22</v>
      </c>
      <c r="G791" s="4">
        <v>833.29</v>
      </c>
      <c r="H791" s="1">
        <v>3</v>
      </c>
      <c r="I791" s="1" t="str">
        <f>TEXT(SalesTable[[#This Row],[Order_Date]],"mmm")</f>
        <v>Feb</v>
      </c>
      <c r="J791" s="1">
        <f>YEAR(SalesTable[[#This Row],[Order_Date]])</f>
        <v>2024</v>
      </c>
      <c r="K791" s="4">
        <v>105.26</v>
      </c>
      <c r="L791" s="9">
        <f>SalesTable[[#This Row],[Profit]]/SalesTable[[#This Row],[Sales]]</f>
        <v>0.12631856856556542</v>
      </c>
    </row>
    <row r="792" spans="1:12" ht="14" x14ac:dyDescent="0.15">
      <c r="A792" s="1">
        <v>10791</v>
      </c>
      <c r="B792" s="2">
        <v>45352</v>
      </c>
      <c r="C792" s="1" t="s">
        <v>12</v>
      </c>
      <c r="D792" s="1" t="s">
        <v>15</v>
      </c>
      <c r="E792" s="1" t="s">
        <v>19</v>
      </c>
      <c r="F792" s="1" t="s">
        <v>23</v>
      </c>
      <c r="G792" s="4">
        <v>446.82</v>
      </c>
      <c r="H792" s="1">
        <v>7</v>
      </c>
      <c r="I792" s="1" t="str">
        <f>TEXT(SalesTable[[#This Row],[Order_Date]],"mmm")</f>
        <v>Mar</v>
      </c>
      <c r="J792" s="1">
        <f>YEAR(SalesTable[[#This Row],[Order_Date]])</f>
        <v>2024</v>
      </c>
      <c r="K792" s="4">
        <v>-3.03</v>
      </c>
      <c r="L792" s="9">
        <f>SalesTable[[#This Row],[Profit]]/SalesTable[[#This Row],[Sales]]</f>
        <v>-6.7812541963206659E-3</v>
      </c>
    </row>
    <row r="793" spans="1:12" ht="14" x14ac:dyDescent="0.15">
      <c r="A793" s="1">
        <v>10792</v>
      </c>
      <c r="B793" s="2">
        <v>45353</v>
      </c>
      <c r="C793" s="1" t="s">
        <v>10</v>
      </c>
      <c r="D793" s="1" t="s">
        <v>14</v>
      </c>
      <c r="E793" s="1" t="s">
        <v>18</v>
      </c>
      <c r="F793" s="1" t="s">
        <v>25</v>
      </c>
      <c r="G793" s="4">
        <v>119.43</v>
      </c>
      <c r="H793" s="1">
        <v>4</v>
      </c>
      <c r="I793" s="1" t="str">
        <f>TEXT(SalesTable[[#This Row],[Order_Date]],"mmm")</f>
        <v>Mar</v>
      </c>
      <c r="J793" s="1">
        <f>YEAR(SalesTable[[#This Row],[Order_Date]])</f>
        <v>2024</v>
      </c>
      <c r="K793" s="4">
        <v>-26.27</v>
      </c>
      <c r="L793" s="9">
        <f>SalesTable[[#This Row],[Profit]]/SalesTable[[#This Row],[Sales]]</f>
        <v>-0.21996148371430962</v>
      </c>
    </row>
    <row r="794" spans="1:12" ht="14" x14ac:dyDescent="0.15">
      <c r="A794" s="1">
        <v>10793</v>
      </c>
      <c r="B794" s="2">
        <v>45354</v>
      </c>
      <c r="C794" s="1" t="s">
        <v>11</v>
      </c>
      <c r="D794" s="1" t="s">
        <v>13</v>
      </c>
      <c r="E794" s="1" t="s">
        <v>19</v>
      </c>
      <c r="F794" s="1" t="s">
        <v>25</v>
      </c>
      <c r="G794" s="4">
        <v>309.98</v>
      </c>
      <c r="H794" s="1">
        <v>5</v>
      </c>
      <c r="I794" s="1" t="str">
        <f>TEXT(SalesTable[[#This Row],[Order_Date]],"mmm")</f>
        <v>Mar</v>
      </c>
      <c r="J794" s="1">
        <f>YEAR(SalesTable[[#This Row],[Order_Date]])</f>
        <v>2024</v>
      </c>
      <c r="K794" s="4">
        <v>-74.069999999999993</v>
      </c>
      <c r="L794" s="9">
        <f>SalesTable[[#This Row],[Profit]]/SalesTable[[#This Row],[Sales]]</f>
        <v>-0.23895090005806824</v>
      </c>
    </row>
    <row r="795" spans="1:12" ht="14" x14ac:dyDescent="0.15">
      <c r="A795" s="1">
        <v>10794</v>
      </c>
      <c r="B795" s="2">
        <v>45355</v>
      </c>
      <c r="C795" s="1" t="s">
        <v>10</v>
      </c>
      <c r="D795" s="1" t="s">
        <v>14</v>
      </c>
      <c r="E795" s="1" t="s">
        <v>18</v>
      </c>
      <c r="F795" s="1" t="s">
        <v>22</v>
      </c>
      <c r="G795" s="4">
        <v>981.01</v>
      </c>
      <c r="H795" s="1">
        <v>9</v>
      </c>
      <c r="I795" s="1" t="str">
        <f>TEXT(SalesTable[[#This Row],[Order_Date]],"mmm")</f>
        <v>Mar</v>
      </c>
      <c r="J795" s="1">
        <f>YEAR(SalesTable[[#This Row],[Order_Date]])</f>
        <v>2024</v>
      </c>
      <c r="K795" s="4">
        <v>205.06</v>
      </c>
      <c r="L795" s="9">
        <f>SalesTable[[#This Row],[Profit]]/SalesTable[[#This Row],[Sales]]</f>
        <v>0.20902946962824029</v>
      </c>
    </row>
    <row r="796" spans="1:12" ht="14" x14ac:dyDescent="0.15">
      <c r="A796" s="1">
        <v>10795</v>
      </c>
      <c r="B796" s="2">
        <v>45356</v>
      </c>
      <c r="C796" s="1" t="s">
        <v>11</v>
      </c>
      <c r="D796" s="1" t="s">
        <v>14</v>
      </c>
      <c r="E796" s="1" t="s">
        <v>20</v>
      </c>
      <c r="F796" s="1" t="s">
        <v>24</v>
      </c>
      <c r="G796" s="4">
        <v>616.45000000000005</v>
      </c>
      <c r="H796" s="1">
        <v>7</v>
      </c>
      <c r="I796" s="1" t="str">
        <f>TEXT(SalesTable[[#This Row],[Order_Date]],"mmm")</f>
        <v>Mar</v>
      </c>
      <c r="J796" s="1">
        <f>YEAR(SalesTable[[#This Row],[Order_Date]])</f>
        <v>2024</v>
      </c>
      <c r="K796" s="4">
        <v>70.98</v>
      </c>
      <c r="L796" s="9">
        <f>SalesTable[[#This Row],[Profit]]/SalesTable[[#This Row],[Sales]]</f>
        <v>0.11514315840700787</v>
      </c>
    </row>
    <row r="797" spans="1:12" ht="14" x14ac:dyDescent="0.15">
      <c r="A797" s="1">
        <v>10796</v>
      </c>
      <c r="B797" s="2">
        <v>45357</v>
      </c>
      <c r="C797" s="1" t="s">
        <v>9</v>
      </c>
      <c r="D797" s="1" t="s">
        <v>15</v>
      </c>
      <c r="E797" s="1" t="s">
        <v>20</v>
      </c>
      <c r="F797" s="1" t="s">
        <v>23</v>
      </c>
      <c r="G797" s="4">
        <v>724.25</v>
      </c>
      <c r="H797" s="1">
        <v>4</v>
      </c>
      <c r="I797" s="1" t="str">
        <f>TEXT(SalesTable[[#This Row],[Order_Date]],"mmm")</f>
        <v>Mar</v>
      </c>
      <c r="J797" s="1">
        <f>YEAR(SalesTable[[#This Row],[Order_Date]])</f>
        <v>2024</v>
      </c>
      <c r="K797" s="4">
        <v>150.66</v>
      </c>
      <c r="L797" s="9">
        <f>SalesTable[[#This Row],[Profit]]/SalesTable[[#This Row],[Sales]]</f>
        <v>0.20802209181912323</v>
      </c>
    </row>
    <row r="798" spans="1:12" ht="14" x14ac:dyDescent="0.15">
      <c r="A798" s="1">
        <v>10797</v>
      </c>
      <c r="B798" s="2">
        <v>45358</v>
      </c>
      <c r="C798" s="1" t="s">
        <v>11</v>
      </c>
      <c r="D798" s="1" t="s">
        <v>15</v>
      </c>
      <c r="E798" s="1" t="s">
        <v>18</v>
      </c>
      <c r="F798" s="1" t="s">
        <v>22</v>
      </c>
      <c r="G798" s="4">
        <v>56.99</v>
      </c>
      <c r="H798" s="1">
        <v>6</v>
      </c>
      <c r="I798" s="1" t="str">
        <f>TEXT(SalesTable[[#This Row],[Order_Date]],"mmm")</f>
        <v>Mar</v>
      </c>
      <c r="J798" s="1">
        <f>YEAR(SalesTable[[#This Row],[Order_Date]])</f>
        <v>2024</v>
      </c>
      <c r="K798" s="4">
        <v>191.04</v>
      </c>
      <c r="L798" s="9">
        <f>SalesTable[[#This Row],[Profit]]/SalesTable[[#This Row],[Sales]]</f>
        <v>3.3521670468503242</v>
      </c>
    </row>
    <row r="799" spans="1:12" ht="14" x14ac:dyDescent="0.15">
      <c r="A799" s="1">
        <v>10798</v>
      </c>
      <c r="B799" s="2">
        <v>45359</v>
      </c>
      <c r="C799" s="1" t="s">
        <v>9</v>
      </c>
      <c r="D799" s="1" t="s">
        <v>14</v>
      </c>
      <c r="E799" s="1" t="s">
        <v>17</v>
      </c>
      <c r="F799" s="1" t="s">
        <v>24</v>
      </c>
      <c r="G799" s="4">
        <v>542.29999999999995</v>
      </c>
      <c r="H799" s="1">
        <v>7</v>
      </c>
      <c r="I799" s="1" t="str">
        <f>TEXT(SalesTable[[#This Row],[Order_Date]],"mmm")</f>
        <v>Mar</v>
      </c>
      <c r="J799" s="1">
        <f>YEAR(SalesTable[[#This Row],[Order_Date]])</f>
        <v>2024</v>
      </c>
      <c r="K799" s="4">
        <v>171.73</v>
      </c>
      <c r="L799" s="9">
        <f>SalesTable[[#This Row],[Profit]]/SalesTable[[#This Row],[Sales]]</f>
        <v>0.31666973999631204</v>
      </c>
    </row>
    <row r="800" spans="1:12" ht="14" x14ac:dyDescent="0.15">
      <c r="A800" s="1">
        <v>10799</v>
      </c>
      <c r="B800" s="2">
        <v>45360</v>
      </c>
      <c r="C800" s="1" t="s">
        <v>11</v>
      </c>
      <c r="D800" s="1" t="s">
        <v>13</v>
      </c>
      <c r="E800" s="1" t="s">
        <v>19</v>
      </c>
      <c r="F800" s="1" t="s">
        <v>23</v>
      </c>
      <c r="G800" s="4">
        <v>85.65</v>
      </c>
      <c r="H800" s="1">
        <v>9</v>
      </c>
      <c r="I800" s="1" t="str">
        <f>TEXT(SalesTable[[#This Row],[Order_Date]],"mmm")</f>
        <v>Mar</v>
      </c>
      <c r="J800" s="1">
        <f>YEAR(SalesTable[[#This Row],[Order_Date]])</f>
        <v>2024</v>
      </c>
      <c r="K800" s="4">
        <v>88.2</v>
      </c>
      <c r="L800" s="9">
        <f>SalesTable[[#This Row],[Profit]]/SalesTable[[#This Row],[Sales]]</f>
        <v>1.0297723292469352</v>
      </c>
    </row>
    <row r="801" spans="1:12" ht="14" x14ac:dyDescent="0.15">
      <c r="A801" s="1">
        <v>10800</v>
      </c>
      <c r="B801" s="2">
        <v>45361</v>
      </c>
      <c r="C801" s="1" t="s">
        <v>9</v>
      </c>
      <c r="D801" s="1" t="s">
        <v>15</v>
      </c>
      <c r="E801" s="1" t="s">
        <v>19</v>
      </c>
      <c r="F801" s="1" t="s">
        <v>25</v>
      </c>
      <c r="G801" s="4">
        <v>590.77</v>
      </c>
      <c r="H801" s="1">
        <v>4</v>
      </c>
      <c r="I801" s="1" t="str">
        <f>TEXT(SalesTable[[#This Row],[Order_Date]],"mmm")</f>
        <v>Mar</v>
      </c>
      <c r="J801" s="1">
        <f>YEAR(SalesTable[[#This Row],[Order_Date]])</f>
        <v>2024</v>
      </c>
      <c r="K801" s="4">
        <v>55.16</v>
      </c>
      <c r="L801" s="9">
        <f>SalesTable[[#This Row],[Profit]]/SalesTable[[#This Row],[Sales]]</f>
        <v>9.3369670091575402E-2</v>
      </c>
    </row>
    <row r="802" spans="1:12" ht="14" x14ac:dyDescent="0.15">
      <c r="A802" s="1">
        <v>10801</v>
      </c>
      <c r="B802" s="2">
        <v>45362</v>
      </c>
      <c r="C802" s="1" t="s">
        <v>11</v>
      </c>
      <c r="D802" s="1" t="s">
        <v>13</v>
      </c>
      <c r="E802" s="1" t="s">
        <v>20</v>
      </c>
      <c r="F802" s="1" t="s">
        <v>23</v>
      </c>
      <c r="G802" s="4">
        <v>924.73</v>
      </c>
      <c r="H802" s="1">
        <v>3</v>
      </c>
      <c r="I802" s="1" t="str">
        <f>TEXT(SalesTable[[#This Row],[Order_Date]],"mmm")</f>
        <v>Mar</v>
      </c>
      <c r="J802" s="1">
        <f>YEAR(SalesTable[[#This Row],[Order_Date]])</f>
        <v>2024</v>
      </c>
      <c r="K802" s="4">
        <v>50.38</v>
      </c>
      <c r="L802" s="9">
        <f>SalesTable[[#This Row],[Profit]]/SalesTable[[#This Row],[Sales]]</f>
        <v>5.4480767359121045E-2</v>
      </c>
    </row>
    <row r="803" spans="1:12" ht="14" x14ac:dyDescent="0.15">
      <c r="A803" s="1">
        <v>10802</v>
      </c>
      <c r="B803" s="2">
        <v>45363</v>
      </c>
      <c r="C803" s="1" t="s">
        <v>12</v>
      </c>
      <c r="D803" s="1" t="s">
        <v>13</v>
      </c>
      <c r="E803" s="1" t="s">
        <v>18</v>
      </c>
      <c r="F803" s="1" t="s">
        <v>21</v>
      </c>
      <c r="G803" s="4">
        <v>970</v>
      </c>
      <c r="H803" s="1">
        <v>8</v>
      </c>
      <c r="I803" s="1" t="str">
        <f>TEXT(SalesTable[[#This Row],[Order_Date]],"mmm")</f>
        <v>Mar</v>
      </c>
      <c r="J803" s="1">
        <f>YEAR(SalesTable[[#This Row],[Order_Date]])</f>
        <v>2024</v>
      </c>
      <c r="K803" s="4">
        <v>156.02000000000001</v>
      </c>
      <c r="L803" s="9">
        <f>SalesTable[[#This Row],[Profit]]/SalesTable[[#This Row],[Sales]]</f>
        <v>0.16084536082474227</v>
      </c>
    </row>
    <row r="804" spans="1:12" ht="14" x14ac:dyDescent="0.15">
      <c r="A804" s="1">
        <v>10803</v>
      </c>
      <c r="B804" s="2">
        <v>45364</v>
      </c>
      <c r="C804" s="1" t="s">
        <v>11</v>
      </c>
      <c r="D804" s="1" t="s">
        <v>14</v>
      </c>
      <c r="E804" s="1" t="s">
        <v>19</v>
      </c>
      <c r="F804" s="1" t="s">
        <v>23</v>
      </c>
      <c r="G804" s="4">
        <v>563.53</v>
      </c>
      <c r="H804" s="1">
        <v>1</v>
      </c>
      <c r="I804" s="1" t="str">
        <f>TEXT(SalesTable[[#This Row],[Order_Date]],"mmm")</f>
        <v>Mar</v>
      </c>
      <c r="J804" s="1">
        <f>YEAR(SalesTable[[#This Row],[Order_Date]])</f>
        <v>2024</v>
      </c>
      <c r="K804" s="4">
        <v>97.92</v>
      </c>
      <c r="L804" s="9">
        <f>SalesTable[[#This Row],[Profit]]/SalesTable[[#This Row],[Sales]]</f>
        <v>0.17376182279559207</v>
      </c>
    </row>
    <row r="805" spans="1:12" ht="14" x14ac:dyDescent="0.15">
      <c r="A805" s="1">
        <v>10804</v>
      </c>
      <c r="B805" s="2">
        <v>45365</v>
      </c>
      <c r="C805" s="1" t="s">
        <v>11</v>
      </c>
      <c r="D805" s="1" t="s">
        <v>14</v>
      </c>
      <c r="E805" s="1" t="s">
        <v>19</v>
      </c>
      <c r="F805" s="1" t="s">
        <v>21</v>
      </c>
      <c r="G805" s="4">
        <v>485.29</v>
      </c>
      <c r="H805" s="1">
        <v>9</v>
      </c>
      <c r="I805" s="1" t="str">
        <f>TEXT(SalesTable[[#This Row],[Order_Date]],"mmm")</f>
        <v>Mar</v>
      </c>
      <c r="J805" s="1">
        <f>YEAR(SalesTable[[#This Row],[Order_Date]])</f>
        <v>2024</v>
      </c>
      <c r="K805" s="4">
        <v>239.65</v>
      </c>
      <c r="L805" s="9">
        <f>SalesTable[[#This Row],[Profit]]/SalesTable[[#This Row],[Sales]]</f>
        <v>0.49382843248366953</v>
      </c>
    </row>
    <row r="806" spans="1:12" ht="14" x14ac:dyDescent="0.15">
      <c r="A806" s="1">
        <v>10805</v>
      </c>
      <c r="B806" s="2">
        <v>45366</v>
      </c>
      <c r="C806" s="1" t="s">
        <v>12</v>
      </c>
      <c r="D806" s="1" t="s">
        <v>14</v>
      </c>
      <c r="E806" s="1" t="s">
        <v>17</v>
      </c>
      <c r="F806" s="1" t="s">
        <v>23</v>
      </c>
      <c r="G806" s="4">
        <v>947.77</v>
      </c>
      <c r="H806" s="1">
        <v>1</v>
      </c>
      <c r="I806" s="1" t="str">
        <f>TEXT(SalesTable[[#This Row],[Order_Date]],"mmm")</f>
        <v>Mar</v>
      </c>
      <c r="J806" s="1">
        <f>YEAR(SalesTable[[#This Row],[Order_Date]])</f>
        <v>2024</v>
      </c>
      <c r="K806" s="4">
        <v>249.88</v>
      </c>
      <c r="L806" s="9">
        <f>SalesTable[[#This Row],[Profit]]/SalesTable[[#This Row],[Sales]]</f>
        <v>0.26365046372010087</v>
      </c>
    </row>
    <row r="807" spans="1:12" ht="14" x14ac:dyDescent="0.15">
      <c r="A807" s="1">
        <v>10806</v>
      </c>
      <c r="B807" s="2">
        <v>45367</v>
      </c>
      <c r="C807" s="1" t="s">
        <v>10</v>
      </c>
      <c r="D807" s="1" t="s">
        <v>14</v>
      </c>
      <c r="E807" s="1" t="s">
        <v>16</v>
      </c>
      <c r="F807" s="1" t="s">
        <v>21</v>
      </c>
      <c r="G807" s="4">
        <v>689.93</v>
      </c>
      <c r="H807" s="1">
        <v>2</v>
      </c>
      <c r="I807" s="1" t="str">
        <f>TEXT(SalesTable[[#This Row],[Order_Date]],"mmm")</f>
        <v>Mar</v>
      </c>
      <c r="J807" s="1">
        <f>YEAR(SalesTable[[#This Row],[Order_Date]])</f>
        <v>2024</v>
      </c>
      <c r="K807" s="4">
        <v>-31.78</v>
      </c>
      <c r="L807" s="9">
        <f>SalesTable[[#This Row],[Profit]]/SalesTable[[#This Row],[Sales]]</f>
        <v>-4.6062644036351519E-2</v>
      </c>
    </row>
    <row r="808" spans="1:12" ht="14" x14ac:dyDescent="0.15">
      <c r="A808" s="1">
        <v>10807</v>
      </c>
      <c r="B808" s="2">
        <v>45368</v>
      </c>
      <c r="C808" s="1" t="s">
        <v>10</v>
      </c>
      <c r="D808" s="1" t="s">
        <v>15</v>
      </c>
      <c r="E808" s="1" t="s">
        <v>20</v>
      </c>
      <c r="F808" s="1" t="s">
        <v>25</v>
      </c>
      <c r="G808" s="4">
        <v>111.65</v>
      </c>
      <c r="H808" s="1">
        <v>8</v>
      </c>
      <c r="I808" s="1" t="str">
        <f>TEXT(SalesTable[[#This Row],[Order_Date]],"mmm")</f>
        <v>Mar</v>
      </c>
      <c r="J808" s="1">
        <f>YEAR(SalesTable[[#This Row],[Order_Date]])</f>
        <v>2024</v>
      </c>
      <c r="K808" s="4">
        <v>-45.51</v>
      </c>
      <c r="L808" s="9">
        <f>SalesTable[[#This Row],[Profit]]/SalesTable[[#This Row],[Sales]]</f>
        <v>-0.4076130765785938</v>
      </c>
    </row>
    <row r="809" spans="1:12" ht="14" x14ac:dyDescent="0.15">
      <c r="A809" s="1">
        <v>10808</v>
      </c>
      <c r="B809" s="2">
        <v>45369</v>
      </c>
      <c r="C809" s="1" t="s">
        <v>11</v>
      </c>
      <c r="D809" s="1" t="s">
        <v>15</v>
      </c>
      <c r="E809" s="1" t="s">
        <v>20</v>
      </c>
      <c r="F809" s="1" t="s">
        <v>24</v>
      </c>
      <c r="G809" s="4">
        <v>492.44</v>
      </c>
      <c r="H809" s="1">
        <v>9</v>
      </c>
      <c r="I809" s="1" t="str">
        <f>TEXT(SalesTable[[#This Row],[Order_Date]],"mmm")</f>
        <v>Mar</v>
      </c>
      <c r="J809" s="1">
        <f>YEAR(SalesTable[[#This Row],[Order_Date]])</f>
        <v>2024</v>
      </c>
      <c r="K809" s="4">
        <v>152.16</v>
      </c>
      <c r="L809" s="9">
        <f>SalesTable[[#This Row],[Profit]]/SalesTable[[#This Row],[Sales]]</f>
        <v>0.30899195841117699</v>
      </c>
    </row>
    <row r="810" spans="1:12" ht="14" x14ac:dyDescent="0.15">
      <c r="A810" s="1">
        <v>10809</v>
      </c>
      <c r="B810" s="2">
        <v>45370</v>
      </c>
      <c r="C810" s="1" t="s">
        <v>12</v>
      </c>
      <c r="D810" s="1" t="s">
        <v>14</v>
      </c>
      <c r="E810" s="1" t="s">
        <v>16</v>
      </c>
      <c r="F810" s="1" t="s">
        <v>21</v>
      </c>
      <c r="G810" s="4">
        <v>278.23</v>
      </c>
      <c r="H810" s="1">
        <v>7</v>
      </c>
      <c r="I810" s="1" t="str">
        <f>TEXT(SalesTable[[#This Row],[Order_Date]],"mmm")</f>
        <v>Mar</v>
      </c>
      <c r="J810" s="1">
        <f>YEAR(SalesTable[[#This Row],[Order_Date]])</f>
        <v>2024</v>
      </c>
      <c r="K810" s="4">
        <v>20.49</v>
      </c>
      <c r="L810" s="9">
        <f>SalesTable[[#This Row],[Profit]]/SalesTable[[#This Row],[Sales]]</f>
        <v>7.3644107393163918E-2</v>
      </c>
    </row>
    <row r="811" spans="1:12" ht="14" x14ac:dyDescent="0.15">
      <c r="A811" s="1">
        <v>10810</v>
      </c>
      <c r="B811" s="2">
        <v>45371</v>
      </c>
      <c r="C811" s="1" t="s">
        <v>11</v>
      </c>
      <c r="D811" s="1" t="s">
        <v>15</v>
      </c>
      <c r="E811" s="1" t="s">
        <v>19</v>
      </c>
      <c r="F811" s="1" t="s">
        <v>21</v>
      </c>
      <c r="G811" s="4">
        <v>496.31</v>
      </c>
      <c r="H811" s="1">
        <v>3</v>
      </c>
      <c r="I811" s="1" t="str">
        <f>TEXT(SalesTable[[#This Row],[Order_Date]],"mmm")</f>
        <v>Mar</v>
      </c>
      <c r="J811" s="1">
        <f>YEAR(SalesTable[[#This Row],[Order_Date]])</f>
        <v>2024</v>
      </c>
      <c r="K811" s="4">
        <v>-92.57</v>
      </c>
      <c r="L811" s="9">
        <f>SalesTable[[#This Row],[Profit]]/SalesTable[[#This Row],[Sales]]</f>
        <v>-0.18651649170881102</v>
      </c>
    </row>
    <row r="812" spans="1:12" ht="14" x14ac:dyDescent="0.15">
      <c r="A812" s="1">
        <v>10811</v>
      </c>
      <c r="B812" s="2">
        <v>45372</v>
      </c>
      <c r="C812" s="1" t="s">
        <v>9</v>
      </c>
      <c r="D812" s="1" t="s">
        <v>14</v>
      </c>
      <c r="E812" s="1" t="s">
        <v>17</v>
      </c>
      <c r="F812" s="1" t="s">
        <v>25</v>
      </c>
      <c r="G812" s="4">
        <v>482.69</v>
      </c>
      <c r="H812" s="1">
        <v>7</v>
      </c>
      <c r="I812" s="1" t="str">
        <f>TEXT(SalesTable[[#This Row],[Order_Date]],"mmm")</f>
        <v>Mar</v>
      </c>
      <c r="J812" s="1">
        <f>YEAR(SalesTable[[#This Row],[Order_Date]])</f>
        <v>2024</v>
      </c>
      <c r="K812" s="4">
        <v>255.46</v>
      </c>
      <c r="L812" s="9">
        <f>SalesTable[[#This Row],[Profit]]/SalesTable[[#This Row],[Sales]]</f>
        <v>0.52924237087986081</v>
      </c>
    </row>
    <row r="813" spans="1:12" ht="14" x14ac:dyDescent="0.15">
      <c r="A813" s="1">
        <v>10812</v>
      </c>
      <c r="B813" s="2">
        <v>45373</v>
      </c>
      <c r="C813" s="1" t="s">
        <v>9</v>
      </c>
      <c r="D813" s="1" t="s">
        <v>13</v>
      </c>
      <c r="E813" s="1" t="s">
        <v>17</v>
      </c>
      <c r="F813" s="1" t="s">
        <v>21</v>
      </c>
      <c r="G813" s="4">
        <v>603.04</v>
      </c>
      <c r="H813" s="1">
        <v>6</v>
      </c>
      <c r="I813" s="1" t="str">
        <f>TEXT(SalesTable[[#This Row],[Order_Date]],"mmm")</f>
        <v>Mar</v>
      </c>
      <c r="J813" s="1">
        <f>YEAR(SalesTable[[#This Row],[Order_Date]])</f>
        <v>2024</v>
      </c>
      <c r="K813" s="4">
        <v>-9.24</v>
      </c>
      <c r="L813" s="9">
        <f>SalesTable[[#This Row],[Profit]]/SalesTable[[#This Row],[Sales]]</f>
        <v>-1.5322366675510747E-2</v>
      </c>
    </row>
    <row r="814" spans="1:12" ht="14" x14ac:dyDescent="0.15">
      <c r="A814" s="1">
        <v>10813</v>
      </c>
      <c r="B814" s="2">
        <v>45374</v>
      </c>
      <c r="C814" s="1" t="s">
        <v>11</v>
      </c>
      <c r="D814" s="1" t="s">
        <v>13</v>
      </c>
      <c r="E814" s="1" t="s">
        <v>20</v>
      </c>
      <c r="F814" s="1" t="s">
        <v>22</v>
      </c>
      <c r="G814" s="4">
        <v>388.93</v>
      </c>
      <c r="H814" s="1">
        <v>2</v>
      </c>
      <c r="I814" s="1" t="str">
        <f>TEXT(SalesTable[[#This Row],[Order_Date]],"mmm")</f>
        <v>Mar</v>
      </c>
      <c r="J814" s="1">
        <f>YEAR(SalesTable[[#This Row],[Order_Date]])</f>
        <v>2024</v>
      </c>
      <c r="K814" s="4">
        <v>271.70999999999998</v>
      </c>
      <c r="L814" s="9">
        <f>SalesTable[[#This Row],[Profit]]/SalesTable[[#This Row],[Sales]]</f>
        <v>0.69860900419098548</v>
      </c>
    </row>
    <row r="815" spans="1:12" ht="14" x14ac:dyDescent="0.15">
      <c r="A815" s="1">
        <v>10814</v>
      </c>
      <c r="B815" s="2">
        <v>45375</v>
      </c>
      <c r="C815" s="1" t="s">
        <v>10</v>
      </c>
      <c r="D815" s="1" t="s">
        <v>13</v>
      </c>
      <c r="E815" s="1" t="s">
        <v>17</v>
      </c>
      <c r="F815" s="1" t="s">
        <v>25</v>
      </c>
      <c r="G815" s="4">
        <v>206.06</v>
      </c>
      <c r="H815" s="1">
        <v>3</v>
      </c>
      <c r="I815" s="1" t="str">
        <f>TEXT(SalesTable[[#This Row],[Order_Date]],"mmm")</f>
        <v>Mar</v>
      </c>
      <c r="J815" s="1">
        <f>YEAR(SalesTable[[#This Row],[Order_Date]])</f>
        <v>2024</v>
      </c>
      <c r="K815" s="4">
        <v>186.97</v>
      </c>
      <c r="L815" s="9">
        <f>SalesTable[[#This Row],[Profit]]/SalesTable[[#This Row],[Sales]]</f>
        <v>0.90735708046200136</v>
      </c>
    </row>
    <row r="816" spans="1:12" ht="14" x14ac:dyDescent="0.15">
      <c r="A816" s="1">
        <v>10815</v>
      </c>
      <c r="B816" s="2">
        <v>45376</v>
      </c>
      <c r="C816" s="1" t="s">
        <v>10</v>
      </c>
      <c r="D816" s="1" t="s">
        <v>14</v>
      </c>
      <c r="E816" s="1" t="s">
        <v>16</v>
      </c>
      <c r="F816" s="1" t="s">
        <v>22</v>
      </c>
      <c r="G816" s="4">
        <v>528.53</v>
      </c>
      <c r="H816" s="1">
        <v>5</v>
      </c>
      <c r="I816" s="1" t="str">
        <f>TEXT(SalesTable[[#This Row],[Order_Date]],"mmm")</f>
        <v>Mar</v>
      </c>
      <c r="J816" s="1">
        <f>YEAR(SalesTable[[#This Row],[Order_Date]])</f>
        <v>2024</v>
      </c>
      <c r="K816" s="4">
        <v>205.06</v>
      </c>
      <c r="L816" s="9">
        <f>SalesTable[[#This Row],[Profit]]/SalesTable[[#This Row],[Sales]]</f>
        <v>0.38798176073259799</v>
      </c>
    </row>
    <row r="817" spans="1:12" ht="14" x14ac:dyDescent="0.15">
      <c r="A817" s="1">
        <v>10816</v>
      </c>
      <c r="B817" s="2">
        <v>45377</v>
      </c>
      <c r="C817" s="1" t="s">
        <v>11</v>
      </c>
      <c r="D817" s="1" t="s">
        <v>13</v>
      </c>
      <c r="E817" s="1" t="s">
        <v>19</v>
      </c>
      <c r="F817" s="1" t="s">
        <v>25</v>
      </c>
      <c r="G817" s="4">
        <v>838.69</v>
      </c>
      <c r="H817" s="1">
        <v>4</v>
      </c>
      <c r="I817" s="1" t="str">
        <f>TEXT(SalesTable[[#This Row],[Order_Date]],"mmm")</f>
        <v>Mar</v>
      </c>
      <c r="J817" s="1">
        <f>YEAR(SalesTable[[#This Row],[Order_Date]])</f>
        <v>2024</v>
      </c>
      <c r="K817" s="4">
        <v>-19.420000000000002</v>
      </c>
      <c r="L817" s="9">
        <f>SalesTable[[#This Row],[Profit]]/SalesTable[[#This Row],[Sales]]</f>
        <v>-2.3155158640260406E-2</v>
      </c>
    </row>
    <row r="818" spans="1:12" ht="14" x14ac:dyDescent="0.15">
      <c r="A818" s="1">
        <v>10817</v>
      </c>
      <c r="B818" s="2">
        <v>45378</v>
      </c>
      <c r="C818" s="1" t="s">
        <v>11</v>
      </c>
      <c r="D818" s="1" t="s">
        <v>15</v>
      </c>
      <c r="E818" s="1" t="s">
        <v>16</v>
      </c>
      <c r="F818" s="1" t="s">
        <v>21</v>
      </c>
      <c r="G818" s="4">
        <v>680.81</v>
      </c>
      <c r="H818" s="1">
        <v>2</v>
      </c>
      <c r="I818" s="1" t="str">
        <f>TEXT(SalesTable[[#This Row],[Order_Date]],"mmm")</f>
        <v>Mar</v>
      </c>
      <c r="J818" s="1">
        <f>YEAR(SalesTable[[#This Row],[Order_Date]])</f>
        <v>2024</v>
      </c>
      <c r="K818" s="4">
        <v>-6.32</v>
      </c>
      <c r="L818" s="9">
        <f>SalesTable[[#This Row],[Profit]]/SalesTable[[#This Row],[Sales]]</f>
        <v>-9.2830598845492877E-3</v>
      </c>
    </row>
    <row r="819" spans="1:12" ht="14" x14ac:dyDescent="0.15">
      <c r="A819" s="1">
        <v>10818</v>
      </c>
      <c r="B819" s="2">
        <v>45379</v>
      </c>
      <c r="C819" s="1" t="s">
        <v>9</v>
      </c>
      <c r="D819" s="1" t="s">
        <v>13</v>
      </c>
      <c r="E819" s="1" t="s">
        <v>18</v>
      </c>
      <c r="F819" s="1" t="s">
        <v>22</v>
      </c>
      <c r="G819" s="4">
        <v>371.45</v>
      </c>
      <c r="H819" s="1">
        <v>4</v>
      </c>
      <c r="I819" s="1" t="str">
        <f>TEXT(SalesTable[[#This Row],[Order_Date]],"mmm")</f>
        <v>Mar</v>
      </c>
      <c r="J819" s="1">
        <f>YEAR(SalesTable[[#This Row],[Order_Date]])</f>
        <v>2024</v>
      </c>
      <c r="K819" s="4">
        <v>108.51</v>
      </c>
      <c r="L819" s="9">
        <f>SalesTable[[#This Row],[Profit]]/SalesTable[[#This Row],[Sales]]</f>
        <v>0.29212545430071346</v>
      </c>
    </row>
    <row r="820" spans="1:12" ht="14" x14ac:dyDescent="0.15">
      <c r="A820" s="1">
        <v>10819</v>
      </c>
      <c r="B820" s="2">
        <v>45380</v>
      </c>
      <c r="C820" s="1" t="s">
        <v>10</v>
      </c>
      <c r="D820" s="1" t="s">
        <v>13</v>
      </c>
      <c r="E820" s="1" t="s">
        <v>20</v>
      </c>
      <c r="F820" s="1" t="s">
        <v>21</v>
      </c>
      <c r="G820" s="4">
        <v>938.75</v>
      </c>
      <c r="H820" s="1">
        <v>8</v>
      </c>
      <c r="I820" s="1" t="str">
        <f>TEXT(SalesTable[[#This Row],[Order_Date]],"mmm")</f>
        <v>Mar</v>
      </c>
      <c r="J820" s="1">
        <f>YEAR(SalesTable[[#This Row],[Order_Date]])</f>
        <v>2024</v>
      </c>
      <c r="K820" s="4">
        <v>-31.16</v>
      </c>
      <c r="L820" s="9">
        <f>SalesTable[[#This Row],[Profit]]/SalesTable[[#This Row],[Sales]]</f>
        <v>-3.3193075898801598E-2</v>
      </c>
    </row>
    <row r="821" spans="1:12" ht="14" x14ac:dyDescent="0.15">
      <c r="A821" s="1">
        <v>10820</v>
      </c>
      <c r="B821" s="2">
        <v>45381</v>
      </c>
      <c r="C821" s="1" t="s">
        <v>11</v>
      </c>
      <c r="D821" s="1" t="s">
        <v>13</v>
      </c>
      <c r="E821" s="1" t="s">
        <v>17</v>
      </c>
      <c r="F821" s="1" t="s">
        <v>25</v>
      </c>
      <c r="G821" s="4">
        <v>916.6</v>
      </c>
      <c r="H821" s="1">
        <v>5</v>
      </c>
      <c r="I821" s="1" t="str">
        <f>TEXT(SalesTable[[#This Row],[Order_Date]],"mmm")</f>
        <v>Mar</v>
      </c>
      <c r="J821" s="1">
        <f>YEAR(SalesTable[[#This Row],[Order_Date]])</f>
        <v>2024</v>
      </c>
      <c r="K821" s="4">
        <v>22.17</v>
      </c>
      <c r="L821" s="9">
        <f>SalesTable[[#This Row],[Profit]]/SalesTable[[#This Row],[Sales]]</f>
        <v>2.4187213615535677E-2</v>
      </c>
    </row>
    <row r="822" spans="1:12" ht="14" x14ac:dyDescent="0.15">
      <c r="A822" s="1">
        <v>10821</v>
      </c>
      <c r="B822" s="2">
        <v>45382</v>
      </c>
      <c r="C822" s="1" t="s">
        <v>9</v>
      </c>
      <c r="D822" s="1" t="s">
        <v>15</v>
      </c>
      <c r="E822" s="1" t="s">
        <v>18</v>
      </c>
      <c r="F822" s="1" t="s">
        <v>21</v>
      </c>
      <c r="G822" s="4">
        <v>248.88</v>
      </c>
      <c r="H822" s="1">
        <v>5</v>
      </c>
      <c r="I822" s="1" t="str">
        <f>TEXT(SalesTable[[#This Row],[Order_Date]],"mmm")</f>
        <v>Mar</v>
      </c>
      <c r="J822" s="1">
        <f>YEAR(SalesTable[[#This Row],[Order_Date]])</f>
        <v>2024</v>
      </c>
      <c r="K822" s="4">
        <v>28.58</v>
      </c>
      <c r="L822" s="9">
        <f>SalesTable[[#This Row],[Profit]]/SalesTable[[#This Row],[Sales]]</f>
        <v>0.11483445837351333</v>
      </c>
    </row>
    <row r="823" spans="1:12" ht="14" x14ac:dyDescent="0.15">
      <c r="A823" s="1">
        <v>10822</v>
      </c>
      <c r="B823" s="2">
        <v>45383</v>
      </c>
      <c r="C823" s="1" t="s">
        <v>10</v>
      </c>
      <c r="D823" s="1" t="s">
        <v>14</v>
      </c>
      <c r="E823" s="1" t="s">
        <v>17</v>
      </c>
      <c r="F823" s="1" t="s">
        <v>22</v>
      </c>
      <c r="G823" s="4">
        <v>87.45</v>
      </c>
      <c r="H823" s="1">
        <v>3</v>
      </c>
      <c r="I823" s="1" t="str">
        <f>TEXT(SalesTable[[#This Row],[Order_Date]],"mmm")</f>
        <v>Apr</v>
      </c>
      <c r="J823" s="1">
        <f>YEAR(SalesTable[[#This Row],[Order_Date]])</f>
        <v>2024</v>
      </c>
      <c r="K823" s="4">
        <v>-36.15</v>
      </c>
      <c r="L823" s="9">
        <f>SalesTable[[#This Row],[Profit]]/SalesTable[[#This Row],[Sales]]</f>
        <v>-0.41337907375643224</v>
      </c>
    </row>
    <row r="824" spans="1:12" ht="14" x14ac:dyDescent="0.15">
      <c r="A824" s="1">
        <v>10823</v>
      </c>
      <c r="B824" s="2">
        <v>45384</v>
      </c>
      <c r="C824" s="1" t="s">
        <v>12</v>
      </c>
      <c r="D824" s="1" t="s">
        <v>15</v>
      </c>
      <c r="E824" s="1" t="s">
        <v>19</v>
      </c>
      <c r="F824" s="1" t="s">
        <v>22</v>
      </c>
      <c r="G824" s="4">
        <v>754.24</v>
      </c>
      <c r="H824" s="1">
        <v>8</v>
      </c>
      <c r="I824" s="1" t="str">
        <f>TEXT(SalesTable[[#This Row],[Order_Date]],"mmm")</f>
        <v>Apr</v>
      </c>
      <c r="J824" s="1">
        <f>YEAR(SalesTable[[#This Row],[Order_Date]])</f>
        <v>2024</v>
      </c>
      <c r="K824" s="4">
        <v>-17.93</v>
      </c>
      <c r="L824" s="9">
        <f>SalesTable[[#This Row],[Profit]]/SalesTable[[#This Row],[Sales]]</f>
        <v>-2.3772274077216802E-2</v>
      </c>
    </row>
    <row r="825" spans="1:12" ht="14" x14ac:dyDescent="0.15">
      <c r="A825" s="1">
        <v>10824</v>
      </c>
      <c r="B825" s="2">
        <v>45385</v>
      </c>
      <c r="C825" s="1" t="s">
        <v>9</v>
      </c>
      <c r="D825" s="1" t="s">
        <v>14</v>
      </c>
      <c r="E825" s="1" t="s">
        <v>19</v>
      </c>
      <c r="F825" s="1" t="s">
        <v>21</v>
      </c>
      <c r="G825" s="4">
        <v>836.23</v>
      </c>
      <c r="H825" s="1">
        <v>6</v>
      </c>
      <c r="I825" s="1" t="str">
        <f>TEXT(SalesTable[[#This Row],[Order_Date]],"mmm")</f>
        <v>Apr</v>
      </c>
      <c r="J825" s="1">
        <f>YEAR(SalesTable[[#This Row],[Order_Date]])</f>
        <v>2024</v>
      </c>
      <c r="K825" s="4">
        <v>215.42</v>
      </c>
      <c r="L825" s="9">
        <f>SalesTable[[#This Row],[Profit]]/SalesTable[[#This Row],[Sales]]</f>
        <v>0.25760855267091587</v>
      </c>
    </row>
    <row r="826" spans="1:12" ht="14" x14ac:dyDescent="0.15">
      <c r="A826" s="1">
        <v>10825</v>
      </c>
      <c r="B826" s="2">
        <v>45386</v>
      </c>
      <c r="C826" s="1" t="s">
        <v>10</v>
      </c>
      <c r="D826" s="1" t="s">
        <v>14</v>
      </c>
      <c r="E826" s="1" t="s">
        <v>19</v>
      </c>
      <c r="F826" s="1" t="s">
        <v>23</v>
      </c>
      <c r="G826" s="4">
        <v>969.47</v>
      </c>
      <c r="H826" s="1">
        <v>2</v>
      </c>
      <c r="I826" s="1" t="str">
        <f>TEXT(SalesTable[[#This Row],[Order_Date]],"mmm")</f>
        <v>Apr</v>
      </c>
      <c r="J826" s="1">
        <f>YEAR(SalesTable[[#This Row],[Order_Date]])</f>
        <v>2024</v>
      </c>
      <c r="K826" s="4">
        <v>-33.119999999999997</v>
      </c>
      <c r="L826" s="9">
        <f>SalesTable[[#This Row],[Profit]]/SalesTable[[#This Row],[Sales]]</f>
        <v>-3.4162996276315923E-2</v>
      </c>
    </row>
    <row r="827" spans="1:12" ht="14" x14ac:dyDescent="0.15">
      <c r="A827" s="1">
        <v>10826</v>
      </c>
      <c r="B827" s="2">
        <v>45387</v>
      </c>
      <c r="C827" s="1" t="s">
        <v>10</v>
      </c>
      <c r="D827" s="1" t="s">
        <v>13</v>
      </c>
      <c r="E827" s="1" t="s">
        <v>17</v>
      </c>
      <c r="F827" s="1" t="s">
        <v>25</v>
      </c>
      <c r="G827" s="4">
        <v>895.34</v>
      </c>
      <c r="H827" s="1">
        <v>2</v>
      </c>
      <c r="I827" s="1" t="str">
        <f>TEXT(SalesTable[[#This Row],[Order_Date]],"mmm")</f>
        <v>Apr</v>
      </c>
      <c r="J827" s="1">
        <f>YEAR(SalesTable[[#This Row],[Order_Date]])</f>
        <v>2024</v>
      </c>
      <c r="K827" s="4">
        <v>-88.62</v>
      </c>
      <c r="L827" s="9">
        <f>SalesTable[[#This Row],[Profit]]/SalesTable[[#This Row],[Sales]]</f>
        <v>-9.8979158755333169E-2</v>
      </c>
    </row>
    <row r="828" spans="1:12" ht="14" x14ac:dyDescent="0.15">
      <c r="A828" s="1">
        <v>10827</v>
      </c>
      <c r="B828" s="2">
        <v>45388</v>
      </c>
      <c r="C828" s="1" t="s">
        <v>9</v>
      </c>
      <c r="D828" s="1" t="s">
        <v>14</v>
      </c>
      <c r="E828" s="1" t="s">
        <v>18</v>
      </c>
      <c r="F828" s="1" t="s">
        <v>25</v>
      </c>
      <c r="G828" s="4">
        <v>620.51</v>
      </c>
      <c r="H828" s="1">
        <v>9</v>
      </c>
      <c r="I828" s="1" t="str">
        <f>TEXT(SalesTable[[#This Row],[Order_Date]],"mmm")</f>
        <v>Apr</v>
      </c>
      <c r="J828" s="1">
        <f>YEAR(SalesTable[[#This Row],[Order_Date]])</f>
        <v>2024</v>
      </c>
      <c r="K828" s="4">
        <v>151.74</v>
      </c>
      <c r="L828" s="9">
        <f>SalesTable[[#This Row],[Profit]]/SalesTable[[#This Row],[Sales]]</f>
        <v>0.24454078097049203</v>
      </c>
    </row>
    <row r="829" spans="1:12" ht="14" x14ac:dyDescent="0.15">
      <c r="A829" s="1">
        <v>10828</v>
      </c>
      <c r="B829" s="2">
        <v>45389</v>
      </c>
      <c r="C829" s="1" t="s">
        <v>12</v>
      </c>
      <c r="D829" s="1" t="s">
        <v>15</v>
      </c>
      <c r="E829" s="1" t="s">
        <v>19</v>
      </c>
      <c r="F829" s="1" t="s">
        <v>21</v>
      </c>
      <c r="G829" s="4">
        <v>553.54999999999995</v>
      </c>
      <c r="H829" s="1">
        <v>7</v>
      </c>
      <c r="I829" s="1" t="str">
        <f>TEXT(SalesTable[[#This Row],[Order_Date]],"mmm")</f>
        <v>Apr</v>
      </c>
      <c r="J829" s="1">
        <f>YEAR(SalesTable[[#This Row],[Order_Date]])</f>
        <v>2024</v>
      </c>
      <c r="K829" s="4">
        <v>290.39</v>
      </c>
      <c r="L829" s="9">
        <f>SalesTable[[#This Row],[Profit]]/SalesTable[[#This Row],[Sales]]</f>
        <v>0.52459579080480534</v>
      </c>
    </row>
    <row r="830" spans="1:12" ht="14" x14ac:dyDescent="0.15">
      <c r="A830" s="1">
        <v>10829</v>
      </c>
      <c r="B830" s="2">
        <v>45390</v>
      </c>
      <c r="C830" s="1" t="s">
        <v>9</v>
      </c>
      <c r="D830" s="1" t="s">
        <v>15</v>
      </c>
      <c r="E830" s="1" t="s">
        <v>18</v>
      </c>
      <c r="F830" s="1" t="s">
        <v>23</v>
      </c>
      <c r="G830" s="4">
        <v>76.45</v>
      </c>
      <c r="H830" s="1">
        <v>9</v>
      </c>
      <c r="I830" s="1" t="str">
        <f>TEXT(SalesTable[[#This Row],[Order_Date]],"mmm")</f>
        <v>Apr</v>
      </c>
      <c r="J830" s="1">
        <f>YEAR(SalesTable[[#This Row],[Order_Date]])</f>
        <v>2024</v>
      </c>
      <c r="K830" s="4">
        <v>32.49</v>
      </c>
      <c r="L830" s="9">
        <f>SalesTable[[#This Row],[Profit]]/SalesTable[[#This Row],[Sales]]</f>
        <v>0.42498364944408112</v>
      </c>
    </row>
    <row r="831" spans="1:12" ht="14" x14ac:dyDescent="0.15">
      <c r="A831" s="1">
        <v>10830</v>
      </c>
      <c r="B831" s="2">
        <v>45391</v>
      </c>
      <c r="C831" s="1" t="s">
        <v>10</v>
      </c>
      <c r="D831" s="1" t="s">
        <v>14</v>
      </c>
      <c r="E831" s="1" t="s">
        <v>17</v>
      </c>
      <c r="F831" s="1" t="s">
        <v>22</v>
      </c>
      <c r="G831" s="4">
        <v>284.32</v>
      </c>
      <c r="H831" s="1">
        <v>6</v>
      </c>
      <c r="I831" s="1" t="str">
        <f>TEXT(SalesTable[[#This Row],[Order_Date]],"mmm")</f>
        <v>Apr</v>
      </c>
      <c r="J831" s="1">
        <f>YEAR(SalesTable[[#This Row],[Order_Date]])</f>
        <v>2024</v>
      </c>
      <c r="K831" s="4">
        <v>-52.54</v>
      </c>
      <c r="L831" s="9">
        <f>SalesTable[[#This Row],[Profit]]/SalesTable[[#This Row],[Sales]]</f>
        <v>-0.18479178390545864</v>
      </c>
    </row>
    <row r="832" spans="1:12" ht="14" x14ac:dyDescent="0.15">
      <c r="A832" s="1">
        <v>10831</v>
      </c>
      <c r="B832" s="2">
        <v>45392</v>
      </c>
      <c r="C832" s="1" t="s">
        <v>11</v>
      </c>
      <c r="D832" s="1" t="s">
        <v>13</v>
      </c>
      <c r="E832" s="1" t="s">
        <v>18</v>
      </c>
      <c r="F832" s="1" t="s">
        <v>24</v>
      </c>
      <c r="G832" s="4">
        <v>486.63</v>
      </c>
      <c r="H832" s="1">
        <v>5</v>
      </c>
      <c r="I832" s="1" t="str">
        <f>TEXT(SalesTable[[#This Row],[Order_Date]],"mmm")</f>
        <v>Apr</v>
      </c>
      <c r="J832" s="1">
        <f>YEAR(SalesTable[[#This Row],[Order_Date]])</f>
        <v>2024</v>
      </c>
      <c r="K832" s="4">
        <v>128.15</v>
      </c>
      <c r="L832" s="9">
        <f>SalesTable[[#This Row],[Profit]]/SalesTable[[#This Row],[Sales]]</f>
        <v>0.2633417586256499</v>
      </c>
    </row>
    <row r="833" spans="1:12" ht="14" x14ac:dyDescent="0.15">
      <c r="A833" s="1">
        <v>10832</v>
      </c>
      <c r="B833" s="2">
        <v>45393</v>
      </c>
      <c r="C833" s="1" t="s">
        <v>11</v>
      </c>
      <c r="D833" s="1" t="s">
        <v>13</v>
      </c>
      <c r="E833" s="1" t="s">
        <v>17</v>
      </c>
      <c r="F833" s="1" t="s">
        <v>24</v>
      </c>
      <c r="G833" s="4">
        <v>647.08000000000004</v>
      </c>
      <c r="H833" s="1">
        <v>1</v>
      </c>
      <c r="I833" s="1" t="str">
        <f>TEXT(SalesTable[[#This Row],[Order_Date]],"mmm")</f>
        <v>Apr</v>
      </c>
      <c r="J833" s="1">
        <f>YEAR(SalesTable[[#This Row],[Order_Date]])</f>
        <v>2024</v>
      </c>
      <c r="K833" s="4">
        <v>262.54000000000002</v>
      </c>
      <c r="L833" s="9">
        <f>SalesTable[[#This Row],[Profit]]/SalesTable[[#This Row],[Sales]]</f>
        <v>0.40573035791555911</v>
      </c>
    </row>
    <row r="834" spans="1:12" ht="14" x14ac:dyDescent="0.15">
      <c r="A834" s="1">
        <v>10833</v>
      </c>
      <c r="B834" s="2">
        <v>45394</v>
      </c>
      <c r="C834" s="1" t="s">
        <v>9</v>
      </c>
      <c r="D834" s="1" t="s">
        <v>15</v>
      </c>
      <c r="E834" s="1" t="s">
        <v>17</v>
      </c>
      <c r="F834" s="1" t="s">
        <v>21</v>
      </c>
      <c r="G834" s="4">
        <v>579.39</v>
      </c>
      <c r="H834" s="1">
        <v>6</v>
      </c>
      <c r="I834" s="1" t="str">
        <f>TEXT(SalesTable[[#This Row],[Order_Date]],"mmm")</f>
        <v>Apr</v>
      </c>
      <c r="J834" s="1">
        <f>YEAR(SalesTable[[#This Row],[Order_Date]])</f>
        <v>2024</v>
      </c>
      <c r="K834" s="4">
        <v>213.62</v>
      </c>
      <c r="L834" s="9">
        <f>SalesTable[[#This Row],[Profit]]/SalesTable[[#This Row],[Sales]]</f>
        <v>0.3686981135331987</v>
      </c>
    </row>
    <row r="835" spans="1:12" ht="14" x14ac:dyDescent="0.15">
      <c r="A835" s="1">
        <v>10834</v>
      </c>
      <c r="B835" s="2">
        <v>45395</v>
      </c>
      <c r="C835" s="1" t="s">
        <v>10</v>
      </c>
      <c r="D835" s="1" t="s">
        <v>13</v>
      </c>
      <c r="E835" s="1" t="s">
        <v>20</v>
      </c>
      <c r="F835" s="1" t="s">
        <v>23</v>
      </c>
      <c r="G835" s="4">
        <v>755.5</v>
      </c>
      <c r="H835" s="1">
        <v>6</v>
      </c>
      <c r="I835" s="1" t="str">
        <f>TEXT(SalesTable[[#This Row],[Order_Date]],"mmm")</f>
        <v>Apr</v>
      </c>
      <c r="J835" s="1">
        <f>YEAR(SalesTable[[#This Row],[Order_Date]])</f>
        <v>2024</v>
      </c>
      <c r="K835" s="4">
        <v>149.01</v>
      </c>
      <c r="L835" s="9">
        <f>SalesTable[[#This Row],[Profit]]/SalesTable[[#This Row],[Sales]]</f>
        <v>0.1972336201191264</v>
      </c>
    </row>
    <row r="836" spans="1:12" ht="14" x14ac:dyDescent="0.15">
      <c r="A836" s="1">
        <v>10835</v>
      </c>
      <c r="B836" s="2">
        <v>45396</v>
      </c>
      <c r="C836" s="1" t="s">
        <v>11</v>
      </c>
      <c r="D836" s="1" t="s">
        <v>14</v>
      </c>
      <c r="E836" s="1" t="s">
        <v>17</v>
      </c>
      <c r="F836" s="1" t="s">
        <v>23</v>
      </c>
      <c r="G836" s="4">
        <v>315.77999999999997</v>
      </c>
      <c r="H836" s="1">
        <v>3</v>
      </c>
      <c r="I836" s="1" t="str">
        <f>TEXT(SalesTable[[#This Row],[Order_Date]],"mmm")</f>
        <v>Apr</v>
      </c>
      <c r="J836" s="1">
        <f>YEAR(SalesTable[[#This Row],[Order_Date]])</f>
        <v>2024</v>
      </c>
      <c r="K836" s="4">
        <v>26.02</v>
      </c>
      <c r="L836" s="9">
        <f>SalesTable[[#This Row],[Profit]]/SalesTable[[#This Row],[Sales]]</f>
        <v>8.2399138640825903E-2</v>
      </c>
    </row>
    <row r="837" spans="1:12" ht="14" x14ac:dyDescent="0.15">
      <c r="A837" s="1">
        <v>10836</v>
      </c>
      <c r="B837" s="2">
        <v>45397</v>
      </c>
      <c r="C837" s="1" t="s">
        <v>10</v>
      </c>
      <c r="D837" s="1" t="s">
        <v>14</v>
      </c>
      <c r="E837" s="1" t="s">
        <v>17</v>
      </c>
      <c r="F837" s="1" t="s">
        <v>25</v>
      </c>
      <c r="G837" s="4">
        <v>586.70000000000005</v>
      </c>
      <c r="H837" s="1">
        <v>3</v>
      </c>
      <c r="I837" s="1" t="str">
        <f>TEXT(SalesTable[[#This Row],[Order_Date]],"mmm")</f>
        <v>Apr</v>
      </c>
      <c r="J837" s="1">
        <f>YEAR(SalesTable[[#This Row],[Order_Date]])</f>
        <v>2024</v>
      </c>
      <c r="K837" s="4">
        <v>116.75</v>
      </c>
      <c r="L837" s="9">
        <f>SalesTable[[#This Row],[Profit]]/SalesTable[[#This Row],[Sales]]</f>
        <v>0.19899437531958411</v>
      </c>
    </row>
    <row r="838" spans="1:12" ht="14" x14ac:dyDescent="0.15">
      <c r="A838" s="1">
        <v>10837</v>
      </c>
      <c r="B838" s="2">
        <v>45398</v>
      </c>
      <c r="C838" s="1" t="s">
        <v>9</v>
      </c>
      <c r="D838" s="1" t="s">
        <v>15</v>
      </c>
      <c r="E838" s="1" t="s">
        <v>16</v>
      </c>
      <c r="F838" s="1" t="s">
        <v>22</v>
      </c>
      <c r="G838" s="4">
        <v>133.74</v>
      </c>
      <c r="H838" s="1">
        <v>3</v>
      </c>
      <c r="I838" s="1" t="str">
        <f>TEXT(SalesTable[[#This Row],[Order_Date]],"mmm")</f>
        <v>Apr</v>
      </c>
      <c r="J838" s="1">
        <f>YEAR(SalesTable[[#This Row],[Order_Date]])</f>
        <v>2024</v>
      </c>
      <c r="K838" s="4">
        <v>-63.5</v>
      </c>
      <c r="L838" s="9">
        <f>SalesTable[[#This Row],[Profit]]/SalesTable[[#This Row],[Sales]]</f>
        <v>-0.47480185434424999</v>
      </c>
    </row>
    <row r="839" spans="1:12" ht="14" x14ac:dyDescent="0.15">
      <c r="A839" s="1">
        <v>10838</v>
      </c>
      <c r="B839" s="2">
        <v>45399</v>
      </c>
      <c r="C839" s="1" t="s">
        <v>11</v>
      </c>
      <c r="D839" s="1" t="s">
        <v>14</v>
      </c>
      <c r="E839" s="1" t="s">
        <v>19</v>
      </c>
      <c r="F839" s="1" t="s">
        <v>23</v>
      </c>
      <c r="G839" s="4">
        <v>442.98</v>
      </c>
      <c r="H839" s="1">
        <v>3</v>
      </c>
      <c r="I839" s="1" t="str">
        <f>TEXT(SalesTable[[#This Row],[Order_Date]],"mmm")</f>
        <v>Apr</v>
      </c>
      <c r="J839" s="1">
        <f>YEAR(SalesTable[[#This Row],[Order_Date]])</f>
        <v>2024</v>
      </c>
      <c r="K839" s="4">
        <v>171.58</v>
      </c>
      <c r="L839" s="9">
        <f>SalesTable[[#This Row],[Profit]]/SalesTable[[#This Row],[Sales]]</f>
        <v>0.387331256490135</v>
      </c>
    </row>
    <row r="840" spans="1:12" ht="14" x14ac:dyDescent="0.15">
      <c r="A840" s="1">
        <v>10839</v>
      </c>
      <c r="B840" s="2">
        <v>45400</v>
      </c>
      <c r="C840" s="1" t="s">
        <v>10</v>
      </c>
      <c r="D840" s="1" t="s">
        <v>15</v>
      </c>
      <c r="E840" s="1" t="s">
        <v>20</v>
      </c>
      <c r="F840" s="1" t="s">
        <v>24</v>
      </c>
      <c r="G840" s="4">
        <v>762.65</v>
      </c>
      <c r="H840" s="1">
        <v>7</v>
      </c>
      <c r="I840" s="1" t="str">
        <f>TEXT(SalesTable[[#This Row],[Order_Date]],"mmm")</f>
        <v>Apr</v>
      </c>
      <c r="J840" s="1">
        <f>YEAR(SalesTable[[#This Row],[Order_Date]])</f>
        <v>2024</v>
      </c>
      <c r="K840" s="4">
        <v>190.04</v>
      </c>
      <c r="L840" s="9">
        <f>SalesTable[[#This Row],[Profit]]/SalesTable[[#This Row],[Sales]]</f>
        <v>0.24918376712777815</v>
      </c>
    </row>
    <row r="841" spans="1:12" ht="14" x14ac:dyDescent="0.15">
      <c r="A841" s="1">
        <v>10840</v>
      </c>
      <c r="B841" s="2">
        <v>45401</v>
      </c>
      <c r="C841" s="1" t="s">
        <v>11</v>
      </c>
      <c r="D841" s="1" t="s">
        <v>14</v>
      </c>
      <c r="E841" s="1" t="s">
        <v>20</v>
      </c>
      <c r="F841" s="1" t="s">
        <v>22</v>
      </c>
      <c r="G841" s="4">
        <v>708.73</v>
      </c>
      <c r="H841" s="1">
        <v>2</v>
      </c>
      <c r="I841" s="1" t="str">
        <f>TEXT(SalesTable[[#This Row],[Order_Date]],"mmm")</f>
        <v>Apr</v>
      </c>
      <c r="J841" s="1">
        <f>YEAR(SalesTable[[#This Row],[Order_Date]])</f>
        <v>2024</v>
      </c>
      <c r="K841" s="4">
        <v>286.01</v>
      </c>
      <c r="L841" s="9">
        <f>SalesTable[[#This Row],[Profit]]/SalesTable[[#This Row],[Sales]]</f>
        <v>0.40355283394240399</v>
      </c>
    </row>
    <row r="842" spans="1:12" ht="14" x14ac:dyDescent="0.15">
      <c r="A842" s="1">
        <v>10841</v>
      </c>
      <c r="B842" s="2">
        <v>45402</v>
      </c>
      <c r="C842" s="1" t="s">
        <v>9</v>
      </c>
      <c r="D842" s="1" t="s">
        <v>15</v>
      </c>
      <c r="E842" s="1" t="s">
        <v>20</v>
      </c>
      <c r="F842" s="1" t="s">
        <v>22</v>
      </c>
      <c r="G842" s="4">
        <v>991.11</v>
      </c>
      <c r="H842" s="1">
        <v>2</v>
      </c>
      <c r="I842" s="1" t="str">
        <f>TEXT(SalesTable[[#This Row],[Order_Date]],"mmm")</f>
        <v>Apr</v>
      </c>
      <c r="J842" s="1">
        <f>YEAR(SalesTable[[#This Row],[Order_Date]])</f>
        <v>2024</v>
      </c>
      <c r="K842" s="4">
        <v>4.16</v>
      </c>
      <c r="L842" s="9">
        <f>SalesTable[[#This Row],[Profit]]/SalesTable[[#This Row],[Sales]]</f>
        <v>4.1973141225494651E-3</v>
      </c>
    </row>
    <row r="843" spans="1:12" ht="14" x14ac:dyDescent="0.15">
      <c r="A843" s="1">
        <v>10842</v>
      </c>
      <c r="B843" s="2">
        <v>45403</v>
      </c>
      <c r="C843" s="1" t="s">
        <v>10</v>
      </c>
      <c r="D843" s="1" t="s">
        <v>13</v>
      </c>
      <c r="E843" s="1" t="s">
        <v>16</v>
      </c>
      <c r="F843" s="1" t="s">
        <v>21</v>
      </c>
      <c r="G843" s="4">
        <v>314</v>
      </c>
      <c r="H843" s="1">
        <v>3</v>
      </c>
      <c r="I843" s="1" t="str">
        <f>TEXT(SalesTable[[#This Row],[Order_Date]],"mmm")</f>
        <v>Apr</v>
      </c>
      <c r="J843" s="1">
        <f>YEAR(SalesTable[[#This Row],[Order_Date]])</f>
        <v>2024</v>
      </c>
      <c r="K843" s="4">
        <v>-92.62</v>
      </c>
      <c r="L843" s="9">
        <f>SalesTable[[#This Row],[Profit]]/SalesTable[[#This Row],[Sales]]</f>
        <v>-0.29496815286624206</v>
      </c>
    </row>
    <row r="844" spans="1:12" ht="14" x14ac:dyDescent="0.15">
      <c r="A844" s="1">
        <v>10843</v>
      </c>
      <c r="B844" s="2">
        <v>45404</v>
      </c>
      <c r="C844" s="1" t="s">
        <v>11</v>
      </c>
      <c r="D844" s="1" t="s">
        <v>14</v>
      </c>
      <c r="E844" s="1" t="s">
        <v>17</v>
      </c>
      <c r="F844" s="1" t="s">
        <v>23</v>
      </c>
      <c r="G844" s="4">
        <v>523.28</v>
      </c>
      <c r="H844" s="1">
        <v>7</v>
      </c>
      <c r="I844" s="1" t="str">
        <f>TEXT(SalesTable[[#This Row],[Order_Date]],"mmm")</f>
        <v>Apr</v>
      </c>
      <c r="J844" s="1">
        <f>YEAR(SalesTable[[#This Row],[Order_Date]])</f>
        <v>2024</v>
      </c>
      <c r="K844" s="4">
        <v>118.24</v>
      </c>
      <c r="L844" s="9">
        <f>SalesTable[[#This Row],[Profit]]/SalesTable[[#This Row],[Sales]]</f>
        <v>0.22595933343525454</v>
      </c>
    </row>
    <row r="845" spans="1:12" ht="14" x14ac:dyDescent="0.15">
      <c r="A845" s="1">
        <v>10844</v>
      </c>
      <c r="B845" s="2">
        <v>45405</v>
      </c>
      <c r="C845" s="1" t="s">
        <v>9</v>
      </c>
      <c r="D845" s="1" t="s">
        <v>14</v>
      </c>
      <c r="E845" s="1" t="s">
        <v>19</v>
      </c>
      <c r="F845" s="1" t="s">
        <v>21</v>
      </c>
      <c r="G845" s="4">
        <v>363.05</v>
      </c>
      <c r="H845" s="1">
        <v>3</v>
      </c>
      <c r="I845" s="1" t="str">
        <f>TEXT(SalesTable[[#This Row],[Order_Date]],"mmm")</f>
        <v>Apr</v>
      </c>
      <c r="J845" s="1">
        <f>YEAR(SalesTable[[#This Row],[Order_Date]])</f>
        <v>2024</v>
      </c>
      <c r="K845" s="4">
        <v>182.72</v>
      </c>
      <c r="L845" s="9">
        <f>SalesTable[[#This Row],[Profit]]/SalesTable[[#This Row],[Sales]]</f>
        <v>0.50329155763668909</v>
      </c>
    </row>
    <row r="846" spans="1:12" ht="14" x14ac:dyDescent="0.15">
      <c r="A846" s="1">
        <v>10845</v>
      </c>
      <c r="B846" s="2">
        <v>45406</v>
      </c>
      <c r="C846" s="1" t="s">
        <v>11</v>
      </c>
      <c r="D846" s="1" t="s">
        <v>15</v>
      </c>
      <c r="E846" s="1" t="s">
        <v>18</v>
      </c>
      <c r="F846" s="1" t="s">
        <v>23</v>
      </c>
      <c r="G846" s="4">
        <v>468.57</v>
      </c>
      <c r="H846" s="1">
        <v>7</v>
      </c>
      <c r="I846" s="1" t="str">
        <f>TEXT(SalesTable[[#This Row],[Order_Date]],"mmm")</f>
        <v>Apr</v>
      </c>
      <c r="J846" s="1">
        <f>YEAR(SalesTable[[#This Row],[Order_Date]])</f>
        <v>2024</v>
      </c>
      <c r="K846" s="4">
        <v>216.16</v>
      </c>
      <c r="L846" s="9">
        <f>SalesTable[[#This Row],[Profit]]/SalesTable[[#This Row],[Sales]]</f>
        <v>0.46131847962951106</v>
      </c>
    </row>
    <row r="847" spans="1:12" ht="14" x14ac:dyDescent="0.15">
      <c r="A847" s="1">
        <v>10846</v>
      </c>
      <c r="B847" s="2">
        <v>45407</v>
      </c>
      <c r="C847" s="1" t="s">
        <v>11</v>
      </c>
      <c r="D847" s="1" t="s">
        <v>15</v>
      </c>
      <c r="E847" s="1" t="s">
        <v>17</v>
      </c>
      <c r="F847" s="1" t="s">
        <v>25</v>
      </c>
      <c r="G847" s="4">
        <v>864.1</v>
      </c>
      <c r="H847" s="1">
        <v>9</v>
      </c>
      <c r="I847" s="1" t="str">
        <f>TEXT(SalesTable[[#This Row],[Order_Date]],"mmm")</f>
        <v>Apr</v>
      </c>
      <c r="J847" s="1">
        <f>YEAR(SalesTable[[#This Row],[Order_Date]])</f>
        <v>2024</v>
      </c>
      <c r="K847" s="4">
        <v>-22.5</v>
      </c>
      <c r="L847" s="9">
        <f>SalesTable[[#This Row],[Profit]]/SalesTable[[#This Row],[Sales]]</f>
        <v>-2.603865293368823E-2</v>
      </c>
    </row>
    <row r="848" spans="1:12" ht="14" x14ac:dyDescent="0.15">
      <c r="A848" s="1">
        <v>10847</v>
      </c>
      <c r="B848" s="2">
        <v>45408</v>
      </c>
      <c r="C848" s="1" t="s">
        <v>12</v>
      </c>
      <c r="D848" s="1" t="s">
        <v>14</v>
      </c>
      <c r="E848" s="1" t="s">
        <v>16</v>
      </c>
      <c r="F848" s="1" t="s">
        <v>21</v>
      </c>
      <c r="G848" s="4">
        <v>700</v>
      </c>
      <c r="H848" s="1">
        <v>4</v>
      </c>
      <c r="I848" s="1" t="str">
        <f>TEXT(SalesTable[[#This Row],[Order_Date]],"mmm")</f>
        <v>Apr</v>
      </c>
      <c r="J848" s="1">
        <f>YEAR(SalesTable[[#This Row],[Order_Date]])</f>
        <v>2024</v>
      </c>
      <c r="K848" s="4">
        <v>4.7</v>
      </c>
      <c r="L848" s="9">
        <f>SalesTable[[#This Row],[Profit]]/SalesTable[[#This Row],[Sales]]</f>
        <v>6.7142857142857143E-3</v>
      </c>
    </row>
    <row r="849" spans="1:12" ht="14" x14ac:dyDescent="0.15">
      <c r="A849" s="1">
        <v>10848</v>
      </c>
      <c r="B849" s="2">
        <v>45409</v>
      </c>
      <c r="C849" s="1" t="s">
        <v>12</v>
      </c>
      <c r="D849" s="1" t="s">
        <v>15</v>
      </c>
      <c r="E849" s="1" t="s">
        <v>17</v>
      </c>
      <c r="F849" s="1" t="s">
        <v>21</v>
      </c>
      <c r="G849" s="4">
        <v>888.32</v>
      </c>
      <c r="H849" s="1">
        <v>7</v>
      </c>
      <c r="I849" s="1" t="str">
        <f>TEXT(SalesTable[[#This Row],[Order_Date]],"mmm")</f>
        <v>Apr</v>
      </c>
      <c r="J849" s="1">
        <f>YEAR(SalesTable[[#This Row],[Order_Date]])</f>
        <v>2024</v>
      </c>
      <c r="K849" s="4">
        <v>105.04</v>
      </c>
      <c r="L849" s="9">
        <f>SalesTable[[#This Row],[Profit]]/SalesTable[[#This Row],[Sales]]</f>
        <v>0.11824567723342939</v>
      </c>
    </row>
    <row r="850" spans="1:12" ht="14" x14ac:dyDescent="0.15">
      <c r="A850" s="1">
        <v>10849</v>
      </c>
      <c r="B850" s="2">
        <v>45410</v>
      </c>
      <c r="C850" s="1" t="s">
        <v>9</v>
      </c>
      <c r="D850" s="1" t="s">
        <v>14</v>
      </c>
      <c r="E850" s="1" t="s">
        <v>17</v>
      </c>
      <c r="F850" s="1" t="s">
        <v>24</v>
      </c>
      <c r="G850" s="4">
        <v>243.34</v>
      </c>
      <c r="H850" s="1">
        <v>9</v>
      </c>
      <c r="I850" s="1" t="str">
        <f>TEXT(SalesTable[[#This Row],[Order_Date]],"mmm")</f>
        <v>Apr</v>
      </c>
      <c r="J850" s="1">
        <f>YEAR(SalesTable[[#This Row],[Order_Date]])</f>
        <v>2024</v>
      </c>
      <c r="K850" s="4">
        <v>32.24</v>
      </c>
      <c r="L850" s="9">
        <f>SalesTable[[#This Row],[Profit]]/SalesTable[[#This Row],[Sales]]</f>
        <v>0.13248952083504562</v>
      </c>
    </row>
    <row r="851" spans="1:12" ht="14" x14ac:dyDescent="0.15">
      <c r="A851" s="1">
        <v>10850</v>
      </c>
      <c r="B851" s="2">
        <v>45411</v>
      </c>
      <c r="C851" s="1" t="s">
        <v>12</v>
      </c>
      <c r="D851" s="1" t="s">
        <v>13</v>
      </c>
      <c r="E851" s="1" t="s">
        <v>16</v>
      </c>
      <c r="F851" s="1" t="s">
        <v>21</v>
      </c>
      <c r="G851" s="4">
        <v>879.69</v>
      </c>
      <c r="H851" s="1">
        <v>8</v>
      </c>
      <c r="I851" s="1" t="str">
        <f>TEXT(SalesTable[[#This Row],[Order_Date]],"mmm")</f>
        <v>Apr</v>
      </c>
      <c r="J851" s="1">
        <f>YEAR(SalesTable[[#This Row],[Order_Date]])</f>
        <v>2024</v>
      </c>
      <c r="K851" s="4">
        <v>244.2</v>
      </c>
      <c r="L851" s="9">
        <f>SalesTable[[#This Row],[Profit]]/SalesTable[[#This Row],[Sales]]</f>
        <v>0.27759779013061414</v>
      </c>
    </row>
    <row r="852" spans="1:12" ht="14" x14ac:dyDescent="0.15">
      <c r="A852" s="1">
        <v>10851</v>
      </c>
      <c r="B852" s="2">
        <v>45412</v>
      </c>
      <c r="C852" s="1" t="s">
        <v>9</v>
      </c>
      <c r="D852" s="1" t="s">
        <v>15</v>
      </c>
      <c r="E852" s="1" t="s">
        <v>20</v>
      </c>
      <c r="F852" s="1" t="s">
        <v>23</v>
      </c>
      <c r="G852" s="4">
        <v>106.77</v>
      </c>
      <c r="H852" s="1">
        <v>8</v>
      </c>
      <c r="I852" s="1" t="str">
        <f>TEXT(SalesTable[[#This Row],[Order_Date]],"mmm")</f>
        <v>Apr</v>
      </c>
      <c r="J852" s="1">
        <f>YEAR(SalesTable[[#This Row],[Order_Date]])</f>
        <v>2024</v>
      </c>
      <c r="K852" s="4">
        <v>89.5</v>
      </c>
      <c r="L852" s="9">
        <f>SalesTable[[#This Row],[Profit]]/SalesTable[[#This Row],[Sales]]</f>
        <v>0.83825044488152101</v>
      </c>
    </row>
    <row r="853" spans="1:12" ht="14" x14ac:dyDescent="0.15">
      <c r="A853" s="1">
        <v>10852</v>
      </c>
      <c r="B853" s="2">
        <v>45413</v>
      </c>
      <c r="C853" s="1" t="s">
        <v>12</v>
      </c>
      <c r="D853" s="1" t="s">
        <v>14</v>
      </c>
      <c r="E853" s="1" t="s">
        <v>20</v>
      </c>
      <c r="F853" s="1" t="s">
        <v>24</v>
      </c>
      <c r="G853" s="4">
        <v>894.17</v>
      </c>
      <c r="H853" s="1">
        <v>9</v>
      </c>
      <c r="I853" s="1" t="str">
        <f>TEXT(SalesTable[[#This Row],[Order_Date]],"mmm")</f>
        <v>May</v>
      </c>
      <c r="J853" s="1">
        <f>YEAR(SalesTable[[#This Row],[Order_Date]])</f>
        <v>2024</v>
      </c>
      <c r="K853" s="4">
        <v>219.83</v>
      </c>
      <c r="L853" s="9">
        <f>SalesTable[[#This Row],[Profit]]/SalesTable[[#This Row],[Sales]]</f>
        <v>0.24584810494648671</v>
      </c>
    </row>
    <row r="854" spans="1:12" ht="14" x14ac:dyDescent="0.15">
      <c r="A854" s="1">
        <v>10853</v>
      </c>
      <c r="B854" s="2">
        <v>45414</v>
      </c>
      <c r="C854" s="1" t="s">
        <v>11</v>
      </c>
      <c r="D854" s="1" t="s">
        <v>13</v>
      </c>
      <c r="E854" s="1" t="s">
        <v>19</v>
      </c>
      <c r="F854" s="1" t="s">
        <v>21</v>
      </c>
      <c r="G854" s="4">
        <v>362.62</v>
      </c>
      <c r="H854" s="1">
        <v>5</v>
      </c>
      <c r="I854" s="1" t="str">
        <f>TEXT(SalesTable[[#This Row],[Order_Date]],"mmm")</f>
        <v>May</v>
      </c>
      <c r="J854" s="1">
        <f>YEAR(SalesTable[[#This Row],[Order_Date]])</f>
        <v>2024</v>
      </c>
      <c r="K854" s="4">
        <v>132.25</v>
      </c>
      <c r="L854" s="9">
        <f>SalesTable[[#This Row],[Profit]]/SalesTable[[#This Row],[Sales]]</f>
        <v>0.36470685566157407</v>
      </c>
    </row>
    <row r="855" spans="1:12" ht="14" x14ac:dyDescent="0.15">
      <c r="A855" s="1">
        <v>10854</v>
      </c>
      <c r="B855" s="2">
        <v>45415</v>
      </c>
      <c r="C855" s="1" t="s">
        <v>9</v>
      </c>
      <c r="D855" s="1" t="s">
        <v>13</v>
      </c>
      <c r="E855" s="1" t="s">
        <v>19</v>
      </c>
      <c r="F855" s="1" t="s">
        <v>21</v>
      </c>
      <c r="G855" s="4">
        <v>348.86</v>
      </c>
      <c r="H855" s="1">
        <v>5</v>
      </c>
      <c r="I855" s="1" t="str">
        <f>TEXT(SalesTable[[#This Row],[Order_Date]],"mmm")</f>
        <v>May</v>
      </c>
      <c r="J855" s="1">
        <f>YEAR(SalesTable[[#This Row],[Order_Date]])</f>
        <v>2024</v>
      </c>
      <c r="K855" s="4">
        <v>209.24</v>
      </c>
      <c r="L855" s="9">
        <f>SalesTable[[#This Row],[Profit]]/SalesTable[[#This Row],[Sales]]</f>
        <v>0.59978214756635895</v>
      </c>
    </row>
    <row r="856" spans="1:12" ht="14" x14ac:dyDescent="0.15">
      <c r="A856" s="1">
        <v>10855</v>
      </c>
      <c r="B856" s="2">
        <v>45416</v>
      </c>
      <c r="C856" s="1" t="s">
        <v>9</v>
      </c>
      <c r="D856" s="1" t="s">
        <v>14</v>
      </c>
      <c r="E856" s="1" t="s">
        <v>20</v>
      </c>
      <c r="F856" s="1" t="s">
        <v>25</v>
      </c>
      <c r="G856" s="4">
        <v>536.48</v>
      </c>
      <c r="H856" s="1">
        <v>3</v>
      </c>
      <c r="I856" s="1" t="str">
        <f>TEXT(SalesTable[[#This Row],[Order_Date]],"mmm")</f>
        <v>May</v>
      </c>
      <c r="J856" s="1">
        <f>YEAR(SalesTable[[#This Row],[Order_Date]])</f>
        <v>2024</v>
      </c>
      <c r="K856" s="4">
        <v>33.07</v>
      </c>
      <c r="L856" s="9">
        <f>SalesTable[[#This Row],[Profit]]/SalesTable[[#This Row],[Sales]]</f>
        <v>6.1642558902475393E-2</v>
      </c>
    </row>
    <row r="857" spans="1:12" ht="14" x14ac:dyDescent="0.15">
      <c r="A857" s="1">
        <v>10856</v>
      </c>
      <c r="B857" s="2">
        <v>45417</v>
      </c>
      <c r="C857" s="1" t="s">
        <v>11</v>
      </c>
      <c r="D857" s="1" t="s">
        <v>15</v>
      </c>
      <c r="E857" s="1" t="s">
        <v>18</v>
      </c>
      <c r="F857" s="1" t="s">
        <v>21</v>
      </c>
      <c r="G857" s="4">
        <v>943.66</v>
      </c>
      <c r="H857" s="1">
        <v>5</v>
      </c>
      <c r="I857" s="1" t="str">
        <f>TEXT(SalesTable[[#This Row],[Order_Date]],"mmm")</f>
        <v>May</v>
      </c>
      <c r="J857" s="1">
        <f>YEAR(SalesTable[[#This Row],[Order_Date]])</f>
        <v>2024</v>
      </c>
      <c r="K857" s="4">
        <v>232.57</v>
      </c>
      <c r="L857" s="9">
        <f>SalesTable[[#This Row],[Profit]]/SalesTable[[#This Row],[Sales]]</f>
        <v>0.24645529110060826</v>
      </c>
    </row>
    <row r="858" spans="1:12" ht="14" x14ac:dyDescent="0.15">
      <c r="A858" s="1">
        <v>10857</v>
      </c>
      <c r="B858" s="2">
        <v>45418</v>
      </c>
      <c r="C858" s="1" t="s">
        <v>9</v>
      </c>
      <c r="D858" s="1" t="s">
        <v>14</v>
      </c>
      <c r="E858" s="1" t="s">
        <v>17</v>
      </c>
      <c r="F858" s="1" t="s">
        <v>22</v>
      </c>
      <c r="G858" s="4">
        <v>95.39</v>
      </c>
      <c r="H858" s="1">
        <v>8</v>
      </c>
      <c r="I858" s="1" t="str">
        <f>TEXT(SalesTable[[#This Row],[Order_Date]],"mmm")</f>
        <v>May</v>
      </c>
      <c r="J858" s="1">
        <f>YEAR(SalesTable[[#This Row],[Order_Date]])</f>
        <v>2024</v>
      </c>
      <c r="K858" s="4">
        <v>9.83</v>
      </c>
      <c r="L858" s="9">
        <f>SalesTable[[#This Row],[Profit]]/SalesTable[[#This Row],[Sales]]</f>
        <v>0.10305063423838977</v>
      </c>
    </row>
    <row r="859" spans="1:12" ht="14" x14ac:dyDescent="0.15">
      <c r="A859" s="1">
        <v>10858</v>
      </c>
      <c r="B859" s="2">
        <v>45419</v>
      </c>
      <c r="C859" s="1" t="s">
        <v>9</v>
      </c>
      <c r="D859" s="1" t="s">
        <v>13</v>
      </c>
      <c r="E859" s="1" t="s">
        <v>18</v>
      </c>
      <c r="F859" s="1" t="s">
        <v>24</v>
      </c>
      <c r="G859" s="4">
        <v>384.62</v>
      </c>
      <c r="H859" s="1">
        <v>5</v>
      </c>
      <c r="I859" s="1" t="str">
        <f>TEXT(SalesTable[[#This Row],[Order_Date]],"mmm")</f>
        <v>May</v>
      </c>
      <c r="J859" s="1">
        <f>YEAR(SalesTable[[#This Row],[Order_Date]])</f>
        <v>2024</v>
      </c>
      <c r="K859" s="4">
        <v>118.44</v>
      </c>
      <c r="L859" s="9">
        <f>SalesTable[[#This Row],[Profit]]/SalesTable[[#This Row],[Sales]]</f>
        <v>0.30794030471634337</v>
      </c>
    </row>
    <row r="860" spans="1:12" ht="14" x14ac:dyDescent="0.15">
      <c r="A860" s="1">
        <v>10859</v>
      </c>
      <c r="B860" s="2">
        <v>45420</v>
      </c>
      <c r="C860" s="1" t="s">
        <v>12</v>
      </c>
      <c r="D860" s="1" t="s">
        <v>14</v>
      </c>
      <c r="E860" s="1" t="s">
        <v>17</v>
      </c>
      <c r="F860" s="1" t="s">
        <v>22</v>
      </c>
      <c r="G860" s="4">
        <v>863.74</v>
      </c>
      <c r="H860" s="1">
        <v>4</v>
      </c>
      <c r="I860" s="1" t="str">
        <f>TEXT(SalesTable[[#This Row],[Order_Date]],"mmm")</f>
        <v>May</v>
      </c>
      <c r="J860" s="1">
        <f>YEAR(SalesTable[[#This Row],[Order_Date]])</f>
        <v>2024</v>
      </c>
      <c r="K860" s="4">
        <v>-14.4</v>
      </c>
      <c r="L860" s="9">
        <f>SalesTable[[#This Row],[Profit]]/SalesTable[[#This Row],[Sales]]</f>
        <v>-1.6671683608493297E-2</v>
      </c>
    </row>
    <row r="861" spans="1:12" ht="14" x14ac:dyDescent="0.15">
      <c r="A861" s="1">
        <v>10860</v>
      </c>
      <c r="B861" s="2">
        <v>45421</v>
      </c>
      <c r="C861" s="1" t="s">
        <v>9</v>
      </c>
      <c r="D861" s="1" t="s">
        <v>15</v>
      </c>
      <c r="E861" s="1" t="s">
        <v>20</v>
      </c>
      <c r="F861" s="1" t="s">
        <v>24</v>
      </c>
      <c r="G861" s="4">
        <v>426.25</v>
      </c>
      <c r="H861" s="1">
        <v>8</v>
      </c>
      <c r="I861" s="1" t="str">
        <f>TEXT(SalesTable[[#This Row],[Order_Date]],"mmm")</f>
        <v>May</v>
      </c>
      <c r="J861" s="1">
        <f>YEAR(SalesTable[[#This Row],[Order_Date]])</f>
        <v>2024</v>
      </c>
      <c r="K861" s="4">
        <v>90.21</v>
      </c>
      <c r="L861" s="9">
        <f>SalesTable[[#This Row],[Profit]]/SalesTable[[#This Row],[Sales]]</f>
        <v>0.21163636363636362</v>
      </c>
    </row>
    <row r="862" spans="1:12" ht="14" x14ac:dyDescent="0.15">
      <c r="A862" s="1">
        <v>10861</v>
      </c>
      <c r="B862" s="2">
        <v>45422</v>
      </c>
      <c r="C862" s="1" t="s">
        <v>10</v>
      </c>
      <c r="D862" s="1" t="s">
        <v>13</v>
      </c>
      <c r="E862" s="1" t="s">
        <v>19</v>
      </c>
      <c r="F862" s="1" t="s">
        <v>25</v>
      </c>
      <c r="G862" s="4">
        <v>239.2</v>
      </c>
      <c r="H862" s="1">
        <v>7</v>
      </c>
      <c r="I862" s="1" t="str">
        <f>TEXT(SalesTable[[#This Row],[Order_Date]],"mmm")</f>
        <v>May</v>
      </c>
      <c r="J862" s="1">
        <f>YEAR(SalesTable[[#This Row],[Order_Date]])</f>
        <v>2024</v>
      </c>
      <c r="K862" s="4">
        <v>27.27</v>
      </c>
      <c r="L862" s="9">
        <f>SalesTable[[#This Row],[Profit]]/SalesTable[[#This Row],[Sales]]</f>
        <v>0.11400501672240804</v>
      </c>
    </row>
    <row r="863" spans="1:12" ht="14" x14ac:dyDescent="0.15">
      <c r="A863" s="1">
        <v>10862</v>
      </c>
      <c r="B863" s="2">
        <v>45423</v>
      </c>
      <c r="C863" s="1" t="s">
        <v>11</v>
      </c>
      <c r="D863" s="1" t="s">
        <v>14</v>
      </c>
      <c r="E863" s="1" t="s">
        <v>19</v>
      </c>
      <c r="F863" s="1" t="s">
        <v>21</v>
      </c>
      <c r="G863" s="4">
        <v>453.55</v>
      </c>
      <c r="H863" s="1">
        <v>6</v>
      </c>
      <c r="I863" s="1" t="str">
        <f>TEXT(SalesTable[[#This Row],[Order_Date]],"mmm")</f>
        <v>May</v>
      </c>
      <c r="J863" s="1">
        <f>YEAR(SalesTable[[#This Row],[Order_Date]])</f>
        <v>2024</v>
      </c>
      <c r="K863" s="4">
        <v>6.68</v>
      </c>
      <c r="L863" s="9">
        <f>SalesTable[[#This Row],[Profit]]/SalesTable[[#This Row],[Sales]]</f>
        <v>1.472825487818322E-2</v>
      </c>
    </row>
    <row r="864" spans="1:12" ht="14" x14ac:dyDescent="0.15">
      <c r="A864" s="1">
        <v>10863</v>
      </c>
      <c r="B864" s="2">
        <v>45424</v>
      </c>
      <c r="C864" s="1" t="s">
        <v>12</v>
      </c>
      <c r="D864" s="1" t="s">
        <v>15</v>
      </c>
      <c r="E864" s="1" t="s">
        <v>18</v>
      </c>
      <c r="F864" s="1" t="s">
        <v>21</v>
      </c>
      <c r="G864" s="4">
        <v>416.27</v>
      </c>
      <c r="H864" s="1">
        <v>5</v>
      </c>
      <c r="I864" s="1" t="str">
        <f>TEXT(SalesTable[[#This Row],[Order_Date]],"mmm")</f>
        <v>May</v>
      </c>
      <c r="J864" s="1">
        <f>YEAR(SalesTable[[#This Row],[Order_Date]])</f>
        <v>2024</v>
      </c>
      <c r="K864" s="4">
        <v>286.79000000000002</v>
      </c>
      <c r="L864" s="9">
        <f>SalesTable[[#This Row],[Profit]]/SalesTable[[#This Row],[Sales]]</f>
        <v>0.68895188219184667</v>
      </c>
    </row>
    <row r="865" spans="1:12" ht="14" x14ac:dyDescent="0.15">
      <c r="A865" s="1">
        <v>10864</v>
      </c>
      <c r="B865" s="2">
        <v>45425</v>
      </c>
      <c r="C865" s="1" t="s">
        <v>12</v>
      </c>
      <c r="D865" s="1" t="s">
        <v>13</v>
      </c>
      <c r="E865" s="1" t="s">
        <v>19</v>
      </c>
      <c r="F865" s="1" t="s">
        <v>21</v>
      </c>
      <c r="G865" s="4">
        <v>919.65</v>
      </c>
      <c r="H865" s="1">
        <v>5</v>
      </c>
      <c r="I865" s="1" t="str">
        <f>TEXT(SalesTable[[#This Row],[Order_Date]],"mmm")</f>
        <v>May</v>
      </c>
      <c r="J865" s="1">
        <f>YEAR(SalesTable[[#This Row],[Order_Date]])</f>
        <v>2024</v>
      </c>
      <c r="K865" s="4">
        <v>-35.97</v>
      </c>
      <c r="L865" s="9">
        <f>SalesTable[[#This Row],[Profit]]/SalesTable[[#This Row],[Sales]]</f>
        <v>-3.9112705920730712E-2</v>
      </c>
    </row>
    <row r="866" spans="1:12" ht="14" x14ac:dyDescent="0.15">
      <c r="A866" s="1">
        <v>10865</v>
      </c>
      <c r="B866" s="2">
        <v>45426</v>
      </c>
      <c r="C866" s="1" t="s">
        <v>10</v>
      </c>
      <c r="D866" s="1" t="s">
        <v>15</v>
      </c>
      <c r="E866" s="1" t="s">
        <v>20</v>
      </c>
      <c r="F866" s="1" t="s">
        <v>24</v>
      </c>
      <c r="G866" s="4">
        <v>773.84</v>
      </c>
      <c r="H866" s="1">
        <v>2</v>
      </c>
      <c r="I866" s="1" t="str">
        <f>TEXT(SalesTable[[#This Row],[Order_Date]],"mmm")</f>
        <v>May</v>
      </c>
      <c r="J866" s="1">
        <f>YEAR(SalesTable[[#This Row],[Order_Date]])</f>
        <v>2024</v>
      </c>
      <c r="K866" s="4">
        <v>214.93</v>
      </c>
      <c r="L866" s="9">
        <f>SalesTable[[#This Row],[Profit]]/SalesTable[[#This Row],[Sales]]</f>
        <v>0.27774475343740307</v>
      </c>
    </row>
    <row r="867" spans="1:12" ht="14" x14ac:dyDescent="0.15">
      <c r="A867" s="1">
        <v>10866</v>
      </c>
      <c r="B867" s="2">
        <v>45427</v>
      </c>
      <c r="C867" s="1" t="s">
        <v>11</v>
      </c>
      <c r="D867" s="1" t="s">
        <v>13</v>
      </c>
      <c r="E867" s="1" t="s">
        <v>18</v>
      </c>
      <c r="F867" s="1" t="s">
        <v>21</v>
      </c>
      <c r="G867" s="4">
        <v>529.86</v>
      </c>
      <c r="H867" s="1">
        <v>4</v>
      </c>
      <c r="I867" s="1" t="str">
        <f>TEXT(SalesTable[[#This Row],[Order_Date]],"mmm")</f>
        <v>May</v>
      </c>
      <c r="J867" s="1">
        <f>YEAR(SalesTable[[#This Row],[Order_Date]])</f>
        <v>2024</v>
      </c>
      <c r="K867" s="4">
        <v>293.67</v>
      </c>
      <c r="L867" s="9">
        <f>SalesTable[[#This Row],[Profit]]/SalesTable[[#This Row],[Sales]]</f>
        <v>0.55424074283773073</v>
      </c>
    </row>
    <row r="868" spans="1:12" ht="14" x14ac:dyDescent="0.15">
      <c r="A868" s="1">
        <v>10867</v>
      </c>
      <c r="B868" s="2">
        <v>45428</v>
      </c>
      <c r="C868" s="1" t="s">
        <v>11</v>
      </c>
      <c r="D868" s="1" t="s">
        <v>14</v>
      </c>
      <c r="E868" s="1" t="s">
        <v>17</v>
      </c>
      <c r="F868" s="1" t="s">
        <v>22</v>
      </c>
      <c r="G868" s="4">
        <v>988.95</v>
      </c>
      <c r="H868" s="1">
        <v>8</v>
      </c>
      <c r="I868" s="1" t="str">
        <f>TEXT(SalesTable[[#This Row],[Order_Date]],"mmm")</f>
        <v>May</v>
      </c>
      <c r="J868" s="1">
        <f>YEAR(SalesTable[[#This Row],[Order_Date]])</f>
        <v>2024</v>
      </c>
      <c r="K868" s="4">
        <v>-92.04</v>
      </c>
      <c r="L868" s="9">
        <f>SalesTable[[#This Row],[Profit]]/SalesTable[[#This Row],[Sales]]</f>
        <v>-9.3068405885029584E-2</v>
      </c>
    </row>
    <row r="869" spans="1:12" ht="14" x14ac:dyDescent="0.15">
      <c r="A869" s="1">
        <v>10868</v>
      </c>
      <c r="B869" s="2">
        <v>45429</v>
      </c>
      <c r="C869" s="1" t="s">
        <v>12</v>
      </c>
      <c r="D869" s="1" t="s">
        <v>15</v>
      </c>
      <c r="E869" s="1" t="s">
        <v>19</v>
      </c>
      <c r="F869" s="1" t="s">
        <v>21</v>
      </c>
      <c r="G869" s="4">
        <v>492.01</v>
      </c>
      <c r="H869" s="1">
        <v>8</v>
      </c>
      <c r="I869" s="1" t="str">
        <f>TEXT(SalesTable[[#This Row],[Order_Date]],"mmm")</f>
        <v>May</v>
      </c>
      <c r="J869" s="1">
        <f>YEAR(SalesTable[[#This Row],[Order_Date]])</f>
        <v>2024</v>
      </c>
      <c r="K869" s="4">
        <v>179.61</v>
      </c>
      <c r="L869" s="9">
        <f>SalesTable[[#This Row],[Profit]]/SalesTable[[#This Row],[Sales]]</f>
        <v>0.36505355582203619</v>
      </c>
    </row>
    <row r="870" spans="1:12" ht="14" x14ac:dyDescent="0.15">
      <c r="A870" s="1">
        <v>10869</v>
      </c>
      <c r="B870" s="2">
        <v>45430</v>
      </c>
      <c r="C870" s="1" t="s">
        <v>9</v>
      </c>
      <c r="D870" s="1" t="s">
        <v>13</v>
      </c>
      <c r="E870" s="1" t="s">
        <v>16</v>
      </c>
      <c r="F870" s="1" t="s">
        <v>25</v>
      </c>
      <c r="G870" s="4">
        <v>105.33</v>
      </c>
      <c r="H870" s="1">
        <v>1</v>
      </c>
      <c r="I870" s="1" t="str">
        <f>TEXT(SalesTable[[#This Row],[Order_Date]],"mmm")</f>
        <v>May</v>
      </c>
      <c r="J870" s="1">
        <f>YEAR(SalesTable[[#This Row],[Order_Date]])</f>
        <v>2024</v>
      </c>
      <c r="K870" s="4">
        <v>1.1599999999999999</v>
      </c>
      <c r="L870" s="9">
        <f>SalesTable[[#This Row],[Profit]]/SalesTable[[#This Row],[Sales]]</f>
        <v>1.1013006740719642E-2</v>
      </c>
    </row>
    <row r="871" spans="1:12" ht="14" x14ac:dyDescent="0.15">
      <c r="A871" s="1">
        <v>10870</v>
      </c>
      <c r="B871" s="2">
        <v>45431</v>
      </c>
      <c r="C871" s="1" t="s">
        <v>12</v>
      </c>
      <c r="D871" s="1" t="s">
        <v>15</v>
      </c>
      <c r="E871" s="1" t="s">
        <v>19</v>
      </c>
      <c r="F871" s="1" t="s">
        <v>22</v>
      </c>
      <c r="G871" s="4">
        <v>299.16000000000003</v>
      </c>
      <c r="H871" s="1">
        <v>2</v>
      </c>
      <c r="I871" s="1" t="str">
        <f>TEXT(SalesTable[[#This Row],[Order_Date]],"mmm")</f>
        <v>May</v>
      </c>
      <c r="J871" s="1">
        <f>YEAR(SalesTable[[#This Row],[Order_Date]])</f>
        <v>2024</v>
      </c>
      <c r="K871" s="4">
        <v>-83.8</v>
      </c>
      <c r="L871" s="9">
        <f>SalesTable[[#This Row],[Profit]]/SalesTable[[#This Row],[Sales]]</f>
        <v>-0.28011766278914291</v>
      </c>
    </row>
    <row r="872" spans="1:12" ht="14" x14ac:dyDescent="0.15">
      <c r="A872" s="1">
        <v>10871</v>
      </c>
      <c r="B872" s="2">
        <v>45432</v>
      </c>
      <c r="C872" s="1" t="s">
        <v>11</v>
      </c>
      <c r="D872" s="1" t="s">
        <v>15</v>
      </c>
      <c r="E872" s="1" t="s">
        <v>17</v>
      </c>
      <c r="F872" s="1" t="s">
        <v>21</v>
      </c>
      <c r="G872" s="4">
        <v>464.27</v>
      </c>
      <c r="H872" s="1">
        <v>5</v>
      </c>
      <c r="I872" s="1" t="str">
        <f>TEXT(SalesTable[[#This Row],[Order_Date]],"mmm")</f>
        <v>May</v>
      </c>
      <c r="J872" s="1">
        <f>YEAR(SalesTable[[#This Row],[Order_Date]])</f>
        <v>2024</v>
      </c>
      <c r="K872" s="4">
        <v>61.16</v>
      </c>
      <c r="L872" s="9">
        <f>SalesTable[[#This Row],[Profit]]/SalesTable[[#This Row],[Sales]]</f>
        <v>0.13173368944795055</v>
      </c>
    </row>
    <row r="873" spans="1:12" ht="14" x14ac:dyDescent="0.15">
      <c r="A873" s="1">
        <v>10872</v>
      </c>
      <c r="B873" s="2">
        <v>45433</v>
      </c>
      <c r="C873" s="1" t="s">
        <v>10</v>
      </c>
      <c r="D873" s="1" t="s">
        <v>14</v>
      </c>
      <c r="E873" s="1" t="s">
        <v>18</v>
      </c>
      <c r="F873" s="1" t="s">
        <v>21</v>
      </c>
      <c r="G873" s="4">
        <v>199.06</v>
      </c>
      <c r="H873" s="1">
        <v>9</v>
      </c>
      <c r="I873" s="1" t="str">
        <f>TEXT(SalesTable[[#This Row],[Order_Date]],"mmm")</f>
        <v>May</v>
      </c>
      <c r="J873" s="1">
        <f>YEAR(SalesTable[[#This Row],[Order_Date]])</f>
        <v>2024</v>
      </c>
      <c r="K873" s="4">
        <v>274.08999999999997</v>
      </c>
      <c r="L873" s="9">
        <f>SalesTable[[#This Row],[Profit]]/SalesTable[[#This Row],[Sales]]</f>
        <v>1.3769215311966241</v>
      </c>
    </row>
    <row r="874" spans="1:12" ht="14" x14ac:dyDescent="0.15">
      <c r="A874" s="1">
        <v>10873</v>
      </c>
      <c r="B874" s="2">
        <v>45434</v>
      </c>
      <c r="C874" s="1" t="s">
        <v>12</v>
      </c>
      <c r="D874" s="1" t="s">
        <v>15</v>
      </c>
      <c r="E874" s="1" t="s">
        <v>17</v>
      </c>
      <c r="F874" s="1" t="s">
        <v>23</v>
      </c>
      <c r="G874" s="4">
        <v>950.19</v>
      </c>
      <c r="H874" s="1">
        <v>7</v>
      </c>
      <c r="I874" s="1" t="str">
        <f>TEXT(SalesTable[[#This Row],[Order_Date]],"mmm")</f>
        <v>May</v>
      </c>
      <c r="J874" s="1">
        <f>YEAR(SalesTable[[#This Row],[Order_Date]])</f>
        <v>2024</v>
      </c>
      <c r="K874" s="4">
        <v>-95.29</v>
      </c>
      <c r="L874" s="9">
        <f>SalesTable[[#This Row],[Profit]]/SalesTable[[#This Row],[Sales]]</f>
        <v>-0.1002852061166714</v>
      </c>
    </row>
    <row r="875" spans="1:12" ht="14" x14ac:dyDescent="0.15">
      <c r="A875" s="1">
        <v>10874</v>
      </c>
      <c r="B875" s="2">
        <v>45435</v>
      </c>
      <c r="C875" s="1" t="s">
        <v>11</v>
      </c>
      <c r="D875" s="1" t="s">
        <v>13</v>
      </c>
      <c r="E875" s="1" t="s">
        <v>16</v>
      </c>
      <c r="F875" s="1" t="s">
        <v>24</v>
      </c>
      <c r="G875" s="4">
        <v>778.51</v>
      </c>
      <c r="H875" s="1">
        <v>5</v>
      </c>
      <c r="I875" s="1" t="str">
        <f>TEXT(SalesTable[[#This Row],[Order_Date]],"mmm")</f>
        <v>May</v>
      </c>
      <c r="J875" s="1">
        <f>YEAR(SalesTable[[#This Row],[Order_Date]])</f>
        <v>2024</v>
      </c>
      <c r="K875" s="4">
        <v>135.15</v>
      </c>
      <c r="L875" s="9">
        <f>SalesTable[[#This Row],[Profit]]/SalesTable[[#This Row],[Sales]]</f>
        <v>0.17360085291133062</v>
      </c>
    </row>
    <row r="876" spans="1:12" ht="14" x14ac:dyDescent="0.15">
      <c r="A876" s="1">
        <v>10875</v>
      </c>
      <c r="B876" s="2">
        <v>45436</v>
      </c>
      <c r="C876" s="1" t="s">
        <v>12</v>
      </c>
      <c r="D876" s="1" t="s">
        <v>13</v>
      </c>
      <c r="E876" s="1" t="s">
        <v>20</v>
      </c>
      <c r="F876" s="1" t="s">
        <v>22</v>
      </c>
      <c r="G876" s="4">
        <v>304.87</v>
      </c>
      <c r="H876" s="1">
        <v>1</v>
      </c>
      <c r="I876" s="1" t="str">
        <f>TEXT(SalesTable[[#This Row],[Order_Date]],"mmm")</f>
        <v>May</v>
      </c>
      <c r="J876" s="1">
        <f>YEAR(SalesTable[[#This Row],[Order_Date]])</f>
        <v>2024</v>
      </c>
      <c r="K876" s="4">
        <v>100.56</v>
      </c>
      <c r="L876" s="9">
        <f>SalesTable[[#This Row],[Profit]]/SalesTable[[#This Row],[Sales]]</f>
        <v>0.32984550792140915</v>
      </c>
    </row>
    <row r="877" spans="1:12" ht="14" x14ac:dyDescent="0.15">
      <c r="A877" s="1">
        <v>10876</v>
      </c>
      <c r="B877" s="2">
        <v>45437</v>
      </c>
      <c r="C877" s="1" t="s">
        <v>9</v>
      </c>
      <c r="D877" s="1" t="s">
        <v>13</v>
      </c>
      <c r="E877" s="1" t="s">
        <v>19</v>
      </c>
      <c r="F877" s="1" t="s">
        <v>23</v>
      </c>
      <c r="G877" s="4">
        <v>611.26</v>
      </c>
      <c r="H877" s="1">
        <v>6</v>
      </c>
      <c r="I877" s="1" t="str">
        <f>TEXT(SalesTable[[#This Row],[Order_Date]],"mmm")</f>
        <v>May</v>
      </c>
      <c r="J877" s="1">
        <f>YEAR(SalesTable[[#This Row],[Order_Date]])</f>
        <v>2024</v>
      </c>
      <c r="K877" s="4">
        <v>249.35</v>
      </c>
      <c r="L877" s="9">
        <f>SalesTable[[#This Row],[Profit]]/SalesTable[[#This Row],[Sales]]</f>
        <v>0.40792788666034091</v>
      </c>
    </row>
    <row r="878" spans="1:12" ht="14" x14ac:dyDescent="0.15">
      <c r="A878" s="1">
        <v>10877</v>
      </c>
      <c r="B878" s="2">
        <v>45438</v>
      </c>
      <c r="C878" s="1" t="s">
        <v>12</v>
      </c>
      <c r="D878" s="1" t="s">
        <v>13</v>
      </c>
      <c r="E878" s="1" t="s">
        <v>18</v>
      </c>
      <c r="F878" s="1" t="s">
        <v>25</v>
      </c>
      <c r="G878" s="4">
        <v>735.38</v>
      </c>
      <c r="H878" s="1">
        <v>8</v>
      </c>
      <c r="I878" s="1" t="str">
        <f>TEXT(SalesTable[[#This Row],[Order_Date]],"mmm")</f>
        <v>May</v>
      </c>
      <c r="J878" s="1">
        <f>YEAR(SalesTable[[#This Row],[Order_Date]])</f>
        <v>2024</v>
      </c>
      <c r="K878" s="4">
        <v>-66.400000000000006</v>
      </c>
      <c r="L878" s="9">
        <f>SalesTable[[#This Row],[Profit]]/SalesTable[[#This Row],[Sales]]</f>
        <v>-9.0293453724604969E-2</v>
      </c>
    </row>
    <row r="879" spans="1:12" ht="14" x14ac:dyDescent="0.15">
      <c r="A879" s="1">
        <v>10878</v>
      </c>
      <c r="B879" s="2">
        <v>45439</v>
      </c>
      <c r="C879" s="1" t="s">
        <v>12</v>
      </c>
      <c r="D879" s="1" t="s">
        <v>14</v>
      </c>
      <c r="E879" s="1" t="s">
        <v>20</v>
      </c>
      <c r="F879" s="1" t="s">
        <v>24</v>
      </c>
      <c r="G879" s="4">
        <v>944.21</v>
      </c>
      <c r="H879" s="1">
        <v>7</v>
      </c>
      <c r="I879" s="1" t="str">
        <f>TEXT(SalesTable[[#This Row],[Order_Date]],"mmm")</f>
        <v>May</v>
      </c>
      <c r="J879" s="1">
        <f>YEAR(SalesTable[[#This Row],[Order_Date]])</f>
        <v>2024</v>
      </c>
      <c r="K879" s="4">
        <v>172.61</v>
      </c>
      <c r="L879" s="9">
        <f>SalesTable[[#This Row],[Profit]]/SalesTable[[#This Row],[Sales]]</f>
        <v>0.18280890903506636</v>
      </c>
    </row>
    <row r="880" spans="1:12" ht="14" x14ac:dyDescent="0.15">
      <c r="A880" s="1">
        <v>10879</v>
      </c>
      <c r="B880" s="2">
        <v>45440</v>
      </c>
      <c r="C880" s="1" t="s">
        <v>11</v>
      </c>
      <c r="D880" s="1" t="s">
        <v>15</v>
      </c>
      <c r="E880" s="1" t="s">
        <v>17</v>
      </c>
      <c r="F880" s="1" t="s">
        <v>22</v>
      </c>
      <c r="G880" s="4">
        <v>887.55</v>
      </c>
      <c r="H880" s="1">
        <v>2</v>
      </c>
      <c r="I880" s="1" t="str">
        <f>TEXT(SalesTable[[#This Row],[Order_Date]],"mmm")</f>
        <v>May</v>
      </c>
      <c r="J880" s="1">
        <f>YEAR(SalesTable[[#This Row],[Order_Date]])</f>
        <v>2024</v>
      </c>
      <c r="K880" s="4">
        <v>172.04</v>
      </c>
      <c r="L880" s="9">
        <f>SalesTable[[#This Row],[Profit]]/SalesTable[[#This Row],[Sales]]</f>
        <v>0.19383696693144048</v>
      </c>
    </row>
    <row r="881" spans="1:12" ht="14" x14ac:dyDescent="0.15">
      <c r="A881" s="1">
        <v>10880</v>
      </c>
      <c r="B881" s="2">
        <v>45441</v>
      </c>
      <c r="C881" s="1" t="s">
        <v>11</v>
      </c>
      <c r="D881" s="1" t="s">
        <v>14</v>
      </c>
      <c r="E881" s="1" t="s">
        <v>18</v>
      </c>
      <c r="F881" s="1" t="s">
        <v>21</v>
      </c>
      <c r="G881" s="4">
        <v>539.42999999999995</v>
      </c>
      <c r="H881" s="1">
        <v>5</v>
      </c>
      <c r="I881" s="1" t="str">
        <f>TEXT(SalesTable[[#This Row],[Order_Date]],"mmm")</f>
        <v>May</v>
      </c>
      <c r="J881" s="1">
        <f>YEAR(SalesTable[[#This Row],[Order_Date]])</f>
        <v>2024</v>
      </c>
      <c r="K881" s="4">
        <v>167.63</v>
      </c>
      <c r="L881" s="9">
        <f>SalesTable[[#This Row],[Profit]]/SalesTable[[#This Row],[Sales]]</f>
        <v>0.31075394397790262</v>
      </c>
    </row>
    <row r="882" spans="1:12" ht="14" x14ac:dyDescent="0.15">
      <c r="A882" s="1">
        <v>10881</v>
      </c>
      <c r="B882" s="2">
        <v>45442</v>
      </c>
      <c r="C882" s="1" t="s">
        <v>11</v>
      </c>
      <c r="D882" s="1" t="s">
        <v>15</v>
      </c>
      <c r="E882" s="1" t="s">
        <v>20</v>
      </c>
      <c r="F882" s="1" t="s">
        <v>22</v>
      </c>
      <c r="G882" s="4">
        <v>785.92</v>
      </c>
      <c r="H882" s="1">
        <v>4</v>
      </c>
      <c r="I882" s="1" t="str">
        <f>TEXT(SalesTable[[#This Row],[Order_Date]],"mmm")</f>
        <v>May</v>
      </c>
      <c r="J882" s="1">
        <f>YEAR(SalesTable[[#This Row],[Order_Date]])</f>
        <v>2024</v>
      </c>
      <c r="K882" s="4">
        <v>276.93</v>
      </c>
      <c r="L882" s="9">
        <f>SalesTable[[#This Row],[Profit]]/SalesTable[[#This Row],[Sales]]</f>
        <v>0.35236410830618897</v>
      </c>
    </row>
    <row r="883" spans="1:12" ht="14" x14ac:dyDescent="0.15">
      <c r="A883" s="1">
        <v>10882</v>
      </c>
      <c r="B883" s="2">
        <v>45443</v>
      </c>
      <c r="C883" s="1" t="s">
        <v>12</v>
      </c>
      <c r="D883" s="1" t="s">
        <v>15</v>
      </c>
      <c r="E883" s="1" t="s">
        <v>18</v>
      </c>
      <c r="F883" s="1" t="s">
        <v>21</v>
      </c>
      <c r="G883" s="4">
        <v>584.04</v>
      </c>
      <c r="H883" s="1">
        <v>9</v>
      </c>
      <c r="I883" s="1" t="str">
        <f>TEXT(SalesTable[[#This Row],[Order_Date]],"mmm")</f>
        <v>May</v>
      </c>
      <c r="J883" s="1">
        <f>YEAR(SalesTable[[#This Row],[Order_Date]])</f>
        <v>2024</v>
      </c>
      <c r="K883" s="4">
        <v>229.24</v>
      </c>
      <c r="L883" s="9">
        <f>SalesTable[[#This Row],[Profit]]/SalesTable[[#This Row],[Sales]]</f>
        <v>0.3925073625094172</v>
      </c>
    </row>
    <row r="884" spans="1:12" ht="14" x14ac:dyDescent="0.15">
      <c r="A884" s="1">
        <v>10883</v>
      </c>
      <c r="B884" s="2">
        <v>45444</v>
      </c>
      <c r="C884" s="1" t="s">
        <v>9</v>
      </c>
      <c r="D884" s="1" t="s">
        <v>15</v>
      </c>
      <c r="E884" s="1" t="s">
        <v>16</v>
      </c>
      <c r="F884" s="1" t="s">
        <v>24</v>
      </c>
      <c r="G884" s="4">
        <v>575.07000000000005</v>
      </c>
      <c r="H884" s="1">
        <v>1</v>
      </c>
      <c r="I884" s="1" t="str">
        <f>TEXT(SalesTable[[#This Row],[Order_Date]],"mmm")</f>
        <v>Jun</v>
      </c>
      <c r="J884" s="1">
        <f>YEAR(SalesTable[[#This Row],[Order_Date]])</f>
        <v>2024</v>
      </c>
      <c r="K884" s="4">
        <v>-83.21</v>
      </c>
      <c r="L884" s="9">
        <f>SalesTable[[#This Row],[Profit]]/SalesTable[[#This Row],[Sales]]</f>
        <v>-0.14469542838263166</v>
      </c>
    </row>
    <row r="885" spans="1:12" ht="14" x14ac:dyDescent="0.15">
      <c r="A885" s="1">
        <v>10884</v>
      </c>
      <c r="B885" s="2">
        <v>45445</v>
      </c>
      <c r="C885" s="1" t="s">
        <v>10</v>
      </c>
      <c r="D885" s="1" t="s">
        <v>14</v>
      </c>
      <c r="E885" s="1" t="s">
        <v>16</v>
      </c>
      <c r="F885" s="1" t="s">
        <v>21</v>
      </c>
      <c r="G885" s="4">
        <v>159</v>
      </c>
      <c r="H885" s="1">
        <v>6</v>
      </c>
      <c r="I885" s="1" t="str">
        <f>TEXT(SalesTable[[#This Row],[Order_Date]],"mmm")</f>
        <v>Jun</v>
      </c>
      <c r="J885" s="1">
        <f>YEAR(SalesTable[[#This Row],[Order_Date]])</f>
        <v>2024</v>
      </c>
      <c r="K885" s="4">
        <v>88.43</v>
      </c>
      <c r="L885" s="9">
        <f>SalesTable[[#This Row],[Profit]]/SalesTable[[#This Row],[Sales]]</f>
        <v>0.55616352201257868</v>
      </c>
    </row>
    <row r="886" spans="1:12" ht="14" x14ac:dyDescent="0.15">
      <c r="A886" s="1">
        <v>10885</v>
      </c>
      <c r="B886" s="2">
        <v>45446</v>
      </c>
      <c r="C886" s="1" t="s">
        <v>10</v>
      </c>
      <c r="D886" s="1" t="s">
        <v>15</v>
      </c>
      <c r="E886" s="1" t="s">
        <v>19</v>
      </c>
      <c r="F886" s="1" t="s">
        <v>25</v>
      </c>
      <c r="G886" s="4">
        <v>169.83</v>
      </c>
      <c r="H886" s="1">
        <v>3</v>
      </c>
      <c r="I886" s="1" t="str">
        <f>TEXT(SalesTable[[#This Row],[Order_Date]],"mmm")</f>
        <v>Jun</v>
      </c>
      <c r="J886" s="1">
        <f>YEAR(SalesTable[[#This Row],[Order_Date]])</f>
        <v>2024</v>
      </c>
      <c r="K886" s="4">
        <v>59.18</v>
      </c>
      <c r="L886" s="9">
        <f>SalesTable[[#This Row],[Profit]]/SalesTable[[#This Row],[Sales]]</f>
        <v>0.3484661131719955</v>
      </c>
    </row>
    <row r="887" spans="1:12" ht="14" x14ac:dyDescent="0.15">
      <c r="A887" s="1">
        <v>10886</v>
      </c>
      <c r="B887" s="2">
        <v>45447</v>
      </c>
      <c r="C887" s="1" t="s">
        <v>11</v>
      </c>
      <c r="D887" s="1" t="s">
        <v>14</v>
      </c>
      <c r="E887" s="1" t="s">
        <v>19</v>
      </c>
      <c r="F887" s="1" t="s">
        <v>21</v>
      </c>
      <c r="G887" s="4">
        <v>553.05999999999995</v>
      </c>
      <c r="H887" s="1">
        <v>9</v>
      </c>
      <c r="I887" s="1" t="str">
        <f>TEXT(SalesTable[[#This Row],[Order_Date]],"mmm")</f>
        <v>Jun</v>
      </c>
      <c r="J887" s="1">
        <f>YEAR(SalesTable[[#This Row],[Order_Date]])</f>
        <v>2024</v>
      </c>
      <c r="K887" s="4">
        <v>24.06</v>
      </c>
      <c r="L887" s="9">
        <f>SalesTable[[#This Row],[Profit]]/SalesTable[[#This Row],[Sales]]</f>
        <v>4.3503417350739523E-2</v>
      </c>
    </row>
    <row r="888" spans="1:12" ht="14" x14ac:dyDescent="0.15">
      <c r="A888" s="1">
        <v>10887</v>
      </c>
      <c r="B888" s="2">
        <v>45448</v>
      </c>
      <c r="C888" s="1" t="s">
        <v>11</v>
      </c>
      <c r="D888" s="1" t="s">
        <v>13</v>
      </c>
      <c r="E888" s="1" t="s">
        <v>16</v>
      </c>
      <c r="F888" s="1" t="s">
        <v>25</v>
      </c>
      <c r="G888" s="4">
        <v>305.42</v>
      </c>
      <c r="H888" s="1">
        <v>5</v>
      </c>
      <c r="I888" s="1" t="str">
        <f>TEXT(SalesTable[[#This Row],[Order_Date]],"mmm")</f>
        <v>Jun</v>
      </c>
      <c r="J888" s="1">
        <f>YEAR(SalesTable[[#This Row],[Order_Date]])</f>
        <v>2024</v>
      </c>
      <c r="K888" s="4">
        <v>80.53</v>
      </c>
      <c r="L888" s="9">
        <f>SalesTable[[#This Row],[Profit]]/SalesTable[[#This Row],[Sales]]</f>
        <v>0.26366970073996465</v>
      </c>
    </row>
    <row r="889" spans="1:12" ht="14" x14ac:dyDescent="0.15">
      <c r="A889" s="1">
        <v>10888</v>
      </c>
      <c r="B889" s="2">
        <v>45449</v>
      </c>
      <c r="C889" s="1" t="s">
        <v>12</v>
      </c>
      <c r="D889" s="1" t="s">
        <v>13</v>
      </c>
      <c r="E889" s="1" t="s">
        <v>18</v>
      </c>
      <c r="F889" s="1" t="s">
        <v>24</v>
      </c>
      <c r="G889" s="4">
        <v>69.989999999999995</v>
      </c>
      <c r="H889" s="1">
        <v>6</v>
      </c>
      <c r="I889" s="1" t="str">
        <f>TEXT(SalesTable[[#This Row],[Order_Date]],"mmm")</f>
        <v>Jun</v>
      </c>
      <c r="J889" s="1">
        <f>YEAR(SalesTable[[#This Row],[Order_Date]])</f>
        <v>2024</v>
      </c>
      <c r="K889" s="4">
        <v>53.68</v>
      </c>
      <c r="L889" s="9">
        <f>SalesTable[[#This Row],[Profit]]/SalesTable[[#This Row],[Sales]]</f>
        <v>0.76696670952993284</v>
      </c>
    </row>
    <row r="890" spans="1:12" ht="14" x14ac:dyDescent="0.15">
      <c r="A890" s="1">
        <v>10889</v>
      </c>
      <c r="B890" s="2">
        <v>45450</v>
      </c>
      <c r="C890" s="1" t="s">
        <v>10</v>
      </c>
      <c r="D890" s="1" t="s">
        <v>15</v>
      </c>
      <c r="E890" s="1" t="s">
        <v>16</v>
      </c>
      <c r="F890" s="1" t="s">
        <v>24</v>
      </c>
      <c r="G890" s="4">
        <v>736.7</v>
      </c>
      <c r="H890" s="1">
        <v>9</v>
      </c>
      <c r="I890" s="1" t="str">
        <f>TEXT(SalesTable[[#This Row],[Order_Date]],"mmm")</f>
        <v>Jun</v>
      </c>
      <c r="J890" s="1">
        <f>YEAR(SalesTable[[#This Row],[Order_Date]])</f>
        <v>2024</v>
      </c>
      <c r="K890" s="4">
        <v>72.930000000000007</v>
      </c>
      <c r="L890" s="9">
        <f>SalesTable[[#This Row],[Profit]]/SalesTable[[#This Row],[Sales]]</f>
        <v>9.8995520564680334E-2</v>
      </c>
    </row>
    <row r="891" spans="1:12" ht="14" x14ac:dyDescent="0.15">
      <c r="A891" s="1">
        <v>10890</v>
      </c>
      <c r="B891" s="2">
        <v>45451</v>
      </c>
      <c r="C891" s="1" t="s">
        <v>11</v>
      </c>
      <c r="D891" s="1" t="s">
        <v>14</v>
      </c>
      <c r="E891" s="1" t="s">
        <v>19</v>
      </c>
      <c r="F891" s="1" t="s">
        <v>22</v>
      </c>
      <c r="G891" s="4">
        <v>80.86</v>
      </c>
      <c r="H891" s="1">
        <v>9</v>
      </c>
      <c r="I891" s="1" t="str">
        <f>TEXT(SalesTable[[#This Row],[Order_Date]],"mmm")</f>
        <v>Jun</v>
      </c>
      <c r="J891" s="1">
        <f>YEAR(SalesTable[[#This Row],[Order_Date]])</f>
        <v>2024</v>
      </c>
      <c r="K891" s="4">
        <v>291.7</v>
      </c>
      <c r="L891" s="9">
        <f>SalesTable[[#This Row],[Profit]]/SalesTable[[#This Row],[Sales]]</f>
        <v>3.6074697007172891</v>
      </c>
    </row>
    <row r="892" spans="1:12" ht="14" x14ac:dyDescent="0.15">
      <c r="A892" s="1">
        <v>10891</v>
      </c>
      <c r="B892" s="2">
        <v>45452</v>
      </c>
      <c r="C892" s="1" t="s">
        <v>9</v>
      </c>
      <c r="D892" s="1" t="s">
        <v>13</v>
      </c>
      <c r="E892" s="1" t="s">
        <v>16</v>
      </c>
      <c r="F892" s="1" t="s">
        <v>25</v>
      </c>
      <c r="G892" s="4">
        <v>615.51</v>
      </c>
      <c r="H892" s="1">
        <v>8</v>
      </c>
      <c r="I892" s="1" t="str">
        <f>TEXT(SalesTable[[#This Row],[Order_Date]],"mmm")</f>
        <v>Jun</v>
      </c>
      <c r="J892" s="1">
        <f>YEAR(SalesTable[[#This Row],[Order_Date]])</f>
        <v>2024</v>
      </c>
      <c r="K892" s="4">
        <v>-64.55</v>
      </c>
      <c r="L892" s="9">
        <f>SalesTable[[#This Row],[Profit]]/SalesTable[[#This Row],[Sales]]</f>
        <v>-0.10487238225211613</v>
      </c>
    </row>
    <row r="893" spans="1:12" ht="14" x14ac:dyDescent="0.15">
      <c r="A893" s="1">
        <v>10892</v>
      </c>
      <c r="B893" s="2">
        <v>45453</v>
      </c>
      <c r="C893" s="1" t="s">
        <v>9</v>
      </c>
      <c r="D893" s="1" t="s">
        <v>14</v>
      </c>
      <c r="E893" s="1" t="s">
        <v>16</v>
      </c>
      <c r="F893" s="1" t="s">
        <v>25</v>
      </c>
      <c r="G893" s="4">
        <v>562.23</v>
      </c>
      <c r="H893" s="1">
        <v>9</v>
      </c>
      <c r="I893" s="1" t="str">
        <f>TEXT(SalesTable[[#This Row],[Order_Date]],"mmm")</f>
        <v>Jun</v>
      </c>
      <c r="J893" s="1">
        <f>YEAR(SalesTable[[#This Row],[Order_Date]])</f>
        <v>2024</v>
      </c>
      <c r="K893" s="4">
        <v>268.89</v>
      </c>
      <c r="L893" s="9">
        <f>SalesTable[[#This Row],[Profit]]/SalesTable[[#This Row],[Sales]]</f>
        <v>0.47825622965690195</v>
      </c>
    </row>
    <row r="894" spans="1:12" ht="14" x14ac:dyDescent="0.15">
      <c r="A894" s="1">
        <v>10893</v>
      </c>
      <c r="B894" s="2">
        <v>45454</v>
      </c>
      <c r="C894" s="1" t="s">
        <v>11</v>
      </c>
      <c r="D894" s="1" t="s">
        <v>14</v>
      </c>
      <c r="E894" s="1" t="s">
        <v>18</v>
      </c>
      <c r="F894" s="1" t="s">
        <v>23</v>
      </c>
      <c r="G894" s="4">
        <v>970.37</v>
      </c>
      <c r="H894" s="1">
        <v>4</v>
      </c>
      <c r="I894" s="1" t="str">
        <f>TEXT(SalesTable[[#This Row],[Order_Date]],"mmm")</f>
        <v>Jun</v>
      </c>
      <c r="J894" s="1">
        <f>YEAR(SalesTable[[#This Row],[Order_Date]])</f>
        <v>2024</v>
      </c>
      <c r="K894" s="4">
        <v>92.09</v>
      </c>
      <c r="L894" s="9">
        <f>SalesTable[[#This Row],[Profit]]/SalesTable[[#This Row],[Sales]]</f>
        <v>9.4901944619062831E-2</v>
      </c>
    </row>
    <row r="895" spans="1:12" ht="14" x14ac:dyDescent="0.15">
      <c r="A895" s="1">
        <v>10894</v>
      </c>
      <c r="B895" s="2">
        <v>45455</v>
      </c>
      <c r="C895" s="1" t="s">
        <v>11</v>
      </c>
      <c r="D895" s="1" t="s">
        <v>15</v>
      </c>
      <c r="E895" s="1" t="s">
        <v>20</v>
      </c>
      <c r="F895" s="1" t="s">
        <v>23</v>
      </c>
      <c r="G895" s="4">
        <v>510</v>
      </c>
      <c r="H895" s="1">
        <v>6</v>
      </c>
      <c r="I895" s="1" t="str">
        <f>TEXT(SalesTable[[#This Row],[Order_Date]],"mmm")</f>
        <v>Jun</v>
      </c>
      <c r="J895" s="1">
        <f>YEAR(SalesTable[[#This Row],[Order_Date]])</f>
        <v>2024</v>
      </c>
      <c r="K895" s="4">
        <v>149.5</v>
      </c>
      <c r="L895" s="9">
        <f>SalesTable[[#This Row],[Profit]]/SalesTable[[#This Row],[Sales]]</f>
        <v>0.2931372549019608</v>
      </c>
    </row>
    <row r="896" spans="1:12" ht="14" x14ac:dyDescent="0.15">
      <c r="A896" s="1">
        <v>10895</v>
      </c>
      <c r="B896" s="2">
        <v>45456</v>
      </c>
      <c r="C896" s="1" t="s">
        <v>10</v>
      </c>
      <c r="D896" s="1" t="s">
        <v>13</v>
      </c>
      <c r="E896" s="1" t="s">
        <v>19</v>
      </c>
      <c r="F896" s="1" t="s">
        <v>23</v>
      </c>
      <c r="G896" s="4">
        <v>110.42</v>
      </c>
      <c r="H896" s="1">
        <v>5</v>
      </c>
      <c r="I896" s="1" t="str">
        <f>TEXT(SalesTable[[#This Row],[Order_Date]],"mmm")</f>
        <v>Jun</v>
      </c>
      <c r="J896" s="1">
        <f>YEAR(SalesTable[[#This Row],[Order_Date]])</f>
        <v>2024</v>
      </c>
      <c r="K896" s="4">
        <v>232.07</v>
      </c>
      <c r="L896" s="9">
        <f>SalesTable[[#This Row],[Profit]]/SalesTable[[#This Row],[Sales]]</f>
        <v>2.1017025901104871</v>
      </c>
    </row>
    <row r="897" spans="1:12" ht="14" x14ac:dyDescent="0.15">
      <c r="A897" s="1">
        <v>10896</v>
      </c>
      <c r="B897" s="2">
        <v>45457</v>
      </c>
      <c r="C897" s="1" t="s">
        <v>10</v>
      </c>
      <c r="D897" s="1" t="s">
        <v>15</v>
      </c>
      <c r="E897" s="1" t="s">
        <v>18</v>
      </c>
      <c r="F897" s="1" t="s">
        <v>21</v>
      </c>
      <c r="G897" s="4">
        <v>574.1</v>
      </c>
      <c r="H897" s="1">
        <v>5</v>
      </c>
      <c r="I897" s="1" t="str">
        <f>TEXT(SalesTable[[#This Row],[Order_Date]],"mmm")</f>
        <v>Jun</v>
      </c>
      <c r="J897" s="1">
        <f>YEAR(SalesTable[[#This Row],[Order_Date]])</f>
        <v>2024</v>
      </c>
      <c r="K897" s="4">
        <v>44.19</v>
      </c>
      <c r="L897" s="9">
        <f>SalesTable[[#This Row],[Profit]]/SalesTable[[#This Row],[Sales]]</f>
        <v>7.6972652847935891E-2</v>
      </c>
    </row>
    <row r="898" spans="1:12" ht="14" x14ac:dyDescent="0.15">
      <c r="A898" s="1">
        <v>10897</v>
      </c>
      <c r="B898" s="2">
        <v>45458</v>
      </c>
      <c r="C898" s="1" t="s">
        <v>12</v>
      </c>
      <c r="D898" s="1" t="s">
        <v>15</v>
      </c>
      <c r="E898" s="1" t="s">
        <v>16</v>
      </c>
      <c r="F898" s="1" t="s">
        <v>23</v>
      </c>
      <c r="G898" s="4">
        <v>849.04</v>
      </c>
      <c r="H898" s="1">
        <v>4</v>
      </c>
      <c r="I898" s="1" t="str">
        <f>TEXT(SalesTable[[#This Row],[Order_Date]],"mmm")</f>
        <v>Jun</v>
      </c>
      <c r="J898" s="1">
        <f>YEAR(SalesTable[[#This Row],[Order_Date]])</f>
        <v>2024</v>
      </c>
      <c r="K898" s="4">
        <v>72.17</v>
      </c>
      <c r="L898" s="9">
        <f>SalesTable[[#This Row],[Profit]]/SalesTable[[#This Row],[Sales]]</f>
        <v>8.500188448129653E-2</v>
      </c>
    </row>
    <row r="899" spans="1:12" ht="14" x14ac:dyDescent="0.15">
      <c r="A899" s="1">
        <v>10898</v>
      </c>
      <c r="B899" s="2">
        <v>45459</v>
      </c>
      <c r="C899" s="1" t="s">
        <v>10</v>
      </c>
      <c r="D899" s="1" t="s">
        <v>13</v>
      </c>
      <c r="E899" s="1" t="s">
        <v>16</v>
      </c>
      <c r="F899" s="1" t="s">
        <v>25</v>
      </c>
      <c r="G899" s="4">
        <v>997.01</v>
      </c>
      <c r="H899" s="1">
        <v>2</v>
      </c>
      <c r="I899" s="1" t="str">
        <f>TEXT(SalesTable[[#This Row],[Order_Date]],"mmm")</f>
        <v>Jun</v>
      </c>
      <c r="J899" s="1">
        <f>YEAR(SalesTable[[#This Row],[Order_Date]])</f>
        <v>2024</v>
      </c>
      <c r="K899" s="4">
        <v>63.81</v>
      </c>
      <c r="L899" s="9">
        <f>SalesTable[[#This Row],[Profit]]/SalesTable[[#This Row],[Sales]]</f>
        <v>6.4001364078594997E-2</v>
      </c>
    </row>
    <row r="900" spans="1:12" ht="14" x14ac:dyDescent="0.15">
      <c r="A900" s="1">
        <v>10899</v>
      </c>
      <c r="B900" s="2">
        <v>45460</v>
      </c>
      <c r="C900" s="1" t="s">
        <v>9</v>
      </c>
      <c r="D900" s="1" t="s">
        <v>13</v>
      </c>
      <c r="E900" s="1" t="s">
        <v>20</v>
      </c>
      <c r="F900" s="1" t="s">
        <v>21</v>
      </c>
      <c r="G900" s="4">
        <v>458.83</v>
      </c>
      <c r="H900" s="1">
        <v>6</v>
      </c>
      <c r="I900" s="1" t="str">
        <f>TEXT(SalesTable[[#This Row],[Order_Date]],"mmm")</f>
        <v>Jun</v>
      </c>
      <c r="J900" s="1">
        <f>YEAR(SalesTable[[#This Row],[Order_Date]])</f>
        <v>2024</v>
      </c>
      <c r="K900" s="4">
        <v>49.89</v>
      </c>
      <c r="L900" s="9">
        <f>SalesTable[[#This Row],[Profit]]/SalesTable[[#This Row],[Sales]]</f>
        <v>0.10873308196935685</v>
      </c>
    </row>
    <row r="901" spans="1:12" ht="14" x14ac:dyDescent="0.15">
      <c r="A901" s="1">
        <v>10900</v>
      </c>
      <c r="B901" s="2">
        <v>45461</v>
      </c>
      <c r="C901" s="1" t="s">
        <v>9</v>
      </c>
      <c r="D901" s="1" t="s">
        <v>14</v>
      </c>
      <c r="E901" s="1" t="s">
        <v>19</v>
      </c>
      <c r="F901" s="1" t="s">
        <v>24</v>
      </c>
      <c r="G901" s="4">
        <v>354.28</v>
      </c>
      <c r="H901" s="1">
        <v>9</v>
      </c>
      <c r="I901" s="1" t="str">
        <f>TEXT(SalesTable[[#This Row],[Order_Date]],"mmm")</f>
        <v>Jun</v>
      </c>
      <c r="J901" s="1">
        <f>YEAR(SalesTable[[#This Row],[Order_Date]])</f>
        <v>2024</v>
      </c>
      <c r="K901" s="4">
        <v>270.20999999999998</v>
      </c>
      <c r="L901" s="9">
        <f>SalesTable[[#This Row],[Profit]]/SalesTable[[#This Row],[Sales]]</f>
        <v>0.76270181777125434</v>
      </c>
    </row>
    <row r="902" spans="1:12" ht="14" x14ac:dyDescent="0.15">
      <c r="A902" s="1">
        <v>10901</v>
      </c>
      <c r="B902" s="2">
        <v>45462</v>
      </c>
      <c r="C902" s="1" t="s">
        <v>11</v>
      </c>
      <c r="D902" s="1" t="s">
        <v>13</v>
      </c>
      <c r="E902" s="1" t="s">
        <v>19</v>
      </c>
      <c r="F902" s="1" t="s">
        <v>22</v>
      </c>
      <c r="G902" s="4">
        <v>911.32</v>
      </c>
      <c r="H902" s="1">
        <v>1</v>
      </c>
      <c r="I902" s="1" t="str">
        <f>TEXT(SalesTable[[#This Row],[Order_Date]],"mmm")</f>
        <v>Jun</v>
      </c>
      <c r="J902" s="1">
        <f>YEAR(SalesTable[[#This Row],[Order_Date]])</f>
        <v>2024</v>
      </c>
      <c r="K902" s="4">
        <v>231.57</v>
      </c>
      <c r="L902" s="9">
        <f>SalesTable[[#This Row],[Profit]]/SalesTable[[#This Row],[Sales]]</f>
        <v>0.25410393714611768</v>
      </c>
    </row>
    <row r="903" spans="1:12" ht="14" x14ac:dyDescent="0.15">
      <c r="A903" s="1">
        <v>10902</v>
      </c>
      <c r="B903" s="2">
        <v>45463</v>
      </c>
      <c r="C903" s="1" t="s">
        <v>10</v>
      </c>
      <c r="D903" s="1" t="s">
        <v>14</v>
      </c>
      <c r="E903" s="1" t="s">
        <v>17</v>
      </c>
      <c r="F903" s="1" t="s">
        <v>23</v>
      </c>
      <c r="G903" s="4">
        <v>231.68</v>
      </c>
      <c r="H903" s="1">
        <v>7</v>
      </c>
      <c r="I903" s="1" t="str">
        <f>TEXT(SalesTable[[#This Row],[Order_Date]],"mmm")</f>
        <v>Jun</v>
      </c>
      <c r="J903" s="1">
        <f>YEAR(SalesTable[[#This Row],[Order_Date]])</f>
        <v>2024</v>
      </c>
      <c r="K903" s="4">
        <v>-56.4</v>
      </c>
      <c r="L903" s="9">
        <f>SalesTable[[#This Row],[Profit]]/SalesTable[[#This Row],[Sales]]</f>
        <v>-0.243439226519337</v>
      </c>
    </row>
    <row r="904" spans="1:12" ht="14" x14ac:dyDescent="0.15">
      <c r="A904" s="1">
        <v>10903</v>
      </c>
      <c r="B904" s="2">
        <v>45464</v>
      </c>
      <c r="C904" s="1" t="s">
        <v>12</v>
      </c>
      <c r="D904" s="1" t="s">
        <v>14</v>
      </c>
      <c r="E904" s="1" t="s">
        <v>19</v>
      </c>
      <c r="F904" s="1" t="s">
        <v>24</v>
      </c>
      <c r="G904" s="4">
        <v>634.66</v>
      </c>
      <c r="H904" s="1">
        <v>6</v>
      </c>
      <c r="I904" s="1" t="str">
        <f>TEXT(SalesTable[[#This Row],[Order_Date]],"mmm")</f>
        <v>Jun</v>
      </c>
      <c r="J904" s="1">
        <f>YEAR(SalesTable[[#This Row],[Order_Date]])</f>
        <v>2024</v>
      </c>
      <c r="K904" s="4">
        <v>-56.75</v>
      </c>
      <c r="L904" s="9">
        <f>SalesTable[[#This Row],[Profit]]/SalesTable[[#This Row],[Sales]]</f>
        <v>-8.9417956070967142E-2</v>
      </c>
    </row>
    <row r="905" spans="1:12" ht="14" x14ac:dyDescent="0.15">
      <c r="A905" s="1">
        <v>10904</v>
      </c>
      <c r="B905" s="2">
        <v>45465</v>
      </c>
      <c r="C905" s="1" t="s">
        <v>9</v>
      </c>
      <c r="D905" s="1" t="s">
        <v>14</v>
      </c>
      <c r="E905" s="1" t="s">
        <v>20</v>
      </c>
      <c r="F905" s="1" t="s">
        <v>25</v>
      </c>
      <c r="G905" s="4">
        <v>435.43</v>
      </c>
      <c r="H905" s="1">
        <v>3</v>
      </c>
      <c r="I905" s="1" t="str">
        <f>TEXT(SalesTable[[#This Row],[Order_Date]],"mmm")</f>
        <v>Jun</v>
      </c>
      <c r="J905" s="1">
        <f>YEAR(SalesTable[[#This Row],[Order_Date]])</f>
        <v>2024</v>
      </c>
      <c r="K905" s="4">
        <v>71.150000000000006</v>
      </c>
      <c r="L905" s="9">
        <f>SalesTable[[#This Row],[Profit]]/SalesTable[[#This Row],[Sales]]</f>
        <v>0.16340169487632916</v>
      </c>
    </row>
    <row r="906" spans="1:12" ht="14" x14ac:dyDescent="0.15">
      <c r="A906" s="1">
        <v>10905</v>
      </c>
      <c r="B906" s="2">
        <v>45466</v>
      </c>
      <c r="C906" s="1" t="s">
        <v>9</v>
      </c>
      <c r="D906" s="1" t="s">
        <v>13</v>
      </c>
      <c r="E906" s="1" t="s">
        <v>17</v>
      </c>
      <c r="F906" s="1" t="s">
        <v>22</v>
      </c>
      <c r="G906" s="4">
        <v>89.03</v>
      </c>
      <c r="H906" s="1">
        <v>1</v>
      </c>
      <c r="I906" s="1" t="str">
        <f>TEXT(SalesTable[[#This Row],[Order_Date]],"mmm")</f>
        <v>Jun</v>
      </c>
      <c r="J906" s="1">
        <f>YEAR(SalesTable[[#This Row],[Order_Date]])</f>
        <v>2024</v>
      </c>
      <c r="K906" s="4">
        <v>-60.54</v>
      </c>
      <c r="L906" s="9">
        <f>SalesTable[[#This Row],[Profit]]/SalesTable[[#This Row],[Sales]]</f>
        <v>-0.67999550713242729</v>
      </c>
    </row>
    <row r="907" spans="1:12" ht="14" x14ac:dyDescent="0.15">
      <c r="A907" s="1">
        <v>10906</v>
      </c>
      <c r="B907" s="2">
        <v>45467</v>
      </c>
      <c r="C907" s="1" t="s">
        <v>12</v>
      </c>
      <c r="D907" s="1" t="s">
        <v>15</v>
      </c>
      <c r="E907" s="1" t="s">
        <v>17</v>
      </c>
      <c r="F907" s="1" t="s">
        <v>24</v>
      </c>
      <c r="G907" s="4">
        <v>379.92</v>
      </c>
      <c r="H907" s="1">
        <v>4</v>
      </c>
      <c r="I907" s="1" t="str">
        <f>TEXT(SalesTable[[#This Row],[Order_Date]],"mmm")</f>
        <v>Jun</v>
      </c>
      <c r="J907" s="1">
        <f>YEAR(SalesTable[[#This Row],[Order_Date]])</f>
        <v>2024</v>
      </c>
      <c r="K907" s="4">
        <v>147.63999999999999</v>
      </c>
      <c r="L907" s="9">
        <f>SalesTable[[#This Row],[Profit]]/SalesTable[[#This Row],[Sales]]</f>
        <v>0.38860812802695299</v>
      </c>
    </row>
    <row r="908" spans="1:12" ht="14" x14ac:dyDescent="0.15">
      <c r="A908" s="1">
        <v>10907</v>
      </c>
      <c r="B908" s="2">
        <v>45468</v>
      </c>
      <c r="C908" s="1" t="s">
        <v>12</v>
      </c>
      <c r="D908" s="1" t="s">
        <v>14</v>
      </c>
      <c r="E908" s="1" t="s">
        <v>16</v>
      </c>
      <c r="F908" s="1" t="s">
        <v>22</v>
      </c>
      <c r="G908" s="4">
        <v>301.97000000000003</v>
      </c>
      <c r="H908" s="1">
        <v>9</v>
      </c>
      <c r="I908" s="1" t="str">
        <f>TEXT(SalesTable[[#This Row],[Order_Date]],"mmm")</f>
        <v>Jun</v>
      </c>
      <c r="J908" s="1">
        <f>YEAR(SalesTable[[#This Row],[Order_Date]])</f>
        <v>2024</v>
      </c>
      <c r="K908" s="4">
        <v>-42.52</v>
      </c>
      <c r="L908" s="9">
        <f>SalesTable[[#This Row],[Profit]]/SalesTable[[#This Row],[Sales]]</f>
        <v>-0.14080868960492765</v>
      </c>
    </row>
    <row r="909" spans="1:12" ht="14" x14ac:dyDescent="0.15">
      <c r="A909" s="1">
        <v>10908</v>
      </c>
      <c r="B909" s="2">
        <v>45469</v>
      </c>
      <c r="C909" s="1" t="s">
        <v>9</v>
      </c>
      <c r="D909" s="1" t="s">
        <v>15</v>
      </c>
      <c r="E909" s="1" t="s">
        <v>16</v>
      </c>
      <c r="F909" s="1" t="s">
        <v>23</v>
      </c>
      <c r="G909" s="4">
        <v>701.79</v>
      </c>
      <c r="H909" s="1">
        <v>2</v>
      </c>
      <c r="I909" s="1" t="str">
        <f>TEXT(SalesTable[[#This Row],[Order_Date]],"mmm")</f>
        <v>Jun</v>
      </c>
      <c r="J909" s="1">
        <f>YEAR(SalesTable[[#This Row],[Order_Date]])</f>
        <v>2024</v>
      </c>
      <c r="K909" s="4">
        <v>108.95</v>
      </c>
      <c r="L909" s="9">
        <f>SalesTable[[#This Row],[Profit]]/SalesTable[[#This Row],[Sales]]</f>
        <v>0.15524587127203296</v>
      </c>
    </row>
    <row r="910" spans="1:12" ht="14" x14ac:dyDescent="0.15">
      <c r="A910" s="1">
        <v>10909</v>
      </c>
      <c r="B910" s="2">
        <v>45470</v>
      </c>
      <c r="C910" s="1" t="s">
        <v>9</v>
      </c>
      <c r="D910" s="1" t="s">
        <v>15</v>
      </c>
      <c r="E910" s="1" t="s">
        <v>19</v>
      </c>
      <c r="F910" s="1" t="s">
        <v>25</v>
      </c>
      <c r="G910" s="4">
        <v>951.35</v>
      </c>
      <c r="H910" s="1">
        <v>3</v>
      </c>
      <c r="I910" s="1" t="str">
        <f>TEXT(SalesTable[[#This Row],[Order_Date]],"mmm")</f>
        <v>Jun</v>
      </c>
      <c r="J910" s="1">
        <f>YEAR(SalesTable[[#This Row],[Order_Date]])</f>
        <v>2024</v>
      </c>
      <c r="K910" s="4">
        <v>-97.11</v>
      </c>
      <c r="L910" s="9">
        <f>SalesTable[[#This Row],[Profit]]/SalesTable[[#This Row],[Sales]]</f>
        <v>-0.10207599726704157</v>
      </c>
    </row>
    <row r="911" spans="1:12" ht="14" x14ac:dyDescent="0.15">
      <c r="A911" s="1">
        <v>10910</v>
      </c>
      <c r="B911" s="2">
        <v>45471</v>
      </c>
      <c r="C911" s="1" t="s">
        <v>12</v>
      </c>
      <c r="D911" s="1" t="s">
        <v>13</v>
      </c>
      <c r="E911" s="1" t="s">
        <v>17</v>
      </c>
      <c r="F911" s="1" t="s">
        <v>22</v>
      </c>
      <c r="G911" s="4">
        <v>304.64</v>
      </c>
      <c r="H911" s="1">
        <v>2</v>
      </c>
      <c r="I911" s="1" t="str">
        <f>TEXT(SalesTable[[#This Row],[Order_Date]],"mmm")</f>
        <v>Jun</v>
      </c>
      <c r="J911" s="1">
        <f>YEAR(SalesTable[[#This Row],[Order_Date]])</f>
        <v>2024</v>
      </c>
      <c r="K911" s="4">
        <v>26.64</v>
      </c>
      <c r="L911" s="9">
        <f>SalesTable[[#This Row],[Profit]]/SalesTable[[#This Row],[Sales]]</f>
        <v>8.7447478991596647E-2</v>
      </c>
    </row>
    <row r="912" spans="1:12" ht="14" x14ac:dyDescent="0.15">
      <c r="A912" s="1">
        <v>10911</v>
      </c>
      <c r="B912" s="2">
        <v>45472</v>
      </c>
      <c r="C912" s="1" t="s">
        <v>9</v>
      </c>
      <c r="D912" s="1" t="s">
        <v>15</v>
      </c>
      <c r="E912" s="1" t="s">
        <v>16</v>
      </c>
      <c r="F912" s="1" t="s">
        <v>24</v>
      </c>
      <c r="G912" s="4">
        <v>820.89</v>
      </c>
      <c r="H912" s="1">
        <v>2</v>
      </c>
      <c r="I912" s="1" t="str">
        <f>TEXT(SalesTable[[#This Row],[Order_Date]],"mmm")</f>
        <v>Jun</v>
      </c>
      <c r="J912" s="1">
        <f>YEAR(SalesTable[[#This Row],[Order_Date]])</f>
        <v>2024</v>
      </c>
      <c r="K912" s="4">
        <v>170.88</v>
      </c>
      <c r="L912" s="9">
        <f>SalesTable[[#This Row],[Profit]]/SalesTable[[#This Row],[Sales]]</f>
        <v>0.20816430946899098</v>
      </c>
    </row>
    <row r="913" spans="1:12" ht="14" x14ac:dyDescent="0.15">
      <c r="A913" s="1">
        <v>10912</v>
      </c>
      <c r="B913" s="2">
        <v>45473</v>
      </c>
      <c r="C913" s="1" t="s">
        <v>11</v>
      </c>
      <c r="D913" s="1" t="s">
        <v>15</v>
      </c>
      <c r="E913" s="1" t="s">
        <v>20</v>
      </c>
      <c r="F913" s="1" t="s">
        <v>23</v>
      </c>
      <c r="G913" s="4">
        <v>102.59</v>
      </c>
      <c r="H913" s="1">
        <v>8</v>
      </c>
      <c r="I913" s="1" t="str">
        <f>TEXT(SalesTable[[#This Row],[Order_Date]],"mmm")</f>
        <v>Jun</v>
      </c>
      <c r="J913" s="1">
        <f>YEAR(SalesTable[[#This Row],[Order_Date]])</f>
        <v>2024</v>
      </c>
      <c r="K913" s="4">
        <v>93.62</v>
      </c>
      <c r="L913" s="9">
        <f>SalesTable[[#This Row],[Profit]]/SalesTable[[#This Row],[Sales]]</f>
        <v>0.91256457744419539</v>
      </c>
    </row>
    <row r="914" spans="1:12" ht="14" x14ac:dyDescent="0.15">
      <c r="A914" s="1">
        <v>10913</v>
      </c>
      <c r="B914" s="2">
        <v>45474</v>
      </c>
      <c r="C914" s="1" t="s">
        <v>11</v>
      </c>
      <c r="D914" s="1" t="s">
        <v>13</v>
      </c>
      <c r="E914" s="1" t="s">
        <v>16</v>
      </c>
      <c r="F914" s="1" t="s">
        <v>23</v>
      </c>
      <c r="G914" s="4">
        <v>561.21</v>
      </c>
      <c r="H914" s="1">
        <v>3</v>
      </c>
      <c r="I914" s="1" t="str">
        <f>TEXT(SalesTable[[#This Row],[Order_Date]],"mmm")</f>
        <v>Jul</v>
      </c>
      <c r="J914" s="1">
        <f>YEAR(SalesTable[[#This Row],[Order_Date]])</f>
        <v>2024</v>
      </c>
      <c r="K914" s="4">
        <v>291.31</v>
      </c>
      <c r="L914" s="9">
        <f>SalesTable[[#This Row],[Profit]]/SalesTable[[#This Row],[Sales]]</f>
        <v>0.51907485611446691</v>
      </c>
    </row>
    <row r="915" spans="1:12" ht="14" x14ac:dyDescent="0.15">
      <c r="A915" s="1">
        <v>10914</v>
      </c>
      <c r="B915" s="2">
        <v>45475</v>
      </c>
      <c r="C915" s="1" t="s">
        <v>12</v>
      </c>
      <c r="D915" s="1" t="s">
        <v>14</v>
      </c>
      <c r="E915" s="1" t="s">
        <v>16</v>
      </c>
      <c r="F915" s="1" t="s">
        <v>24</v>
      </c>
      <c r="G915" s="4">
        <v>117.02</v>
      </c>
      <c r="H915" s="1">
        <v>7</v>
      </c>
      <c r="I915" s="1" t="str">
        <f>TEXT(SalesTable[[#This Row],[Order_Date]],"mmm")</f>
        <v>Jul</v>
      </c>
      <c r="J915" s="1">
        <f>YEAR(SalesTable[[#This Row],[Order_Date]])</f>
        <v>2024</v>
      </c>
      <c r="K915" s="4">
        <v>249.64</v>
      </c>
      <c r="L915" s="9">
        <f>SalesTable[[#This Row],[Profit]]/SalesTable[[#This Row],[Sales]]</f>
        <v>2.1333105452059478</v>
      </c>
    </row>
    <row r="916" spans="1:12" ht="14" x14ac:dyDescent="0.15">
      <c r="A916" s="1">
        <v>10915</v>
      </c>
      <c r="B916" s="2">
        <v>45476</v>
      </c>
      <c r="C916" s="1" t="s">
        <v>10</v>
      </c>
      <c r="D916" s="1" t="s">
        <v>15</v>
      </c>
      <c r="E916" s="1" t="s">
        <v>17</v>
      </c>
      <c r="F916" s="1" t="s">
        <v>24</v>
      </c>
      <c r="G916" s="4">
        <v>937.33</v>
      </c>
      <c r="H916" s="1">
        <v>8</v>
      </c>
      <c r="I916" s="1" t="str">
        <f>TEXT(SalesTable[[#This Row],[Order_Date]],"mmm")</f>
        <v>Jul</v>
      </c>
      <c r="J916" s="1">
        <f>YEAR(SalesTable[[#This Row],[Order_Date]])</f>
        <v>2024</v>
      </c>
      <c r="K916" s="4">
        <v>43.63</v>
      </c>
      <c r="L916" s="9">
        <f>SalesTable[[#This Row],[Profit]]/SalesTable[[#This Row],[Sales]]</f>
        <v>4.6547107208773857E-2</v>
      </c>
    </row>
    <row r="917" spans="1:12" ht="14" x14ac:dyDescent="0.15">
      <c r="A917" s="1">
        <v>10916</v>
      </c>
      <c r="B917" s="2">
        <v>45477</v>
      </c>
      <c r="C917" s="1" t="s">
        <v>12</v>
      </c>
      <c r="D917" s="1" t="s">
        <v>13</v>
      </c>
      <c r="E917" s="1" t="s">
        <v>17</v>
      </c>
      <c r="F917" s="1" t="s">
        <v>22</v>
      </c>
      <c r="G917" s="4">
        <v>778.03</v>
      </c>
      <c r="H917" s="1">
        <v>3</v>
      </c>
      <c r="I917" s="1" t="str">
        <f>TEXT(SalesTable[[#This Row],[Order_Date]],"mmm")</f>
        <v>Jul</v>
      </c>
      <c r="J917" s="1">
        <f>YEAR(SalesTable[[#This Row],[Order_Date]])</f>
        <v>2024</v>
      </c>
      <c r="K917" s="4">
        <v>-81.81</v>
      </c>
      <c r="L917" s="9">
        <f>SalesTable[[#This Row],[Profit]]/SalesTable[[#This Row],[Sales]]</f>
        <v>-0.10515018701078366</v>
      </c>
    </row>
    <row r="918" spans="1:12" ht="14" x14ac:dyDescent="0.15">
      <c r="A918" s="1">
        <v>10917</v>
      </c>
      <c r="B918" s="2">
        <v>45478</v>
      </c>
      <c r="C918" s="1" t="s">
        <v>12</v>
      </c>
      <c r="D918" s="1" t="s">
        <v>15</v>
      </c>
      <c r="E918" s="1" t="s">
        <v>18</v>
      </c>
      <c r="F918" s="1" t="s">
        <v>21</v>
      </c>
      <c r="G918" s="4">
        <v>675.05</v>
      </c>
      <c r="H918" s="1">
        <v>2</v>
      </c>
      <c r="I918" s="1" t="str">
        <f>TEXT(SalesTable[[#This Row],[Order_Date]],"mmm")</f>
        <v>Jul</v>
      </c>
      <c r="J918" s="1">
        <f>YEAR(SalesTable[[#This Row],[Order_Date]])</f>
        <v>2024</v>
      </c>
      <c r="K918" s="4">
        <v>238.25</v>
      </c>
      <c r="L918" s="9">
        <f>SalesTable[[#This Row],[Profit]]/SalesTable[[#This Row],[Sales]]</f>
        <v>0.35293681949485228</v>
      </c>
    </row>
    <row r="919" spans="1:12" ht="14" x14ac:dyDescent="0.15">
      <c r="A919" s="1">
        <v>10918</v>
      </c>
      <c r="B919" s="2">
        <v>45479</v>
      </c>
      <c r="C919" s="1" t="s">
        <v>10</v>
      </c>
      <c r="D919" s="1" t="s">
        <v>15</v>
      </c>
      <c r="E919" s="1" t="s">
        <v>20</v>
      </c>
      <c r="F919" s="1" t="s">
        <v>23</v>
      </c>
      <c r="G919" s="4">
        <v>832.7</v>
      </c>
      <c r="H919" s="1">
        <v>8</v>
      </c>
      <c r="I919" s="1" t="str">
        <f>TEXT(SalesTable[[#This Row],[Order_Date]],"mmm")</f>
        <v>Jul</v>
      </c>
      <c r="J919" s="1">
        <f>YEAR(SalesTable[[#This Row],[Order_Date]])</f>
        <v>2024</v>
      </c>
      <c r="K919" s="4">
        <v>264.49</v>
      </c>
      <c r="L919" s="9">
        <f>SalesTable[[#This Row],[Profit]]/SalesTable[[#This Row],[Sales]]</f>
        <v>0.31762939834274045</v>
      </c>
    </row>
    <row r="920" spans="1:12" ht="14" x14ac:dyDescent="0.15">
      <c r="A920" s="1">
        <v>10919</v>
      </c>
      <c r="B920" s="2">
        <v>45480</v>
      </c>
      <c r="C920" s="1" t="s">
        <v>10</v>
      </c>
      <c r="D920" s="1" t="s">
        <v>14</v>
      </c>
      <c r="E920" s="1" t="s">
        <v>17</v>
      </c>
      <c r="F920" s="1" t="s">
        <v>22</v>
      </c>
      <c r="G920" s="4">
        <v>665.14</v>
      </c>
      <c r="H920" s="1">
        <v>3</v>
      </c>
      <c r="I920" s="1" t="str">
        <f>TEXT(SalesTable[[#This Row],[Order_Date]],"mmm")</f>
        <v>Jul</v>
      </c>
      <c r="J920" s="1">
        <f>YEAR(SalesTable[[#This Row],[Order_Date]])</f>
        <v>2024</v>
      </c>
      <c r="K920" s="4">
        <v>228.25</v>
      </c>
      <c r="L920" s="9">
        <f>SalesTable[[#This Row],[Profit]]/SalesTable[[#This Row],[Sales]]</f>
        <v>0.34316083831975225</v>
      </c>
    </row>
    <row r="921" spans="1:12" ht="14" x14ac:dyDescent="0.15">
      <c r="A921" s="1">
        <v>10920</v>
      </c>
      <c r="B921" s="2">
        <v>45481</v>
      </c>
      <c r="C921" s="1" t="s">
        <v>10</v>
      </c>
      <c r="D921" s="1" t="s">
        <v>15</v>
      </c>
      <c r="E921" s="1" t="s">
        <v>19</v>
      </c>
      <c r="F921" s="1" t="s">
        <v>24</v>
      </c>
      <c r="G921" s="4">
        <v>970.5</v>
      </c>
      <c r="H921" s="1">
        <v>7</v>
      </c>
      <c r="I921" s="1" t="str">
        <f>TEXT(SalesTable[[#This Row],[Order_Date]],"mmm")</f>
        <v>Jul</v>
      </c>
      <c r="J921" s="1">
        <f>YEAR(SalesTable[[#This Row],[Order_Date]])</f>
        <v>2024</v>
      </c>
      <c r="K921" s="4">
        <v>-48.82</v>
      </c>
      <c r="L921" s="9">
        <f>SalesTable[[#This Row],[Profit]]/SalesTable[[#This Row],[Sales]]</f>
        <v>-5.030396702730551E-2</v>
      </c>
    </row>
    <row r="922" spans="1:12" ht="14" x14ac:dyDescent="0.15">
      <c r="A922" s="1">
        <v>10921</v>
      </c>
      <c r="B922" s="2">
        <v>45482</v>
      </c>
      <c r="C922" s="1" t="s">
        <v>11</v>
      </c>
      <c r="D922" s="1" t="s">
        <v>13</v>
      </c>
      <c r="E922" s="1" t="s">
        <v>20</v>
      </c>
      <c r="F922" s="1" t="s">
        <v>22</v>
      </c>
      <c r="G922" s="4">
        <v>728.26</v>
      </c>
      <c r="H922" s="1">
        <v>1</v>
      </c>
      <c r="I922" s="1" t="str">
        <f>TEXT(SalesTable[[#This Row],[Order_Date]],"mmm")</f>
        <v>Jul</v>
      </c>
      <c r="J922" s="1">
        <f>YEAR(SalesTable[[#This Row],[Order_Date]])</f>
        <v>2024</v>
      </c>
      <c r="K922" s="4">
        <v>299.17</v>
      </c>
      <c r="L922" s="9">
        <f>SalesTable[[#This Row],[Profit]]/SalesTable[[#This Row],[Sales]]</f>
        <v>0.4108010875236866</v>
      </c>
    </row>
    <row r="923" spans="1:12" ht="14" x14ac:dyDescent="0.15">
      <c r="A923" s="1">
        <v>10922</v>
      </c>
      <c r="B923" s="2">
        <v>45483</v>
      </c>
      <c r="C923" s="1" t="s">
        <v>9</v>
      </c>
      <c r="D923" s="1" t="s">
        <v>15</v>
      </c>
      <c r="E923" s="1" t="s">
        <v>20</v>
      </c>
      <c r="F923" s="1" t="s">
        <v>24</v>
      </c>
      <c r="G923" s="4">
        <v>928.43</v>
      </c>
      <c r="H923" s="1">
        <v>6</v>
      </c>
      <c r="I923" s="1" t="str">
        <f>TEXT(SalesTable[[#This Row],[Order_Date]],"mmm")</f>
        <v>Jul</v>
      </c>
      <c r="J923" s="1">
        <f>YEAR(SalesTable[[#This Row],[Order_Date]])</f>
        <v>2024</v>
      </c>
      <c r="K923" s="4">
        <v>3.43</v>
      </c>
      <c r="L923" s="9">
        <f>SalesTable[[#This Row],[Profit]]/SalesTable[[#This Row],[Sales]]</f>
        <v>3.6944088407311272E-3</v>
      </c>
    </row>
    <row r="924" spans="1:12" ht="14" x14ac:dyDescent="0.15">
      <c r="A924" s="1">
        <v>10923</v>
      </c>
      <c r="B924" s="2">
        <v>45484</v>
      </c>
      <c r="C924" s="1" t="s">
        <v>11</v>
      </c>
      <c r="D924" s="1" t="s">
        <v>14</v>
      </c>
      <c r="E924" s="1" t="s">
        <v>17</v>
      </c>
      <c r="F924" s="1" t="s">
        <v>25</v>
      </c>
      <c r="G924" s="4">
        <v>541.28</v>
      </c>
      <c r="H924" s="1">
        <v>9</v>
      </c>
      <c r="I924" s="1" t="str">
        <f>TEXT(SalesTable[[#This Row],[Order_Date]],"mmm")</f>
        <v>Jul</v>
      </c>
      <c r="J924" s="1">
        <f>YEAR(SalesTable[[#This Row],[Order_Date]])</f>
        <v>2024</v>
      </c>
      <c r="K924" s="4">
        <v>189.68</v>
      </c>
      <c r="L924" s="9">
        <f>SalesTable[[#This Row],[Profit]]/SalesTable[[#This Row],[Sales]]</f>
        <v>0.3504286136565179</v>
      </c>
    </row>
    <row r="925" spans="1:12" ht="14" x14ac:dyDescent="0.15">
      <c r="A925" s="1">
        <v>10924</v>
      </c>
      <c r="B925" s="2">
        <v>45485</v>
      </c>
      <c r="C925" s="1" t="s">
        <v>9</v>
      </c>
      <c r="D925" s="1" t="s">
        <v>14</v>
      </c>
      <c r="E925" s="1" t="s">
        <v>20</v>
      </c>
      <c r="F925" s="1" t="s">
        <v>24</v>
      </c>
      <c r="G925" s="4">
        <v>161.21</v>
      </c>
      <c r="H925" s="1">
        <v>3</v>
      </c>
      <c r="I925" s="1" t="str">
        <f>TEXT(SalesTable[[#This Row],[Order_Date]],"mmm")</f>
        <v>Jul</v>
      </c>
      <c r="J925" s="1">
        <f>YEAR(SalesTable[[#This Row],[Order_Date]])</f>
        <v>2024</v>
      </c>
      <c r="K925" s="4">
        <v>263.20999999999998</v>
      </c>
      <c r="L925" s="9">
        <f>SalesTable[[#This Row],[Profit]]/SalesTable[[#This Row],[Sales]]</f>
        <v>1.6327150921158735</v>
      </c>
    </row>
    <row r="926" spans="1:12" ht="14" x14ac:dyDescent="0.15">
      <c r="A926" s="1">
        <v>10925</v>
      </c>
      <c r="B926" s="2">
        <v>45486</v>
      </c>
      <c r="C926" s="1" t="s">
        <v>11</v>
      </c>
      <c r="D926" s="1" t="s">
        <v>13</v>
      </c>
      <c r="E926" s="1" t="s">
        <v>17</v>
      </c>
      <c r="F926" s="1" t="s">
        <v>24</v>
      </c>
      <c r="G926" s="4">
        <v>551.77</v>
      </c>
      <c r="H926" s="1">
        <v>7</v>
      </c>
      <c r="I926" s="1" t="str">
        <f>TEXT(SalesTable[[#This Row],[Order_Date]],"mmm")</f>
        <v>Jul</v>
      </c>
      <c r="J926" s="1">
        <f>YEAR(SalesTable[[#This Row],[Order_Date]])</f>
        <v>2024</v>
      </c>
      <c r="K926" s="4">
        <v>-5.73</v>
      </c>
      <c r="L926" s="9">
        <f>SalesTable[[#This Row],[Profit]]/SalesTable[[#This Row],[Sales]]</f>
        <v>-1.0384761766678146E-2</v>
      </c>
    </row>
    <row r="927" spans="1:12" ht="14" x14ac:dyDescent="0.15">
      <c r="A927" s="1">
        <v>10926</v>
      </c>
      <c r="B927" s="2">
        <v>45487</v>
      </c>
      <c r="C927" s="1" t="s">
        <v>9</v>
      </c>
      <c r="D927" s="1" t="s">
        <v>14</v>
      </c>
      <c r="E927" s="1" t="s">
        <v>16</v>
      </c>
      <c r="F927" s="1" t="s">
        <v>24</v>
      </c>
      <c r="G927" s="4">
        <v>170.53</v>
      </c>
      <c r="H927" s="1">
        <v>6</v>
      </c>
      <c r="I927" s="1" t="str">
        <f>TEXT(SalesTable[[#This Row],[Order_Date]],"mmm")</f>
        <v>Jul</v>
      </c>
      <c r="J927" s="1">
        <f>YEAR(SalesTable[[#This Row],[Order_Date]])</f>
        <v>2024</v>
      </c>
      <c r="K927" s="4">
        <v>263.3</v>
      </c>
      <c r="L927" s="9">
        <f>SalesTable[[#This Row],[Profit]]/SalesTable[[#This Row],[Sales]]</f>
        <v>1.5440098516390079</v>
      </c>
    </row>
    <row r="928" spans="1:12" ht="14" x14ac:dyDescent="0.15">
      <c r="A928" s="1">
        <v>10927</v>
      </c>
      <c r="B928" s="2">
        <v>45488</v>
      </c>
      <c r="C928" s="1" t="s">
        <v>11</v>
      </c>
      <c r="D928" s="1" t="s">
        <v>15</v>
      </c>
      <c r="E928" s="1" t="s">
        <v>18</v>
      </c>
      <c r="F928" s="1" t="s">
        <v>21</v>
      </c>
      <c r="G928" s="4">
        <v>612.87</v>
      </c>
      <c r="H928" s="1">
        <v>8</v>
      </c>
      <c r="I928" s="1" t="str">
        <f>TEXT(SalesTable[[#This Row],[Order_Date]],"mmm")</f>
        <v>Jul</v>
      </c>
      <c r="J928" s="1">
        <f>YEAR(SalesTable[[#This Row],[Order_Date]])</f>
        <v>2024</v>
      </c>
      <c r="K928" s="4">
        <v>23.79</v>
      </c>
      <c r="L928" s="9">
        <f>SalesTable[[#This Row],[Profit]]/SalesTable[[#This Row],[Sales]]</f>
        <v>3.8817367467815361E-2</v>
      </c>
    </row>
    <row r="929" spans="1:12" ht="14" x14ac:dyDescent="0.15">
      <c r="A929" s="1">
        <v>10928</v>
      </c>
      <c r="B929" s="2">
        <v>45489</v>
      </c>
      <c r="C929" s="1" t="s">
        <v>10</v>
      </c>
      <c r="D929" s="1" t="s">
        <v>14</v>
      </c>
      <c r="E929" s="1" t="s">
        <v>16</v>
      </c>
      <c r="F929" s="1" t="s">
        <v>24</v>
      </c>
      <c r="G929" s="4">
        <v>508.37</v>
      </c>
      <c r="H929" s="1">
        <v>3</v>
      </c>
      <c r="I929" s="1" t="str">
        <f>TEXT(SalesTable[[#This Row],[Order_Date]],"mmm")</f>
        <v>Jul</v>
      </c>
      <c r="J929" s="1">
        <f>YEAR(SalesTable[[#This Row],[Order_Date]])</f>
        <v>2024</v>
      </c>
      <c r="K929" s="4">
        <v>290.57</v>
      </c>
      <c r="L929" s="9">
        <f>SalesTable[[#This Row],[Profit]]/SalesTable[[#This Row],[Sales]]</f>
        <v>0.57157188661801439</v>
      </c>
    </row>
    <row r="930" spans="1:12" ht="14" x14ac:dyDescent="0.15">
      <c r="A930" s="1">
        <v>10929</v>
      </c>
      <c r="B930" s="2">
        <v>45490</v>
      </c>
      <c r="C930" s="1" t="s">
        <v>12</v>
      </c>
      <c r="D930" s="1" t="s">
        <v>13</v>
      </c>
      <c r="E930" s="1" t="s">
        <v>17</v>
      </c>
      <c r="F930" s="1" t="s">
        <v>23</v>
      </c>
      <c r="G930" s="4">
        <v>641.45000000000005</v>
      </c>
      <c r="H930" s="1">
        <v>3</v>
      </c>
      <c r="I930" s="1" t="str">
        <f>TEXT(SalesTable[[#This Row],[Order_Date]],"mmm")</f>
        <v>Jul</v>
      </c>
      <c r="J930" s="1">
        <f>YEAR(SalesTable[[#This Row],[Order_Date]])</f>
        <v>2024</v>
      </c>
      <c r="K930" s="4">
        <v>12.5</v>
      </c>
      <c r="L930" s="9">
        <f>SalesTable[[#This Row],[Profit]]/SalesTable[[#This Row],[Sales]]</f>
        <v>1.9487099540104448E-2</v>
      </c>
    </row>
    <row r="931" spans="1:12" ht="14" x14ac:dyDescent="0.15">
      <c r="A931" s="1">
        <v>10930</v>
      </c>
      <c r="B931" s="2">
        <v>45491</v>
      </c>
      <c r="C931" s="1" t="s">
        <v>11</v>
      </c>
      <c r="D931" s="1" t="s">
        <v>14</v>
      </c>
      <c r="E931" s="1" t="s">
        <v>17</v>
      </c>
      <c r="F931" s="1" t="s">
        <v>23</v>
      </c>
      <c r="G931" s="4">
        <v>59.54</v>
      </c>
      <c r="H931" s="1">
        <v>4</v>
      </c>
      <c r="I931" s="1" t="str">
        <f>TEXT(SalesTable[[#This Row],[Order_Date]],"mmm")</f>
        <v>Jul</v>
      </c>
      <c r="J931" s="1">
        <f>YEAR(SalesTable[[#This Row],[Order_Date]])</f>
        <v>2024</v>
      </c>
      <c r="K931" s="4">
        <v>281.37</v>
      </c>
      <c r="L931" s="9">
        <f>SalesTable[[#This Row],[Profit]]/SalesTable[[#This Row],[Sales]]</f>
        <v>4.7257306012764531</v>
      </c>
    </row>
    <row r="932" spans="1:12" ht="14" x14ac:dyDescent="0.15">
      <c r="A932" s="1">
        <v>10931</v>
      </c>
      <c r="B932" s="2">
        <v>45492</v>
      </c>
      <c r="C932" s="1" t="s">
        <v>9</v>
      </c>
      <c r="D932" s="1" t="s">
        <v>14</v>
      </c>
      <c r="E932" s="1" t="s">
        <v>16</v>
      </c>
      <c r="F932" s="1" t="s">
        <v>22</v>
      </c>
      <c r="G932" s="4">
        <v>235.1</v>
      </c>
      <c r="H932" s="1">
        <v>3</v>
      </c>
      <c r="I932" s="1" t="str">
        <f>TEXT(SalesTable[[#This Row],[Order_Date]],"mmm")</f>
        <v>Jul</v>
      </c>
      <c r="J932" s="1">
        <f>YEAR(SalesTable[[#This Row],[Order_Date]])</f>
        <v>2024</v>
      </c>
      <c r="K932" s="4">
        <v>-78.58</v>
      </c>
      <c r="L932" s="9">
        <f>SalesTable[[#This Row],[Profit]]/SalesTable[[#This Row],[Sales]]</f>
        <v>-0.33424074861760955</v>
      </c>
    </row>
    <row r="933" spans="1:12" ht="14" x14ac:dyDescent="0.15">
      <c r="A933" s="1">
        <v>10932</v>
      </c>
      <c r="B933" s="2">
        <v>45493</v>
      </c>
      <c r="C933" s="1" t="s">
        <v>10</v>
      </c>
      <c r="D933" s="1" t="s">
        <v>14</v>
      </c>
      <c r="E933" s="1" t="s">
        <v>19</v>
      </c>
      <c r="F933" s="1" t="s">
        <v>21</v>
      </c>
      <c r="G933" s="4">
        <v>516.76</v>
      </c>
      <c r="H933" s="1">
        <v>9</v>
      </c>
      <c r="I933" s="1" t="str">
        <f>TEXT(SalesTable[[#This Row],[Order_Date]],"mmm")</f>
        <v>Jul</v>
      </c>
      <c r="J933" s="1">
        <f>YEAR(SalesTable[[#This Row],[Order_Date]])</f>
        <v>2024</v>
      </c>
      <c r="K933" s="4">
        <v>183.71</v>
      </c>
      <c r="L933" s="9">
        <f>SalesTable[[#This Row],[Profit]]/SalesTable[[#This Row],[Sales]]</f>
        <v>0.35550352194442297</v>
      </c>
    </row>
    <row r="934" spans="1:12" ht="14" x14ac:dyDescent="0.15">
      <c r="A934" s="1">
        <v>10933</v>
      </c>
      <c r="B934" s="2">
        <v>45494</v>
      </c>
      <c r="C934" s="1" t="s">
        <v>11</v>
      </c>
      <c r="D934" s="1" t="s">
        <v>13</v>
      </c>
      <c r="E934" s="1" t="s">
        <v>19</v>
      </c>
      <c r="F934" s="1" t="s">
        <v>22</v>
      </c>
      <c r="G934" s="4">
        <v>952.98</v>
      </c>
      <c r="H934" s="1">
        <v>4</v>
      </c>
      <c r="I934" s="1" t="str">
        <f>TEXT(SalesTable[[#This Row],[Order_Date]],"mmm")</f>
        <v>Jul</v>
      </c>
      <c r="J934" s="1">
        <f>YEAR(SalesTable[[#This Row],[Order_Date]])</f>
        <v>2024</v>
      </c>
      <c r="K934" s="4">
        <v>112.84</v>
      </c>
      <c r="L934" s="9">
        <f>SalesTable[[#This Row],[Profit]]/SalesTable[[#This Row],[Sales]]</f>
        <v>0.11840752166887028</v>
      </c>
    </row>
    <row r="935" spans="1:12" ht="14" x14ac:dyDescent="0.15">
      <c r="A935" s="1">
        <v>10934</v>
      </c>
      <c r="B935" s="2">
        <v>45495</v>
      </c>
      <c r="C935" s="1" t="s">
        <v>11</v>
      </c>
      <c r="D935" s="1" t="s">
        <v>14</v>
      </c>
      <c r="E935" s="1" t="s">
        <v>19</v>
      </c>
      <c r="F935" s="1" t="s">
        <v>23</v>
      </c>
      <c r="G935" s="4">
        <v>414.43</v>
      </c>
      <c r="H935" s="1">
        <v>6</v>
      </c>
      <c r="I935" s="1" t="str">
        <f>TEXT(SalesTable[[#This Row],[Order_Date]],"mmm")</f>
        <v>Jul</v>
      </c>
      <c r="J935" s="1">
        <f>YEAR(SalesTable[[#This Row],[Order_Date]])</f>
        <v>2024</v>
      </c>
      <c r="K935" s="4">
        <v>91.15</v>
      </c>
      <c r="L935" s="9">
        <f>SalesTable[[#This Row],[Profit]]/SalesTable[[#This Row],[Sales]]</f>
        <v>0.21994064136283573</v>
      </c>
    </row>
    <row r="936" spans="1:12" ht="14" x14ac:dyDescent="0.15">
      <c r="A936" s="1">
        <v>10935</v>
      </c>
      <c r="B936" s="2">
        <v>45496</v>
      </c>
      <c r="C936" s="1" t="s">
        <v>10</v>
      </c>
      <c r="D936" s="1" t="s">
        <v>14</v>
      </c>
      <c r="E936" s="1" t="s">
        <v>17</v>
      </c>
      <c r="F936" s="1" t="s">
        <v>23</v>
      </c>
      <c r="G936" s="4">
        <v>453.15</v>
      </c>
      <c r="H936" s="1">
        <v>8</v>
      </c>
      <c r="I936" s="1" t="str">
        <f>TEXT(SalesTable[[#This Row],[Order_Date]],"mmm")</f>
        <v>Jul</v>
      </c>
      <c r="J936" s="1">
        <f>YEAR(SalesTable[[#This Row],[Order_Date]])</f>
        <v>2024</v>
      </c>
      <c r="K936" s="4">
        <v>-10.6</v>
      </c>
      <c r="L936" s="9">
        <f>SalesTable[[#This Row],[Profit]]/SalesTable[[#This Row],[Sales]]</f>
        <v>-2.3391812865497075E-2</v>
      </c>
    </row>
    <row r="937" spans="1:12" ht="14" x14ac:dyDescent="0.15">
      <c r="A937" s="1">
        <v>10936</v>
      </c>
      <c r="B937" s="2">
        <v>45497</v>
      </c>
      <c r="C937" s="1" t="s">
        <v>11</v>
      </c>
      <c r="D937" s="1" t="s">
        <v>15</v>
      </c>
      <c r="E937" s="1" t="s">
        <v>20</v>
      </c>
      <c r="F937" s="1" t="s">
        <v>25</v>
      </c>
      <c r="G937" s="4">
        <v>728.96</v>
      </c>
      <c r="H937" s="1">
        <v>8</v>
      </c>
      <c r="I937" s="1" t="str">
        <f>TEXT(SalesTable[[#This Row],[Order_Date]],"mmm")</f>
        <v>Jul</v>
      </c>
      <c r="J937" s="1">
        <f>YEAR(SalesTable[[#This Row],[Order_Date]])</f>
        <v>2024</v>
      </c>
      <c r="K937" s="4">
        <v>182.24</v>
      </c>
      <c r="L937" s="9">
        <f>SalesTable[[#This Row],[Profit]]/SalesTable[[#This Row],[Sales]]</f>
        <v>0.25</v>
      </c>
    </row>
    <row r="938" spans="1:12" ht="14" x14ac:dyDescent="0.15">
      <c r="A938" s="1">
        <v>10937</v>
      </c>
      <c r="B938" s="2">
        <v>45498</v>
      </c>
      <c r="C938" s="1" t="s">
        <v>12</v>
      </c>
      <c r="D938" s="1" t="s">
        <v>13</v>
      </c>
      <c r="E938" s="1" t="s">
        <v>17</v>
      </c>
      <c r="F938" s="1" t="s">
        <v>24</v>
      </c>
      <c r="G938" s="4">
        <v>623.6</v>
      </c>
      <c r="H938" s="1">
        <v>5</v>
      </c>
      <c r="I938" s="1" t="str">
        <f>TEXT(SalesTable[[#This Row],[Order_Date]],"mmm")</f>
        <v>Jul</v>
      </c>
      <c r="J938" s="1">
        <f>YEAR(SalesTable[[#This Row],[Order_Date]])</f>
        <v>2024</v>
      </c>
      <c r="K938" s="4">
        <v>-23.68</v>
      </c>
      <c r="L938" s="9">
        <f>SalesTable[[#This Row],[Profit]]/SalesTable[[#This Row],[Sales]]</f>
        <v>-3.7973059653624117E-2</v>
      </c>
    </row>
    <row r="939" spans="1:12" ht="14" x14ac:dyDescent="0.15">
      <c r="A939" s="1">
        <v>10938</v>
      </c>
      <c r="B939" s="2">
        <v>45499</v>
      </c>
      <c r="C939" s="1" t="s">
        <v>11</v>
      </c>
      <c r="D939" s="1" t="s">
        <v>14</v>
      </c>
      <c r="E939" s="1" t="s">
        <v>20</v>
      </c>
      <c r="F939" s="1" t="s">
        <v>23</v>
      </c>
      <c r="G939" s="4">
        <v>333.98</v>
      </c>
      <c r="H939" s="1">
        <v>5</v>
      </c>
      <c r="I939" s="1" t="str">
        <f>TEXT(SalesTable[[#This Row],[Order_Date]],"mmm")</f>
        <v>Jul</v>
      </c>
      <c r="J939" s="1">
        <f>YEAR(SalesTable[[#This Row],[Order_Date]])</f>
        <v>2024</v>
      </c>
      <c r="K939" s="4">
        <v>121.14</v>
      </c>
      <c r="L939" s="9">
        <f>SalesTable[[#This Row],[Profit]]/SalesTable[[#This Row],[Sales]]</f>
        <v>0.36271633031918077</v>
      </c>
    </row>
    <row r="940" spans="1:12" ht="14" x14ac:dyDescent="0.15">
      <c r="A940" s="1">
        <v>10939</v>
      </c>
      <c r="B940" s="2">
        <v>45500</v>
      </c>
      <c r="C940" s="1" t="s">
        <v>12</v>
      </c>
      <c r="D940" s="1" t="s">
        <v>13</v>
      </c>
      <c r="E940" s="1" t="s">
        <v>16</v>
      </c>
      <c r="F940" s="1" t="s">
        <v>22</v>
      </c>
      <c r="G940" s="4">
        <v>440.28</v>
      </c>
      <c r="H940" s="1">
        <v>6</v>
      </c>
      <c r="I940" s="1" t="str">
        <f>TEXT(SalesTable[[#This Row],[Order_Date]],"mmm")</f>
        <v>Jul</v>
      </c>
      <c r="J940" s="1">
        <f>YEAR(SalesTable[[#This Row],[Order_Date]])</f>
        <v>2024</v>
      </c>
      <c r="K940" s="4">
        <v>1.3</v>
      </c>
      <c r="L940" s="9">
        <f>SalesTable[[#This Row],[Profit]]/SalesTable[[#This Row],[Sales]]</f>
        <v>2.9526664849641141E-3</v>
      </c>
    </row>
    <row r="941" spans="1:12" ht="14" x14ac:dyDescent="0.15">
      <c r="A941" s="1">
        <v>10940</v>
      </c>
      <c r="B941" s="2">
        <v>45501</v>
      </c>
      <c r="C941" s="1" t="s">
        <v>12</v>
      </c>
      <c r="D941" s="1" t="s">
        <v>14</v>
      </c>
      <c r="E941" s="1" t="s">
        <v>18</v>
      </c>
      <c r="F941" s="1" t="s">
        <v>22</v>
      </c>
      <c r="G941" s="4">
        <v>256.81</v>
      </c>
      <c r="H941" s="1">
        <v>7</v>
      </c>
      <c r="I941" s="1" t="str">
        <f>TEXT(SalesTable[[#This Row],[Order_Date]],"mmm")</f>
        <v>Jul</v>
      </c>
      <c r="J941" s="1">
        <f>YEAR(SalesTable[[#This Row],[Order_Date]])</f>
        <v>2024</v>
      </c>
      <c r="K941" s="4">
        <v>282.25</v>
      </c>
      <c r="L941" s="9">
        <f>SalesTable[[#This Row],[Profit]]/SalesTable[[#This Row],[Sales]]</f>
        <v>1.0990615630232468</v>
      </c>
    </row>
    <row r="942" spans="1:12" ht="14" x14ac:dyDescent="0.15">
      <c r="A942" s="1">
        <v>10941</v>
      </c>
      <c r="B942" s="2">
        <v>45502</v>
      </c>
      <c r="C942" s="1" t="s">
        <v>10</v>
      </c>
      <c r="D942" s="1" t="s">
        <v>14</v>
      </c>
      <c r="E942" s="1" t="s">
        <v>20</v>
      </c>
      <c r="F942" s="1" t="s">
        <v>24</v>
      </c>
      <c r="G942" s="4">
        <v>967.72</v>
      </c>
      <c r="H942" s="1">
        <v>7</v>
      </c>
      <c r="I942" s="1" t="str">
        <f>TEXT(SalesTable[[#This Row],[Order_Date]],"mmm")</f>
        <v>Jul</v>
      </c>
      <c r="J942" s="1">
        <f>YEAR(SalesTable[[#This Row],[Order_Date]])</f>
        <v>2024</v>
      </c>
      <c r="K942" s="4">
        <v>-88.55</v>
      </c>
      <c r="L942" s="9">
        <f>SalesTable[[#This Row],[Profit]]/SalesTable[[#This Row],[Sales]]</f>
        <v>-9.1503740751457022E-2</v>
      </c>
    </row>
    <row r="943" spans="1:12" ht="14" x14ac:dyDescent="0.15">
      <c r="A943" s="1">
        <v>10942</v>
      </c>
      <c r="B943" s="2">
        <v>45503</v>
      </c>
      <c r="C943" s="1" t="s">
        <v>11</v>
      </c>
      <c r="D943" s="1" t="s">
        <v>14</v>
      </c>
      <c r="E943" s="1" t="s">
        <v>19</v>
      </c>
      <c r="F943" s="1" t="s">
        <v>24</v>
      </c>
      <c r="G943" s="4">
        <v>174.1</v>
      </c>
      <c r="H943" s="1">
        <v>4</v>
      </c>
      <c r="I943" s="1" t="str">
        <f>TEXT(SalesTable[[#This Row],[Order_Date]],"mmm")</f>
        <v>Jul</v>
      </c>
      <c r="J943" s="1">
        <f>YEAR(SalesTable[[#This Row],[Order_Date]])</f>
        <v>2024</v>
      </c>
      <c r="K943" s="4">
        <v>-20.11</v>
      </c>
      <c r="L943" s="9">
        <f>SalesTable[[#This Row],[Profit]]/SalesTable[[#This Row],[Sales]]</f>
        <v>-0.11550832854681217</v>
      </c>
    </row>
    <row r="944" spans="1:12" ht="14" x14ac:dyDescent="0.15">
      <c r="A944" s="1">
        <v>10943</v>
      </c>
      <c r="B944" s="2">
        <v>45504</v>
      </c>
      <c r="C944" s="1" t="s">
        <v>10</v>
      </c>
      <c r="D944" s="1" t="s">
        <v>15</v>
      </c>
      <c r="E944" s="1" t="s">
        <v>17</v>
      </c>
      <c r="F944" s="1" t="s">
        <v>25</v>
      </c>
      <c r="G944" s="4">
        <v>403.24</v>
      </c>
      <c r="H944" s="1">
        <v>6</v>
      </c>
      <c r="I944" s="1" t="str">
        <f>TEXT(SalesTable[[#This Row],[Order_Date]],"mmm")</f>
        <v>Jul</v>
      </c>
      <c r="J944" s="1">
        <f>YEAR(SalesTable[[#This Row],[Order_Date]])</f>
        <v>2024</v>
      </c>
      <c r="K944" s="4">
        <v>-3.08</v>
      </c>
      <c r="L944" s="9">
        <f>SalesTable[[#This Row],[Profit]]/SalesTable[[#This Row],[Sales]]</f>
        <v>-7.6381311377839503E-3</v>
      </c>
    </row>
    <row r="945" spans="1:12" ht="14" x14ac:dyDescent="0.15">
      <c r="A945" s="1">
        <v>10944</v>
      </c>
      <c r="B945" s="2">
        <v>45505</v>
      </c>
      <c r="C945" s="1" t="s">
        <v>11</v>
      </c>
      <c r="D945" s="1" t="s">
        <v>15</v>
      </c>
      <c r="E945" s="1" t="s">
        <v>16</v>
      </c>
      <c r="F945" s="1" t="s">
        <v>21</v>
      </c>
      <c r="G945" s="4">
        <v>74.55</v>
      </c>
      <c r="H945" s="1">
        <v>7</v>
      </c>
      <c r="I945" s="1" t="str">
        <f>TEXT(SalesTable[[#This Row],[Order_Date]],"mmm")</f>
        <v>Aug</v>
      </c>
      <c r="J945" s="1">
        <f>YEAR(SalesTable[[#This Row],[Order_Date]])</f>
        <v>2024</v>
      </c>
      <c r="K945" s="4">
        <v>65.63</v>
      </c>
      <c r="L945" s="9">
        <f>SalesTable[[#This Row],[Profit]]/SalesTable[[#This Row],[Sales]]</f>
        <v>0.88034875922199862</v>
      </c>
    </row>
    <row r="946" spans="1:12" ht="14" x14ac:dyDescent="0.15">
      <c r="A946" s="1">
        <v>10945</v>
      </c>
      <c r="B946" s="2">
        <v>45506</v>
      </c>
      <c r="C946" s="1" t="s">
        <v>11</v>
      </c>
      <c r="D946" s="1" t="s">
        <v>15</v>
      </c>
      <c r="E946" s="1" t="s">
        <v>19</v>
      </c>
      <c r="F946" s="1" t="s">
        <v>22</v>
      </c>
      <c r="G946" s="4">
        <v>260.69</v>
      </c>
      <c r="H946" s="1">
        <v>5</v>
      </c>
      <c r="I946" s="1" t="str">
        <f>TEXT(SalesTable[[#This Row],[Order_Date]],"mmm")</f>
        <v>Aug</v>
      </c>
      <c r="J946" s="1">
        <f>YEAR(SalesTable[[#This Row],[Order_Date]])</f>
        <v>2024</v>
      </c>
      <c r="K946" s="4">
        <v>-6.91</v>
      </c>
      <c r="L946" s="9">
        <f>SalesTable[[#This Row],[Profit]]/SalesTable[[#This Row],[Sales]]</f>
        <v>-2.6506578695001726E-2</v>
      </c>
    </row>
    <row r="947" spans="1:12" ht="14" x14ac:dyDescent="0.15">
      <c r="A947" s="1">
        <v>10946</v>
      </c>
      <c r="B947" s="2">
        <v>45507</v>
      </c>
      <c r="C947" s="1" t="s">
        <v>9</v>
      </c>
      <c r="D947" s="1" t="s">
        <v>13</v>
      </c>
      <c r="E947" s="1" t="s">
        <v>16</v>
      </c>
      <c r="F947" s="1" t="s">
        <v>24</v>
      </c>
      <c r="G947" s="4">
        <v>791.45</v>
      </c>
      <c r="H947" s="1">
        <v>5</v>
      </c>
      <c r="I947" s="1" t="str">
        <f>TEXT(SalesTable[[#This Row],[Order_Date]],"mmm")</f>
        <v>Aug</v>
      </c>
      <c r="J947" s="1">
        <f>YEAR(SalesTable[[#This Row],[Order_Date]])</f>
        <v>2024</v>
      </c>
      <c r="K947" s="4">
        <v>96.54</v>
      </c>
      <c r="L947" s="9">
        <f>SalesTable[[#This Row],[Profit]]/SalesTable[[#This Row],[Sales]]</f>
        <v>0.12197864678754186</v>
      </c>
    </row>
    <row r="948" spans="1:12" ht="14" x14ac:dyDescent="0.15">
      <c r="A948" s="1">
        <v>10947</v>
      </c>
      <c r="B948" s="2">
        <v>45508</v>
      </c>
      <c r="C948" s="1" t="s">
        <v>11</v>
      </c>
      <c r="D948" s="1" t="s">
        <v>13</v>
      </c>
      <c r="E948" s="1" t="s">
        <v>18</v>
      </c>
      <c r="F948" s="1" t="s">
        <v>22</v>
      </c>
      <c r="G948" s="4">
        <v>241.12</v>
      </c>
      <c r="H948" s="1">
        <v>2</v>
      </c>
      <c r="I948" s="1" t="str">
        <f>TEXT(SalesTable[[#This Row],[Order_Date]],"mmm")</f>
        <v>Aug</v>
      </c>
      <c r="J948" s="1">
        <f>YEAR(SalesTable[[#This Row],[Order_Date]])</f>
        <v>2024</v>
      </c>
      <c r="K948" s="4">
        <v>248.99</v>
      </c>
      <c r="L948" s="9">
        <f>SalesTable[[#This Row],[Profit]]/SalesTable[[#This Row],[Sales]]</f>
        <v>1.0326393497013935</v>
      </c>
    </row>
    <row r="949" spans="1:12" ht="14" x14ac:dyDescent="0.15">
      <c r="A949" s="1">
        <v>10948</v>
      </c>
      <c r="B949" s="2">
        <v>45509</v>
      </c>
      <c r="C949" s="1" t="s">
        <v>10</v>
      </c>
      <c r="D949" s="1" t="s">
        <v>15</v>
      </c>
      <c r="E949" s="1" t="s">
        <v>17</v>
      </c>
      <c r="F949" s="1" t="s">
        <v>24</v>
      </c>
      <c r="G949" s="4">
        <v>126.06</v>
      </c>
      <c r="H949" s="1">
        <v>7</v>
      </c>
      <c r="I949" s="1" t="str">
        <f>TEXT(SalesTable[[#This Row],[Order_Date]],"mmm")</f>
        <v>Aug</v>
      </c>
      <c r="J949" s="1">
        <f>YEAR(SalesTable[[#This Row],[Order_Date]])</f>
        <v>2024</v>
      </c>
      <c r="K949" s="4">
        <v>184.83</v>
      </c>
      <c r="L949" s="9">
        <f>SalesTable[[#This Row],[Profit]]/SalesTable[[#This Row],[Sales]]</f>
        <v>1.4662065683008092</v>
      </c>
    </row>
    <row r="950" spans="1:12" ht="14" x14ac:dyDescent="0.15">
      <c r="A950" s="1">
        <v>10949</v>
      </c>
      <c r="B950" s="2">
        <v>45510</v>
      </c>
      <c r="C950" s="1" t="s">
        <v>12</v>
      </c>
      <c r="D950" s="1" t="s">
        <v>13</v>
      </c>
      <c r="E950" s="1" t="s">
        <v>17</v>
      </c>
      <c r="F950" s="1" t="s">
        <v>23</v>
      </c>
      <c r="G950" s="4">
        <v>500.73</v>
      </c>
      <c r="H950" s="1">
        <v>6</v>
      </c>
      <c r="I950" s="1" t="str">
        <f>TEXT(SalesTable[[#This Row],[Order_Date]],"mmm")</f>
        <v>Aug</v>
      </c>
      <c r="J950" s="1">
        <f>YEAR(SalesTable[[#This Row],[Order_Date]])</f>
        <v>2024</v>
      </c>
      <c r="K950" s="4">
        <v>131.97999999999999</v>
      </c>
      <c r="L950" s="9">
        <f>SalesTable[[#This Row],[Profit]]/SalesTable[[#This Row],[Sales]]</f>
        <v>0.26357518023685417</v>
      </c>
    </row>
    <row r="951" spans="1:12" ht="14" x14ac:dyDescent="0.15">
      <c r="A951" s="1">
        <v>10950</v>
      </c>
      <c r="B951" s="2">
        <v>45511</v>
      </c>
      <c r="C951" s="1" t="s">
        <v>11</v>
      </c>
      <c r="D951" s="1" t="s">
        <v>14</v>
      </c>
      <c r="E951" s="1" t="s">
        <v>18</v>
      </c>
      <c r="F951" s="1" t="s">
        <v>22</v>
      </c>
      <c r="G951" s="4">
        <v>59.47</v>
      </c>
      <c r="H951" s="1">
        <v>1</v>
      </c>
      <c r="I951" s="1" t="str">
        <f>TEXT(SalesTable[[#This Row],[Order_Date]],"mmm")</f>
        <v>Aug</v>
      </c>
      <c r="J951" s="1">
        <f>YEAR(SalesTable[[#This Row],[Order_Date]])</f>
        <v>2024</v>
      </c>
      <c r="K951" s="4">
        <v>-64.400000000000006</v>
      </c>
      <c r="L951" s="9">
        <f>SalesTable[[#This Row],[Profit]]/SalesTable[[#This Row],[Sales]]</f>
        <v>-1.0828989406423408</v>
      </c>
    </row>
    <row r="952" spans="1:12" ht="14" x14ac:dyDescent="0.15">
      <c r="A952" s="1">
        <v>10951</v>
      </c>
      <c r="B952" s="2">
        <v>45512</v>
      </c>
      <c r="C952" s="1" t="s">
        <v>9</v>
      </c>
      <c r="D952" s="1" t="s">
        <v>14</v>
      </c>
      <c r="E952" s="1" t="s">
        <v>17</v>
      </c>
      <c r="F952" s="1" t="s">
        <v>23</v>
      </c>
      <c r="G952" s="4">
        <v>130.53</v>
      </c>
      <c r="H952" s="1">
        <v>4</v>
      </c>
      <c r="I952" s="1" t="str">
        <f>TEXT(SalesTable[[#This Row],[Order_Date]],"mmm")</f>
        <v>Aug</v>
      </c>
      <c r="J952" s="1">
        <f>YEAR(SalesTable[[#This Row],[Order_Date]])</f>
        <v>2024</v>
      </c>
      <c r="K952" s="4">
        <v>177.6</v>
      </c>
      <c r="L952" s="9">
        <f>SalesTable[[#This Row],[Profit]]/SalesTable[[#This Row],[Sales]]</f>
        <v>1.3606067570673408</v>
      </c>
    </row>
    <row r="953" spans="1:12" ht="14" x14ac:dyDescent="0.15">
      <c r="A953" s="1">
        <v>10952</v>
      </c>
      <c r="B953" s="2">
        <v>45513</v>
      </c>
      <c r="C953" s="1" t="s">
        <v>10</v>
      </c>
      <c r="D953" s="1" t="s">
        <v>14</v>
      </c>
      <c r="E953" s="1" t="s">
        <v>20</v>
      </c>
      <c r="F953" s="1" t="s">
        <v>22</v>
      </c>
      <c r="G953" s="4">
        <v>817.24</v>
      </c>
      <c r="H953" s="1">
        <v>3</v>
      </c>
      <c r="I953" s="1" t="str">
        <f>TEXT(SalesTable[[#This Row],[Order_Date]],"mmm")</f>
        <v>Aug</v>
      </c>
      <c r="J953" s="1">
        <f>YEAR(SalesTable[[#This Row],[Order_Date]])</f>
        <v>2024</v>
      </c>
      <c r="K953" s="4">
        <v>-33.43</v>
      </c>
      <c r="L953" s="9">
        <f>SalesTable[[#This Row],[Profit]]/SalesTable[[#This Row],[Sales]]</f>
        <v>-4.090597621261808E-2</v>
      </c>
    </row>
    <row r="954" spans="1:12" ht="14" x14ac:dyDescent="0.15">
      <c r="A954" s="1">
        <v>10953</v>
      </c>
      <c r="B954" s="2">
        <v>45514</v>
      </c>
      <c r="C954" s="1" t="s">
        <v>11</v>
      </c>
      <c r="D954" s="1" t="s">
        <v>15</v>
      </c>
      <c r="E954" s="1" t="s">
        <v>16</v>
      </c>
      <c r="F954" s="1" t="s">
        <v>21</v>
      </c>
      <c r="G954" s="4">
        <v>782.9</v>
      </c>
      <c r="H954" s="1">
        <v>3</v>
      </c>
      <c r="I954" s="1" t="str">
        <f>TEXT(SalesTable[[#This Row],[Order_Date]],"mmm")</f>
        <v>Aug</v>
      </c>
      <c r="J954" s="1">
        <f>YEAR(SalesTable[[#This Row],[Order_Date]])</f>
        <v>2024</v>
      </c>
      <c r="K954" s="4">
        <v>214.55</v>
      </c>
      <c r="L954" s="9">
        <f>SalesTable[[#This Row],[Profit]]/SalesTable[[#This Row],[Sales]]</f>
        <v>0.27404521650274621</v>
      </c>
    </row>
    <row r="955" spans="1:12" ht="14" x14ac:dyDescent="0.15">
      <c r="A955" s="1">
        <v>10954</v>
      </c>
      <c r="B955" s="2">
        <v>45515</v>
      </c>
      <c r="C955" s="1" t="s">
        <v>10</v>
      </c>
      <c r="D955" s="1" t="s">
        <v>13</v>
      </c>
      <c r="E955" s="1" t="s">
        <v>19</v>
      </c>
      <c r="F955" s="1" t="s">
        <v>25</v>
      </c>
      <c r="G955" s="4">
        <v>919.38</v>
      </c>
      <c r="H955" s="1">
        <v>7</v>
      </c>
      <c r="I955" s="1" t="str">
        <f>TEXT(SalesTable[[#This Row],[Order_Date]],"mmm")</f>
        <v>Aug</v>
      </c>
      <c r="J955" s="1">
        <f>YEAR(SalesTable[[#This Row],[Order_Date]])</f>
        <v>2024</v>
      </c>
      <c r="K955" s="4">
        <v>0.02</v>
      </c>
      <c r="L955" s="9">
        <f>SalesTable[[#This Row],[Profit]]/SalesTable[[#This Row],[Sales]]</f>
        <v>2.1753790598011703E-5</v>
      </c>
    </row>
    <row r="956" spans="1:12" ht="14" x14ac:dyDescent="0.15">
      <c r="A956" s="1">
        <v>10955</v>
      </c>
      <c r="B956" s="2">
        <v>45516</v>
      </c>
      <c r="C956" s="1" t="s">
        <v>9</v>
      </c>
      <c r="D956" s="1" t="s">
        <v>15</v>
      </c>
      <c r="E956" s="1" t="s">
        <v>18</v>
      </c>
      <c r="F956" s="1" t="s">
        <v>23</v>
      </c>
      <c r="G956" s="4">
        <v>861.79</v>
      </c>
      <c r="H956" s="1">
        <v>4</v>
      </c>
      <c r="I956" s="1" t="str">
        <f>TEXT(SalesTable[[#This Row],[Order_Date]],"mmm")</f>
        <v>Aug</v>
      </c>
      <c r="J956" s="1">
        <f>YEAR(SalesTable[[#This Row],[Order_Date]])</f>
        <v>2024</v>
      </c>
      <c r="K956" s="4">
        <v>66.819999999999993</v>
      </c>
      <c r="L956" s="9">
        <f>SalesTable[[#This Row],[Profit]]/SalesTable[[#This Row],[Sales]]</f>
        <v>7.7536290743684649E-2</v>
      </c>
    </row>
    <row r="957" spans="1:12" ht="14" x14ac:dyDescent="0.15">
      <c r="A957" s="1">
        <v>10956</v>
      </c>
      <c r="B957" s="2">
        <v>45517</v>
      </c>
      <c r="C957" s="1" t="s">
        <v>9</v>
      </c>
      <c r="D957" s="1" t="s">
        <v>13</v>
      </c>
      <c r="E957" s="1" t="s">
        <v>20</v>
      </c>
      <c r="F957" s="1" t="s">
        <v>24</v>
      </c>
      <c r="G957" s="4">
        <v>699.02</v>
      </c>
      <c r="H957" s="1">
        <v>8</v>
      </c>
      <c r="I957" s="1" t="str">
        <f>TEXT(SalesTable[[#This Row],[Order_Date]],"mmm")</f>
        <v>Aug</v>
      </c>
      <c r="J957" s="1">
        <f>YEAR(SalesTable[[#This Row],[Order_Date]])</f>
        <v>2024</v>
      </c>
      <c r="K957" s="4">
        <v>40.19</v>
      </c>
      <c r="L957" s="9">
        <f>SalesTable[[#This Row],[Profit]]/SalesTable[[#This Row],[Sales]]</f>
        <v>5.7494778404051386E-2</v>
      </c>
    </row>
    <row r="958" spans="1:12" ht="14" x14ac:dyDescent="0.15">
      <c r="A958" s="1">
        <v>10957</v>
      </c>
      <c r="B958" s="2">
        <v>45518</v>
      </c>
      <c r="C958" s="1" t="s">
        <v>10</v>
      </c>
      <c r="D958" s="1" t="s">
        <v>14</v>
      </c>
      <c r="E958" s="1" t="s">
        <v>19</v>
      </c>
      <c r="F958" s="1" t="s">
        <v>21</v>
      </c>
      <c r="G958" s="4">
        <v>99.72</v>
      </c>
      <c r="H958" s="1">
        <v>9</v>
      </c>
      <c r="I958" s="1" t="str">
        <f>TEXT(SalesTable[[#This Row],[Order_Date]],"mmm")</f>
        <v>Aug</v>
      </c>
      <c r="J958" s="1">
        <f>YEAR(SalesTable[[#This Row],[Order_Date]])</f>
        <v>2024</v>
      </c>
      <c r="K958" s="4">
        <v>243.53</v>
      </c>
      <c r="L958" s="9">
        <f>SalesTable[[#This Row],[Profit]]/SalesTable[[#This Row],[Sales]]</f>
        <v>2.4421379863618129</v>
      </c>
    </row>
    <row r="959" spans="1:12" ht="14" x14ac:dyDescent="0.15">
      <c r="A959" s="1">
        <v>10958</v>
      </c>
      <c r="B959" s="2">
        <v>45519</v>
      </c>
      <c r="C959" s="1" t="s">
        <v>11</v>
      </c>
      <c r="D959" s="1" t="s">
        <v>15</v>
      </c>
      <c r="E959" s="1" t="s">
        <v>19</v>
      </c>
      <c r="F959" s="1" t="s">
        <v>22</v>
      </c>
      <c r="G959" s="4">
        <v>793.71</v>
      </c>
      <c r="H959" s="1">
        <v>3</v>
      </c>
      <c r="I959" s="1" t="str">
        <f>TEXT(SalesTable[[#This Row],[Order_Date]],"mmm")</f>
        <v>Aug</v>
      </c>
      <c r="J959" s="1">
        <f>YEAR(SalesTable[[#This Row],[Order_Date]])</f>
        <v>2024</v>
      </c>
      <c r="K959" s="4">
        <v>-49.38</v>
      </c>
      <c r="L959" s="9">
        <f>SalesTable[[#This Row],[Profit]]/SalesTable[[#This Row],[Sales]]</f>
        <v>-6.2214158823751746E-2</v>
      </c>
    </row>
    <row r="960" spans="1:12" ht="14" x14ac:dyDescent="0.15">
      <c r="A960" s="1">
        <v>10959</v>
      </c>
      <c r="B960" s="2">
        <v>45520</v>
      </c>
      <c r="C960" s="1" t="s">
        <v>12</v>
      </c>
      <c r="D960" s="1" t="s">
        <v>13</v>
      </c>
      <c r="E960" s="1" t="s">
        <v>18</v>
      </c>
      <c r="F960" s="1" t="s">
        <v>23</v>
      </c>
      <c r="G960" s="4">
        <v>853.24</v>
      </c>
      <c r="H960" s="1">
        <v>5</v>
      </c>
      <c r="I960" s="1" t="str">
        <f>TEXT(SalesTable[[#This Row],[Order_Date]],"mmm")</f>
        <v>Aug</v>
      </c>
      <c r="J960" s="1">
        <f>YEAR(SalesTable[[#This Row],[Order_Date]])</f>
        <v>2024</v>
      </c>
      <c r="K960" s="4">
        <v>126.26</v>
      </c>
      <c r="L960" s="9">
        <f>SalesTable[[#This Row],[Profit]]/SalesTable[[#This Row],[Sales]]</f>
        <v>0.1479771224977732</v>
      </c>
    </row>
    <row r="961" spans="1:12" ht="14" x14ac:dyDescent="0.15">
      <c r="A961" s="1">
        <v>10960</v>
      </c>
      <c r="B961" s="2">
        <v>45521</v>
      </c>
      <c r="C961" s="1" t="s">
        <v>9</v>
      </c>
      <c r="D961" s="1" t="s">
        <v>13</v>
      </c>
      <c r="E961" s="1" t="s">
        <v>20</v>
      </c>
      <c r="F961" s="1" t="s">
        <v>22</v>
      </c>
      <c r="G961" s="4">
        <v>809.13</v>
      </c>
      <c r="H961" s="1">
        <v>4</v>
      </c>
      <c r="I961" s="1" t="str">
        <f>TEXT(SalesTable[[#This Row],[Order_Date]],"mmm")</f>
        <v>Aug</v>
      </c>
      <c r="J961" s="1">
        <f>YEAR(SalesTable[[#This Row],[Order_Date]])</f>
        <v>2024</v>
      </c>
      <c r="K961" s="4">
        <v>-43.18</v>
      </c>
      <c r="L961" s="9">
        <f>SalesTable[[#This Row],[Profit]]/SalesTable[[#This Row],[Sales]]</f>
        <v>-5.3365960970425022E-2</v>
      </c>
    </row>
    <row r="962" spans="1:12" ht="14" x14ac:dyDescent="0.15">
      <c r="A962" s="1">
        <v>10961</v>
      </c>
      <c r="B962" s="2">
        <v>45522</v>
      </c>
      <c r="C962" s="1" t="s">
        <v>11</v>
      </c>
      <c r="D962" s="1" t="s">
        <v>14</v>
      </c>
      <c r="E962" s="1" t="s">
        <v>19</v>
      </c>
      <c r="F962" s="1" t="s">
        <v>22</v>
      </c>
      <c r="G962" s="4">
        <v>533.05999999999995</v>
      </c>
      <c r="H962" s="1">
        <v>6</v>
      </c>
      <c r="I962" s="1" t="str">
        <f>TEXT(SalesTable[[#This Row],[Order_Date]],"mmm")</f>
        <v>Aug</v>
      </c>
      <c r="J962" s="1">
        <f>YEAR(SalesTable[[#This Row],[Order_Date]])</f>
        <v>2024</v>
      </c>
      <c r="K962" s="4">
        <v>181.92</v>
      </c>
      <c r="L962" s="9">
        <f>SalesTable[[#This Row],[Profit]]/SalesTable[[#This Row],[Sales]]</f>
        <v>0.34127490338798633</v>
      </c>
    </row>
    <row r="963" spans="1:12" ht="14" x14ac:dyDescent="0.15">
      <c r="A963" s="1">
        <v>10962</v>
      </c>
      <c r="B963" s="2">
        <v>45523</v>
      </c>
      <c r="C963" s="1" t="s">
        <v>11</v>
      </c>
      <c r="D963" s="1" t="s">
        <v>15</v>
      </c>
      <c r="E963" s="1" t="s">
        <v>19</v>
      </c>
      <c r="F963" s="1" t="s">
        <v>22</v>
      </c>
      <c r="G963" s="4">
        <v>271.26</v>
      </c>
      <c r="H963" s="1">
        <v>4</v>
      </c>
      <c r="I963" s="1" t="str">
        <f>TEXT(SalesTable[[#This Row],[Order_Date]],"mmm")</f>
        <v>Aug</v>
      </c>
      <c r="J963" s="1">
        <f>YEAR(SalesTable[[#This Row],[Order_Date]])</f>
        <v>2024</v>
      </c>
      <c r="K963" s="4">
        <v>262.02999999999997</v>
      </c>
      <c r="L963" s="9">
        <f>SalesTable[[#This Row],[Profit]]/SalesTable[[#This Row],[Sales]]</f>
        <v>0.96597360465973603</v>
      </c>
    </row>
    <row r="964" spans="1:12" ht="14" x14ac:dyDescent="0.15">
      <c r="A964" s="1">
        <v>10963</v>
      </c>
      <c r="B964" s="2">
        <v>45524</v>
      </c>
      <c r="C964" s="1" t="s">
        <v>12</v>
      </c>
      <c r="D964" s="1" t="s">
        <v>15</v>
      </c>
      <c r="E964" s="1" t="s">
        <v>20</v>
      </c>
      <c r="F964" s="1" t="s">
        <v>25</v>
      </c>
      <c r="G964" s="4">
        <v>853.06</v>
      </c>
      <c r="H964" s="1">
        <v>8</v>
      </c>
      <c r="I964" s="1" t="str">
        <f>TEXT(SalesTable[[#This Row],[Order_Date]],"mmm")</f>
        <v>Aug</v>
      </c>
      <c r="J964" s="1">
        <f>YEAR(SalesTable[[#This Row],[Order_Date]])</f>
        <v>2024</v>
      </c>
      <c r="K964" s="4">
        <v>73.84</v>
      </c>
      <c r="L964" s="9">
        <f>SalesTable[[#This Row],[Profit]]/SalesTable[[#This Row],[Sales]]</f>
        <v>8.655897592197502E-2</v>
      </c>
    </row>
    <row r="965" spans="1:12" ht="14" x14ac:dyDescent="0.15">
      <c r="A965" s="1">
        <v>10964</v>
      </c>
      <c r="B965" s="2">
        <v>45525</v>
      </c>
      <c r="C965" s="1" t="s">
        <v>9</v>
      </c>
      <c r="D965" s="1" t="s">
        <v>15</v>
      </c>
      <c r="E965" s="1" t="s">
        <v>17</v>
      </c>
      <c r="F965" s="1" t="s">
        <v>25</v>
      </c>
      <c r="G965" s="4">
        <v>740.8</v>
      </c>
      <c r="H965" s="1">
        <v>3</v>
      </c>
      <c r="I965" s="1" t="str">
        <f>TEXT(SalesTable[[#This Row],[Order_Date]],"mmm")</f>
        <v>Aug</v>
      </c>
      <c r="J965" s="1">
        <f>YEAR(SalesTable[[#This Row],[Order_Date]])</f>
        <v>2024</v>
      </c>
      <c r="K965" s="4">
        <v>95.24</v>
      </c>
      <c r="L965" s="9">
        <f>SalesTable[[#This Row],[Profit]]/SalesTable[[#This Row],[Sales]]</f>
        <v>0.12856371490280777</v>
      </c>
    </row>
    <row r="966" spans="1:12" ht="14" x14ac:dyDescent="0.15">
      <c r="A966" s="1">
        <v>10965</v>
      </c>
      <c r="B966" s="2">
        <v>45526</v>
      </c>
      <c r="C966" s="1" t="s">
        <v>9</v>
      </c>
      <c r="D966" s="1" t="s">
        <v>14</v>
      </c>
      <c r="E966" s="1" t="s">
        <v>19</v>
      </c>
      <c r="F966" s="1" t="s">
        <v>24</v>
      </c>
      <c r="G966" s="4">
        <v>981.72</v>
      </c>
      <c r="H966" s="1">
        <v>5</v>
      </c>
      <c r="I966" s="1" t="str">
        <f>TEXT(SalesTable[[#This Row],[Order_Date]],"mmm")</f>
        <v>Aug</v>
      </c>
      <c r="J966" s="1">
        <f>YEAR(SalesTable[[#This Row],[Order_Date]])</f>
        <v>2024</v>
      </c>
      <c r="K966" s="4">
        <v>270.97000000000003</v>
      </c>
      <c r="L966" s="9">
        <f>SalesTable[[#This Row],[Profit]]/SalesTable[[#This Row],[Sales]]</f>
        <v>0.27601556451941495</v>
      </c>
    </row>
    <row r="967" spans="1:12" ht="14" x14ac:dyDescent="0.15">
      <c r="A967" s="1">
        <v>10966</v>
      </c>
      <c r="B967" s="2">
        <v>45527</v>
      </c>
      <c r="C967" s="1" t="s">
        <v>11</v>
      </c>
      <c r="D967" s="1" t="s">
        <v>15</v>
      </c>
      <c r="E967" s="1" t="s">
        <v>16</v>
      </c>
      <c r="F967" s="1" t="s">
        <v>23</v>
      </c>
      <c r="G967" s="4">
        <v>197.91</v>
      </c>
      <c r="H967" s="1">
        <v>1</v>
      </c>
      <c r="I967" s="1" t="str">
        <f>TEXT(SalesTable[[#This Row],[Order_Date]],"mmm")</f>
        <v>Aug</v>
      </c>
      <c r="J967" s="1">
        <f>YEAR(SalesTable[[#This Row],[Order_Date]])</f>
        <v>2024</v>
      </c>
      <c r="K967" s="4">
        <v>108.4</v>
      </c>
      <c r="L967" s="9">
        <f>SalesTable[[#This Row],[Profit]]/SalesTable[[#This Row],[Sales]]</f>
        <v>0.54772371279874699</v>
      </c>
    </row>
    <row r="968" spans="1:12" ht="14" x14ac:dyDescent="0.15">
      <c r="A968" s="1">
        <v>10967</v>
      </c>
      <c r="B968" s="2">
        <v>45528</v>
      </c>
      <c r="C968" s="1" t="s">
        <v>11</v>
      </c>
      <c r="D968" s="1" t="s">
        <v>14</v>
      </c>
      <c r="E968" s="1" t="s">
        <v>20</v>
      </c>
      <c r="F968" s="1" t="s">
        <v>21</v>
      </c>
      <c r="G968" s="4">
        <v>264.38</v>
      </c>
      <c r="H968" s="1">
        <v>6</v>
      </c>
      <c r="I968" s="1" t="str">
        <f>TEXT(SalesTable[[#This Row],[Order_Date]],"mmm")</f>
        <v>Aug</v>
      </c>
      <c r="J968" s="1">
        <f>YEAR(SalesTable[[#This Row],[Order_Date]])</f>
        <v>2024</v>
      </c>
      <c r="K968" s="4">
        <v>95.04</v>
      </c>
      <c r="L968" s="9">
        <f>SalesTable[[#This Row],[Profit]]/SalesTable[[#This Row],[Sales]]</f>
        <v>0.35948256297753239</v>
      </c>
    </row>
    <row r="969" spans="1:12" ht="14" x14ac:dyDescent="0.15">
      <c r="A969" s="1">
        <v>10968</v>
      </c>
      <c r="B969" s="2">
        <v>45529</v>
      </c>
      <c r="C969" s="1" t="s">
        <v>12</v>
      </c>
      <c r="D969" s="1" t="s">
        <v>14</v>
      </c>
      <c r="E969" s="1" t="s">
        <v>19</v>
      </c>
      <c r="F969" s="1" t="s">
        <v>21</v>
      </c>
      <c r="G969" s="4">
        <v>251.21</v>
      </c>
      <c r="H969" s="1">
        <v>5</v>
      </c>
      <c r="I969" s="1" t="str">
        <f>TEXT(SalesTable[[#This Row],[Order_Date]],"mmm")</f>
        <v>Aug</v>
      </c>
      <c r="J969" s="1">
        <f>YEAR(SalesTable[[#This Row],[Order_Date]])</f>
        <v>2024</v>
      </c>
      <c r="K969" s="4">
        <v>131.33000000000001</v>
      </c>
      <c r="L969" s="9">
        <f>SalesTable[[#This Row],[Profit]]/SalesTable[[#This Row],[Sales]]</f>
        <v>0.5227896978623463</v>
      </c>
    </row>
    <row r="970" spans="1:12" ht="14" x14ac:dyDescent="0.15">
      <c r="A970" s="1">
        <v>10969</v>
      </c>
      <c r="B970" s="2">
        <v>45530</v>
      </c>
      <c r="C970" s="1" t="s">
        <v>12</v>
      </c>
      <c r="D970" s="1" t="s">
        <v>14</v>
      </c>
      <c r="E970" s="1" t="s">
        <v>18</v>
      </c>
      <c r="F970" s="1" t="s">
        <v>21</v>
      </c>
      <c r="G970" s="4">
        <v>802.91</v>
      </c>
      <c r="H970" s="1">
        <v>8</v>
      </c>
      <c r="I970" s="1" t="str">
        <f>TEXT(SalesTable[[#This Row],[Order_Date]],"mmm")</f>
        <v>Aug</v>
      </c>
      <c r="J970" s="1">
        <f>YEAR(SalesTable[[#This Row],[Order_Date]])</f>
        <v>2024</v>
      </c>
      <c r="K970" s="4">
        <v>175.69</v>
      </c>
      <c r="L970" s="9">
        <f>SalesTable[[#This Row],[Profit]]/SalesTable[[#This Row],[Sales]]</f>
        <v>0.21881655478198056</v>
      </c>
    </row>
    <row r="971" spans="1:12" ht="14" x14ac:dyDescent="0.15">
      <c r="A971" s="1">
        <v>10970</v>
      </c>
      <c r="B971" s="2">
        <v>45531</v>
      </c>
      <c r="C971" s="1" t="s">
        <v>9</v>
      </c>
      <c r="D971" s="1" t="s">
        <v>13</v>
      </c>
      <c r="E971" s="1" t="s">
        <v>16</v>
      </c>
      <c r="F971" s="1" t="s">
        <v>22</v>
      </c>
      <c r="G971" s="4">
        <v>227.56</v>
      </c>
      <c r="H971" s="1">
        <v>9</v>
      </c>
      <c r="I971" s="1" t="str">
        <f>TEXT(SalesTable[[#This Row],[Order_Date]],"mmm")</f>
        <v>Aug</v>
      </c>
      <c r="J971" s="1">
        <f>YEAR(SalesTable[[#This Row],[Order_Date]])</f>
        <v>2024</v>
      </c>
      <c r="K971" s="4">
        <v>-57.25</v>
      </c>
      <c r="L971" s="9">
        <f>SalesTable[[#This Row],[Profit]]/SalesTable[[#This Row],[Sales]]</f>
        <v>-0.25158200035155565</v>
      </c>
    </row>
    <row r="972" spans="1:12" ht="14" x14ac:dyDescent="0.15">
      <c r="A972" s="1">
        <v>10971</v>
      </c>
      <c r="B972" s="2">
        <v>45532</v>
      </c>
      <c r="C972" s="1" t="s">
        <v>10</v>
      </c>
      <c r="D972" s="1" t="s">
        <v>15</v>
      </c>
      <c r="E972" s="1" t="s">
        <v>19</v>
      </c>
      <c r="F972" s="1" t="s">
        <v>25</v>
      </c>
      <c r="G972" s="4">
        <v>113.33</v>
      </c>
      <c r="H972" s="1">
        <v>8</v>
      </c>
      <c r="I972" s="1" t="str">
        <f>TEXT(SalesTable[[#This Row],[Order_Date]],"mmm")</f>
        <v>Aug</v>
      </c>
      <c r="J972" s="1">
        <f>YEAR(SalesTable[[#This Row],[Order_Date]])</f>
        <v>2024</v>
      </c>
      <c r="K972" s="4">
        <v>228.44</v>
      </c>
      <c r="L972" s="9">
        <f>SalesTable[[#This Row],[Profit]]/SalesTable[[#This Row],[Sales]]</f>
        <v>2.0157063443042444</v>
      </c>
    </row>
    <row r="973" spans="1:12" ht="14" x14ac:dyDescent="0.15">
      <c r="A973" s="1">
        <v>10972</v>
      </c>
      <c r="B973" s="2">
        <v>45533</v>
      </c>
      <c r="C973" s="1" t="s">
        <v>9</v>
      </c>
      <c r="D973" s="1" t="s">
        <v>15</v>
      </c>
      <c r="E973" s="1" t="s">
        <v>16</v>
      </c>
      <c r="F973" s="1" t="s">
        <v>23</v>
      </c>
      <c r="G973" s="4">
        <v>998.63</v>
      </c>
      <c r="H973" s="1">
        <v>8</v>
      </c>
      <c r="I973" s="1" t="str">
        <f>TEXT(SalesTable[[#This Row],[Order_Date]],"mmm")</f>
        <v>Aug</v>
      </c>
      <c r="J973" s="1">
        <f>YEAR(SalesTable[[#This Row],[Order_Date]])</f>
        <v>2024</v>
      </c>
      <c r="K973" s="4">
        <v>74.2</v>
      </c>
      <c r="L973" s="9">
        <f>SalesTable[[#This Row],[Profit]]/SalesTable[[#This Row],[Sales]]</f>
        <v>7.4301793457036136E-2</v>
      </c>
    </row>
    <row r="974" spans="1:12" ht="14" x14ac:dyDescent="0.15">
      <c r="A974" s="1">
        <v>10973</v>
      </c>
      <c r="B974" s="2">
        <v>45534</v>
      </c>
      <c r="C974" s="1" t="s">
        <v>11</v>
      </c>
      <c r="D974" s="1" t="s">
        <v>14</v>
      </c>
      <c r="E974" s="1" t="s">
        <v>16</v>
      </c>
      <c r="F974" s="1" t="s">
        <v>22</v>
      </c>
      <c r="G974" s="4">
        <v>73.58</v>
      </c>
      <c r="H974" s="1">
        <v>3</v>
      </c>
      <c r="I974" s="1" t="str">
        <f>TEXT(SalesTable[[#This Row],[Order_Date]],"mmm")</f>
        <v>Aug</v>
      </c>
      <c r="J974" s="1">
        <f>YEAR(SalesTable[[#This Row],[Order_Date]])</f>
        <v>2024</v>
      </c>
      <c r="K974" s="4">
        <v>-71.06</v>
      </c>
      <c r="L974" s="9">
        <f>SalesTable[[#This Row],[Profit]]/SalesTable[[#This Row],[Sales]]</f>
        <v>-0.96575156292470787</v>
      </c>
    </row>
    <row r="975" spans="1:12" ht="14" x14ac:dyDescent="0.15">
      <c r="A975" s="1">
        <v>10974</v>
      </c>
      <c r="B975" s="2">
        <v>45535</v>
      </c>
      <c r="C975" s="1" t="s">
        <v>9</v>
      </c>
      <c r="D975" s="1" t="s">
        <v>14</v>
      </c>
      <c r="E975" s="1" t="s">
        <v>17</v>
      </c>
      <c r="F975" s="1" t="s">
        <v>25</v>
      </c>
      <c r="G975" s="4">
        <v>843.48</v>
      </c>
      <c r="H975" s="1">
        <v>4</v>
      </c>
      <c r="I975" s="1" t="str">
        <f>TEXT(SalesTable[[#This Row],[Order_Date]],"mmm")</f>
        <v>Aug</v>
      </c>
      <c r="J975" s="1">
        <f>YEAR(SalesTable[[#This Row],[Order_Date]])</f>
        <v>2024</v>
      </c>
      <c r="K975" s="4">
        <v>214.47</v>
      </c>
      <c r="L975" s="9">
        <f>SalesTable[[#This Row],[Profit]]/SalesTable[[#This Row],[Sales]]</f>
        <v>0.25426803243704649</v>
      </c>
    </row>
    <row r="976" spans="1:12" ht="14" x14ac:dyDescent="0.15">
      <c r="A976" s="1">
        <v>10975</v>
      </c>
      <c r="B976" s="2">
        <v>45536</v>
      </c>
      <c r="C976" s="1" t="s">
        <v>10</v>
      </c>
      <c r="D976" s="1" t="s">
        <v>15</v>
      </c>
      <c r="E976" s="1" t="s">
        <v>16</v>
      </c>
      <c r="F976" s="1" t="s">
        <v>25</v>
      </c>
      <c r="G976" s="4">
        <v>397.1</v>
      </c>
      <c r="H976" s="1">
        <v>4</v>
      </c>
      <c r="I976" s="1" t="str">
        <f>TEXT(SalesTable[[#This Row],[Order_Date]],"mmm")</f>
        <v>Sep</v>
      </c>
      <c r="J976" s="1">
        <f>YEAR(SalesTable[[#This Row],[Order_Date]])</f>
        <v>2024</v>
      </c>
      <c r="K976" s="4">
        <v>50.78</v>
      </c>
      <c r="L976" s="9">
        <f>SalesTable[[#This Row],[Profit]]/SalesTable[[#This Row],[Sales]]</f>
        <v>0.12787710904054395</v>
      </c>
    </row>
    <row r="977" spans="1:12" ht="14" x14ac:dyDescent="0.15">
      <c r="A977" s="1">
        <v>10976</v>
      </c>
      <c r="B977" s="2">
        <v>45537</v>
      </c>
      <c r="C977" s="1" t="s">
        <v>12</v>
      </c>
      <c r="D977" s="1" t="s">
        <v>14</v>
      </c>
      <c r="E977" s="1" t="s">
        <v>17</v>
      </c>
      <c r="F977" s="1" t="s">
        <v>23</v>
      </c>
      <c r="G977" s="4">
        <v>849.53</v>
      </c>
      <c r="H977" s="1">
        <v>5</v>
      </c>
      <c r="I977" s="1" t="str">
        <f>TEXT(SalesTable[[#This Row],[Order_Date]],"mmm")</f>
        <v>Sep</v>
      </c>
      <c r="J977" s="1">
        <f>YEAR(SalesTable[[#This Row],[Order_Date]])</f>
        <v>2024</v>
      </c>
      <c r="K977" s="4">
        <v>-59.85</v>
      </c>
      <c r="L977" s="9">
        <f>SalesTable[[#This Row],[Profit]]/SalesTable[[#This Row],[Sales]]</f>
        <v>-7.0450719809777171E-2</v>
      </c>
    </row>
    <row r="978" spans="1:12" ht="14" x14ac:dyDescent="0.15">
      <c r="A978" s="1">
        <v>10977</v>
      </c>
      <c r="B978" s="2">
        <v>45538</v>
      </c>
      <c r="C978" s="1" t="s">
        <v>10</v>
      </c>
      <c r="D978" s="1" t="s">
        <v>15</v>
      </c>
      <c r="E978" s="1" t="s">
        <v>20</v>
      </c>
      <c r="F978" s="1" t="s">
        <v>23</v>
      </c>
      <c r="G978" s="4">
        <v>576.89</v>
      </c>
      <c r="H978" s="1">
        <v>9</v>
      </c>
      <c r="I978" s="1" t="str">
        <f>TEXT(SalesTable[[#This Row],[Order_Date]],"mmm")</f>
        <v>Sep</v>
      </c>
      <c r="J978" s="1">
        <f>YEAR(SalesTable[[#This Row],[Order_Date]])</f>
        <v>2024</v>
      </c>
      <c r="K978" s="4">
        <v>153.51</v>
      </c>
      <c r="L978" s="9">
        <f>SalesTable[[#This Row],[Profit]]/SalesTable[[#This Row],[Sales]]</f>
        <v>0.26609925635736448</v>
      </c>
    </row>
    <row r="979" spans="1:12" ht="14" x14ac:dyDescent="0.15">
      <c r="A979" s="1">
        <v>10978</v>
      </c>
      <c r="B979" s="2">
        <v>45539</v>
      </c>
      <c r="C979" s="1" t="s">
        <v>10</v>
      </c>
      <c r="D979" s="1" t="s">
        <v>13</v>
      </c>
      <c r="E979" s="1" t="s">
        <v>17</v>
      </c>
      <c r="F979" s="1" t="s">
        <v>23</v>
      </c>
      <c r="G979" s="4">
        <v>906.55</v>
      </c>
      <c r="H979" s="1">
        <v>9</v>
      </c>
      <c r="I979" s="1" t="str">
        <f>TEXT(SalesTable[[#This Row],[Order_Date]],"mmm")</f>
        <v>Sep</v>
      </c>
      <c r="J979" s="1">
        <f>YEAR(SalesTable[[#This Row],[Order_Date]])</f>
        <v>2024</v>
      </c>
      <c r="K979" s="4">
        <v>252.05</v>
      </c>
      <c r="L979" s="9">
        <f>SalesTable[[#This Row],[Profit]]/SalesTable[[#This Row],[Sales]]</f>
        <v>0.27803209971871384</v>
      </c>
    </row>
    <row r="980" spans="1:12" ht="14" x14ac:dyDescent="0.15">
      <c r="A980" s="1">
        <v>10979</v>
      </c>
      <c r="B980" s="2">
        <v>45540</v>
      </c>
      <c r="C980" s="1" t="s">
        <v>10</v>
      </c>
      <c r="D980" s="1" t="s">
        <v>14</v>
      </c>
      <c r="E980" s="1" t="s">
        <v>18</v>
      </c>
      <c r="F980" s="1" t="s">
        <v>22</v>
      </c>
      <c r="G980" s="4">
        <v>929.88</v>
      </c>
      <c r="H980" s="1">
        <v>1</v>
      </c>
      <c r="I980" s="1" t="str">
        <f>TEXT(SalesTable[[#This Row],[Order_Date]],"mmm")</f>
        <v>Sep</v>
      </c>
      <c r="J980" s="1">
        <f>YEAR(SalesTable[[#This Row],[Order_Date]])</f>
        <v>2024</v>
      </c>
      <c r="K980" s="4">
        <v>255.1</v>
      </c>
      <c r="L980" s="9">
        <f>SalesTable[[#This Row],[Profit]]/SalesTable[[#This Row],[Sales]]</f>
        <v>0.27433647352346541</v>
      </c>
    </row>
    <row r="981" spans="1:12" ht="14" x14ac:dyDescent="0.15">
      <c r="A981" s="1">
        <v>10980</v>
      </c>
      <c r="B981" s="2">
        <v>45541</v>
      </c>
      <c r="C981" s="1" t="s">
        <v>12</v>
      </c>
      <c r="D981" s="1" t="s">
        <v>15</v>
      </c>
      <c r="E981" s="1" t="s">
        <v>19</v>
      </c>
      <c r="F981" s="1" t="s">
        <v>24</v>
      </c>
      <c r="G981" s="4">
        <v>58.64</v>
      </c>
      <c r="H981" s="1">
        <v>8</v>
      </c>
      <c r="I981" s="1" t="str">
        <f>TEXT(SalesTable[[#This Row],[Order_Date]],"mmm")</f>
        <v>Sep</v>
      </c>
      <c r="J981" s="1">
        <f>YEAR(SalesTable[[#This Row],[Order_Date]])</f>
        <v>2024</v>
      </c>
      <c r="K981" s="4">
        <v>283.07</v>
      </c>
      <c r="L981" s="9">
        <f>SalesTable[[#This Row],[Profit]]/SalesTable[[#This Row],[Sales]]</f>
        <v>4.8272510231923604</v>
      </c>
    </row>
    <row r="982" spans="1:12" ht="14" x14ac:dyDescent="0.15">
      <c r="A982" s="1">
        <v>10981</v>
      </c>
      <c r="B982" s="2">
        <v>45542</v>
      </c>
      <c r="C982" s="1" t="s">
        <v>10</v>
      </c>
      <c r="D982" s="1" t="s">
        <v>14</v>
      </c>
      <c r="E982" s="1" t="s">
        <v>20</v>
      </c>
      <c r="F982" s="1" t="s">
        <v>23</v>
      </c>
      <c r="G982" s="4">
        <v>121.64</v>
      </c>
      <c r="H982" s="1">
        <v>1</v>
      </c>
      <c r="I982" s="1" t="str">
        <f>TEXT(SalesTable[[#This Row],[Order_Date]],"mmm")</f>
        <v>Sep</v>
      </c>
      <c r="J982" s="1">
        <f>YEAR(SalesTable[[#This Row],[Order_Date]])</f>
        <v>2024</v>
      </c>
      <c r="K982" s="4">
        <v>247.08</v>
      </c>
      <c r="L982" s="9">
        <f>SalesTable[[#This Row],[Profit]]/SalesTable[[#This Row],[Sales]]</f>
        <v>2.0312397237750739</v>
      </c>
    </row>
    <row r="983" spans="1:12" ht="14" x14ac:dyDescent="0.15">
      <c r="A983" s="1">
        <v>10982</v>
      </c>
      <c r="B983" s="2">
        <v>45543</v>
      </c>
      <c r="C983" s="1" t="s">
        <v>10</v>
      </c>
      <c r="D983" s="1" t="s">
        <v>15</v>
      </c>
      <c r="E983" s="1" t="s">
        <v>20</v>
      </c>
      <c r="F983" s="1" t="s">
        <v>24</v>
      </c>
      <c r="G983" s="4">
        <v>287.83999999999997</v>
      </c>
      <c r="H983" s="1">
        <v>2</v>
      </c>
      <c r="I983" s="1" t="str">
        <f>TEXT(SalesTable[[#This Row],[Order_Date]],"mmm")</f>
        <v>Sep</v>
      </c>
      <c r="J983" s="1">
        <f>YEAR(SalesTable[[#This Row],[Order_Date]])</f>
        <v>2024</v>
      </c>
      <c r="K983" s="4">
        <v>-99.14</v>
      </c>
      <c r="L983" s="9">
        <f>SalesTable[[#This Row],[Profit]]/SalesTable[[#This Row],[Sales]]</f>
        <v>-0.34442745969983329</v>
      </c>
    </row>
    <row r="984" spans="1:12" ht="14" x14ac:dyDescent="0.15">
      <c r="A984" s="1">
        <v>10983</v>
      </c>
      <c r="B984" s="2">
        <v>45544</v>
      </c>
      <c r="C984" s="1" t="s">
        <v>10</v>
      </c>
      <c r="D984" s="1" t="s">
        <v>15</v>
      </c>
      <c r="E984" s="1" t="s">
        <v>18</v>
      </c>
      <c r="F984" s="1" t="s">
        <v>22</v>
      </c>
      <c r="G984" s="4">
        <v>685.85</v>
      </c>
      <c r="H984" s="1">
        <v>7</v>
      </c>
      <c r="I984" s="1" t="str">
        <f>TEXT(SalesTable[[#This Row],[Order_Date]],"mmm")</f>
        <v>Sep</v>
      </c>
      <c r="J984" s="1">
        <f>YEAR(SalesTable[[#This Row],[Order_Date]])</f>
        <v>2024</v>
      </c>
      <c r="K984" s="4">
        <v>52.1</v>
      </c>
      <c r="L984" s="9">
        <f>SalesTable[[#This Row],[Profit]]/SalesTable[[#This Row],[Sales]]</f>
        <v>7.5964132098855427E-2</v>
      </c>
    </row>
    <row r="985" spans="1:12" ht="14" x14ac:dyDescent="0.15">
      <c r="A985" s="1">
        <v>10984</v>
      </c>
      <c r="B985" s="2">
        <v>45545</v>
      </c>
      <c r="C985" s="1" t="s">
        <v>11</v>
      </c>
      <c r="D985" s="1" t="s">
        <v>14</v>
      </c>
      <c r="E985" s="1" t="s">
        <v>17</v>
      </c>
      <c r="F985" s="1" t="s">
        <v>24</v>
      </c>
      <c r="G985" s="4">
        <v>893.86</v>
      </c>
      <c r="H985" s="1">
        <v>8</v>
      </c>
      <c r="I985" s="1" t="str">
        <f>TEXT(SalesTable[[#This Row],[Order_Date]],"mmm")</f>
        <v>Sep</v>
      </c>
      <c r="J985" s="1">
        <f>YEAR(SalesTable[[#This Row],[Order_Date]])</f>
        <v>2024</v>
      </c>
      <c r="K985" s="4">
        <v>227.42</v>
      </c>
      <c r="L985" s="9">
        <f>SalesTable[[#This Row],[Profit]]/SalesTable[[#This Row],[Sales]]</f>
        <v>0.25442463025529721</v>
      </c>
    </row>
    <row r="986" spans="1:12" ht="14" x14ac:dyDescent="0.15">
      <c r="A986" s="1">
        <v>10985</v>
      </c>
      <c r="B986" s="2">
        <v>45546</v>
      </c>
      <c r="C986" s="1" t="s">
        <v>10</v>
      </c>
      <c r="D986" s="1" t="s">
        <v>13</v>
      </c>
      <c r="E986" s="1" t="s">
        <v>19</v>
      </c>
      <c r="F986" s="1" t="s">
        <v>21</v>
      </c>
      <c r="G986" s="4">
        <v>486.94</v>
      </c>
      <c r="H986" s="1">
        <v>1</v>
      </c>
      <c r="I986" s="1" t="str">
        <f>TEXT(SalesTable[[#This Row],[Order_Date]],"mmm")</f>
        <v>Sep</v>
      </c>
      <c r="J986" s="1">
        <f>YEAR(SalesTable[[#This Row],[Order_Date]])</f>
        <v>2024</v>
      </c>
      <c r="K986" s="4">
        <v>46.5</v>
      </c>
      <c r="L986" s="9">
        <f>SalesTable[[#This Row],[Profit]]/SalesTable[[#This Row],[Sales]]</f>
        <v>9.5494311414137265E-2</v>
      </c>
    </row>
    <row r="987" spans="1:12" ht="14" x14ac:dyDescent="0.15">
      <c r="A987" s="1">
        <v>10986</v>
      </c>
      <c r="B987" s="2">
        <v>45547</v>
      </c>
      <c r="C987" s="1" t="s">
        <v>12</v>
      </c>
      <c r="D987" s="1" t="s">
        <v>15</v>
      </c>
      <c r="E987" s="1" t="s">
        <v>17</v>
      </c>
      <c r="F987" s="1" t="s">
        <v>24</v>
      </c>
      <c r="G987" s="4">
        <v>626.62</v>
      </c>
      <c r="H987" s="1">
        <v>3</v>
      </c>
      <c r="I987" s="1" t="str">
        <f>TEXT(SalesTable[[#This Row],[Order_Date]],"mmm")</f>
        <v>Sep</v>
      </c>
      <c r="J987" s="1">
        <f>YEAR(SalesTable[[#This Row],[Order_Date]])</f>
        <v>2024</v>
      </c>
      <c r="K987" s="4">
        <v>140.62</v>
      </c>
      <c r="L987" s="9">
        <f>SalesTable[[#This Row],[Profit]]/SalesTable[[#This Row],[Sales]]</f>
        <v>0.22441032842871278</v>
      </c>
    </row>
    <row r="988" spans="1:12" ht="14" x14ac:dyDescent="0.15">
      <c r="A988" s="1">
        <v>10987</v>
      </c>
      <c r="B988" s="2">
        <v>45548</v>
      </c>
      <c r="C988" s="1" t="s">
        <v>10</v>
      </c>
      <c r="D988" s="1" t="s">
        <v>15</v>
      </c>
      <c r="E988" s="1" t="s">
        <v>16</v>
      </c>
      <c r="F988" s="1" t="s">
        <v>23</v>
      </c>
      <c r="G988" s="4">
        <v>229.07</v>
      </c>
      <c r="H988" s="1">
        <v>7</v>
      </c>
      <c r="I988" s="1" t="str">
        <f>TEXT(SalesTable[[#This Row],[Order_Date]],"mmm")</f>
        <v>Sep</v>
      </c>
      <c r="J988" s="1">
        <f>YEAR(SalesTable[[#This Row],[Order_Date]])</f>
        <v>2024</v>
      </c>
      <c r="K988" s="4">
        <v>142.53</v>
      </c>
      <c r="L988" s="9">
        <f>SalesTable[[#This Row],[Profit]]/SalesTable[[#This Row],[Sales]]</f>
        <v>0.62221155105426296</v>
      </c>
    </row>
    <row r="989" spans="1:12" ht="14" x14ac:dyDescent="0.15">
      <c r="A989" s="1">
        <v>10988</v>
      </c>
      <c r="B989" s="2">
        <v>45549</v>
      </c>
      <c r="C989" s="1" t="s">
        <v>10</v>
      </c>
      <c r="D989" s="1" t="s">
        <v>15</v>
      </c>
      <c r="E989" s="1" t="s">
        <v>17</v>
      </c>
      <c r="F989" s="1" t="s">
        <v>22</v>
      </c>
      <c r="G989" s="4">
        <v>814.72</v>
      </c>
      <c r="H989" s="1">
        <v>9</v>
      </c>
      <c r="I989" s="1" t="str">
        <f>TEXT(SalesTable[[#This Row],[Order_Date]],"mmm")</f>
        <v>Sep</v>
      </c>
      <c r="J989" s="1">
        <f>YEAR(SalesTable[[#This Row],[Order_Date]])</f>
        <v>2024</v>
      </c>
      <c r="K989" s="4">
        <v>46.01</v>
      </c>
      <c r="L989" s="9">
        <f>SalesTable[[#This Row],[Profit]]/SalesTable[[#This Row],[Sales]]</f>
        <v>5.6473389630793396E-2</v>
      </c>
    </row>
    <row r="990" spans="1:12" ht="14" x14ac:dyDescent="0.15">
      <c r="A990" s="1">
        <v>10989</v>
      </c>
      <c r="B990" s="2">
        <v>45550</v>
      </c>
      <c r="C990" s="1" t="s">
        <v>12</v>
      </c>
      <c r="D990" s="1" t="s">
        <v>13</v>
      </c>
      <c r="E990" s="1" t="s">
        <v>20</v>
      </c>
      <c r="F990" s="1" t="s">
        <v>23</v>
      </c>
      <c r="G990" s="4">
        <v>968.96</v>
      </c>
      <c r="H990" s="1">
        <v>8</v>
      </c>
      <c r="I990" s="1" t="str">
        <f>TEXT(SalesTable[[#This Row],[Order_Date]],"mmm")</f>
        <v>Sep</v>
      </c>
      <c r="J990" s="1">
        <f>YEAR(SalesTable[[#This Row],[Order_Date]])</f>
        <v>2024</v>
      </c>
      <c r="K990" s="4">
        <v>261.79000000000002</v>
      </c>
      <c r="L990" s="9">
        <f>SalesTable[[#This Row],[Profit]]/SalesTable[[#This Row],[Sales]]</f>
        <v>0.2701762714663144</v>
      </c>
    </row>
    <row r="991" spans="1:12" ht="14" x14ac:dyDescent="0.15">
      <c r="A991" s="1">
        <v>10990</v>
      </c>
      <c r="B991" s="2">
        <v>45551</v>
      </c>
      <c r="C991" s="1" t="s">
        <v>10</v>
      </c>
      <c r="D991" s="1" t="s">
        <v>13</v>
      </c>
      <c r="E991" s="1" t="s">
        <v>19</v>
      </c>
      <c r="F991" s="1" t="s">
        <v>21</v>
      </c>
      <c r="G991" s="4">
        <v>305.17</v>
      </c>
      <c r="H991" s="1">
        <v>8</v>
      </c>
      <c r="I991" s="1" t="str">
        <f>TEXT(SalesTable[[#This Row],[Order_Date]],"mmm")</f>
        <v>Sep</v>
      </c>
      <c r="J991" s="1">
        <f>YEAR(SalesTable[[#This Row],[Order_Date]])</f>
        <v>2024</v>
      </c>
      <c r="K991" s="4">
        <v>101.29</v>
      </c>
      <c r="L991" s="9">
        <f>SalesTable[[#This Row],[Profit]]/SalesTable[[#This Row],[Sales]]</f>
        <v>0.3319133597666874</v>
      </c>
    </row>
    <row r="992" spans="1:12" ht="14" x14ac:dyDescent="0.15">
      <c r="A992" s="1">
        <v>10991</v>
      </c>
      <c r="B992" s="2">
        <v>45552</v>
      </c>
      <c r="C992" s="1" t="s">
        <v>12</v>
      </c>
      <c r="D992" s="1" t="s">
        <v>14</v>
      </c>
      <c r="E992" s="1" t="s">
        <v>17</v>
      </c>
      <c r="F992" s="1" t="s">
        <v>23</v>
      </c>
      <c r="G992" s="4">
        <v>520.08000000000004</v>
      </c>
      <c r="H992" s="1">
        <v>9</v>
      </c>
      <c r="I992" s="1" t="str">
        <f>TEXT(SalesTable[[#This Row],[Order_Date]],"mmm")</f>
        <v>Sep</v>
      </c>
      <c r="J992" s="1">
        <f>YEAR(SalesTable[[#This Row],[Order_Date]])</f>
        <v>2024</v>
      </c>
      <c r="K992" s="4">
        <v>85.91</v>
      </c>
      <c r="L992" s="9">
        <f>SalesTable[[#This Row],[Profit]]/SalesTable[[#This Row],[Sales]]</f>
        <v>0.16518612521150591</v>
      </c>
    </row>
    <row r="993" spans="1:12" ht="14" x14ac:dyDescent="0.15">
      <c r="A993" s="1">
        <v>10992</v>
      </c>
      <c r="B993" s="2">
        <v>45553</v>
      </c>
      <c r="C993" s="1" t="s">
        <v>10</v>
      </c>
      <c r="D993" s="1" t="s">
        <v>13</v>
      </c>
      <c r="E993" s="1" t="s">
        <v>19</v>
      </c>
      <c r="F993" s="1" t="s">
        <v>23</v>
      </c>
      <c r="G993" s="4">
        <v>131.81</v>
      </c>
      <c r="H993" s="1">
        <v>3</v>
      </c>
      <c r="I993" s="1" t="str">
        <f>TEXT(SalesTable[[#This Row],[Order_Date]],"mmm")</f>
        <v>Sep</v>
      </c>
      <c r="J993" s="1">
        <f>YEAR(SalesTable[[#This Row],[Order_Date]])</f>
        <v>2024</v>
      </c>
      <c r="K993" s="4">
        <v>299.01</v>
      </c>
      <c r="L993" s="9">
        <f>SalesTable[[#This Row],[Profit]]/SalesTable[[#This Row],[Sales]]</f>
        <v>2.268492527122373</v>
      </c>
    </row>
    <row r="994" spans="1:12" ht="14" x14ac:dyDescent="0.15">
      <c r="A994" s="1">
        <v>10993</v>
      </c>
      <c r="B994" s="2">
        <v>45554</v>
      </c>
      <c r="C994" s="1" t="s">
        <v>12</v>
      </c>
      <c r="D994" s="1" t="s">
        <v>14</v>
      </c>
      <c r="E994" s="1" t="s">
        <v>19</v>
      </c>
      <c r="F994" s="1" t="s">
        <v>23</v>
      </c>
      <c r="G994" s="4">
        <v>581.17999999999995</v>
      </c>
      <c r="H994" s="1">
        <v>8</v>
      </c>
      <c r="I994" s="1" t="str">
        <f>TEXT(SalesTable[[#This Row],[Order_Date]],"mmm")</f>
        <v>Sep</v>
      </c>
      <c r="J994" s="1">
        <f>YEAR(SalesTable[[#This Row],[Order_Date]])</f>
        <v>2024</v>
      </c>
      <c r="K994" s="4">
        <v>97.4</v>
      </c>
      <c r="L994" s="9">
        <f>SalesTable[[#This Row],[Profit]]/SalesTable[[#This Row],[Sales]]</f>
        <v>0.16759007536391482</v>
      </c>
    </row>
    <row r="995" spans="1:12" ht="14" x14ac:dyDescent="0.15">
      <c r="A995" s="1">
        <v>10994</v>
      </c>
      <c r="B995" s="2">
        <v>45555</v>
      </c>
      <c r="C995" s="1" t="s">
        <v>10</v>
      </c>
      <c r="D995" s="1" t="s">
        <v>14</v>
      </c>
      <c r="E995" s="1" t="s">
        <v>16</v>
      </c>
      <c r="F995" s="1" t="s">
        <v>25</v>
      </c>
      <c r="G995" s="4">
        <v>527.64</v>
      </c>
      <c r="H995" s="1">
        <v>1</v>
      </c>
      <c r="I995" s="1" t="str">
        <f>TEXT(SalesTable[[#This Row],[Order_Date]],"mmm")</f>
        <v>Sep</v>
      </c>
      <c r="J995" s="1">
        <f>YEAR(SalesTable[[#This Row],[Order_Date]])</f>
        <v>2024</v>
      </c>
      <c r="K995" s="4">
        <v>-28.64</v>
      </c>
      <c r="L995" s="9">
        <f>SalesTable[[#This Row],[Profit]]/SalesTable[[#This Row],[Sales]]</f>
        <v>-5.4279432946706091E-2</v>
      </c>
    </row>
    <row r="996" spans="1:12" ht="14" x14ac:dyDescent="0.15">
      <c r="A996" s="1">
        <v>10995</v>
      </c>
      <c r="B996" s="2">
        <v>45556</v>
      </c>
      <c r="C996" s="1" t="s">
        <v>10</v>
      </c>
      <c r="D996" s="1" t="s">
        <v>13</v>
      </c>
      <c r="E996" s="1" t="s">
        <v>16</v>
      </c>
      <c r="F996" s="1" t="s">
        <v>21</v>
      </c>
      <c r="G996" s="4">
        <v>187.21</v>
      </c>
      <c r="H996" s="1">
        <v>8</v>
      </c>
      <c r="I996" s="1" t="str">
        <f>TEXT(SalesTable[[#This Row],[Order_Date]],"mmm")</f>
        <v>Sep</v>
      </c>
      <c r="J996" s="1">
        <f>YEAR(SalesTable[[#This Row],[Order_Date]])</f>
        <v>2024</v>
      </c>
      <c r="K996" s="4">
        <v>105.23</v>
      </c>
      <c r="L996" s="9">
        <f>SalesTable[[#This Row],[Profit]]/SalesTable[[#This Row],[Sales]]</f>
        <v>0.5620960418781048</v>
      </c>
    </row>
    <row r="997" spans="1:12" ht="14" x14ac:dyDescent="0.15">
      <c r="A997" s="1">
        <v>10996</v>
      </c>
      <c r="B997" s="2">
        <v>45557</v>
      </c>
      <c r="C997" s="1" t="s">
        <v>11</v>
      </c>
      <c r="D997" s="1" t="s">
        <v>14</v>
      </c>
      <c r="E997" s="1" t="s">
        <v>20</v>
      </c>
      <c r="F997" s="1" t="s">
        <v>23</v>
      </c>
      <c r="G997" s="4">
        <v>469.96</v>
      </c>
      <c r="H997" s="1">
        <v>7</v>
      </c>
      <c r="I997" s="1" t="str">
        <f>TEXT(SalesTable[[#This Row],[Order_Date]],"mmm")</f>
        <v>Sep</v>
      </c>
      <c r="J997" s="1">
        <f>YEAR(SalesTable[[#This Row],[Order_Date]])</f>
        <v>2024</v>
      </c>
      <c r="K997" s="4">
        <v>225.61</v>
      </c>
      <c r="L997" s="9">
        <f>SalesTable[[#This Row],[Profit]]/SalesTable[[#This Row],[Sales]]</f>
        <v>0.48006213294748495</v>
      </c>
    </row>
    <row r="998" spans="1:12" ht="14" x14ac:dyDescent="0.15">
      <c r="A998" s="1">
        <v>10997</v>
      </c>
      <c r="B998" s="2">
        <v>45558</v>
      </c>
      <c r="C998" s="1" t="s">
        <v>11</v>
      </c>
      <c r="D998" s="1" t="s">
        <v>13</v>
      </c>
      <c r="E998" s="1" t="s">
        <v>18</v>
      </c>
      <c r="F998" s="1" t="s">
        <v>23</v>
      </c>
      <c r="G998" s="4">
        <v>367.4</v>
      </c>
      <c r="H998" s="1">
        <v>8</v>
      </c>
      <c r="I998" s="1" t="str">
        <f>TEXT(SalesTable[[#This Row],[Order_Date]],"mmm")</f>
        <v>Sep</v>
      </c>
      <c r="J998" s="1">
        <f>YEAR(SalesTable[[#This Row],[Order_Date]])</f>
        <v>2024</v>
      </c>
      <c r="K998" s="4">
        <v>210.74</v>
      </c>
      <c r="L998" s="9">
        <f>SalesTable[[#This Row],[Profit]]/SalesTable[[#This Row],[Sales]]</f>
        <v>0.57359825802939579</v>
      </c>
    </row>
    <row r="999" spans="1:12" ht="14" x14ac:dyDescent="0.15">
      <c r="A999" s="1">
        <v>10998</v>
      </c>
      <c r="B999" s="2">
        <v>45559</v>
      </c>
      <c r="C999" s="1" t="s">
        <v>10</v>
      </c>
      <c r="D999" s="1" t="s">
        <v>14</v>
      </c>
      <c r="E999" s="1" t="s">
        <v>19</v>
      </c>
      <c r="F999" s="1" t="s">
        <v>23</v>
      </c>
      <c r="G999" s="4">
        <v>545.74</v>
      </c>
      <c r="H999" s="1">
        <v>1</v>
      </c>
      <c r="I999" s="1" t="str">
        <f>TEXT(SalesTable[[#This Row],[Order_Date]],"mmm")</f>
        <v>Sep</v>
      </c>
      <c r="J999" s="1">
        <f>YEAR(SalesTable[[#This Row],[Order_Date]])</f>
        <v>2024</v>
      </c>
      <c r="K999" s="4">
        <v>215.43</v>
      </c>
      <c r="L999" s="9">
        <f>SalesTable[[#This Row],[Profit]]/SalesTable[[#This Row],[Sales]]</f>
        <v>0.39474841499615204</v>
      </c>
    </row>
    <row r="1000" spans="1:12" ht="14" x14ac:dyDescent="0.15">
      <c r="A1000" s="1">
        <v>10999</v>
      </c>
      <c r="B1000" s="2">
        <v>45560</v>
      </c>
      <c r="C1000" s="1" t="s">
        <v>10</v>
      </c>
      <c r="D1000" s="1" t="s">
        <v>13</v>
      </c>
      <c r="E1000" s="1" t="s">
        <v>18</v>
      </c>
      <c r="F1000" s="1" t="s">
        <v>22</v>
      </c>
      <c r="G1000" s="4">
        <v>606.37</v>
      </c>
      <c r="H1000" s="1">
        <v>6</v>
      </c>
      <c r="I1000" s="1" t="str">
        <f>TEXT(SalesTable[[#This Row],[Order_Date]],"mmm")</f>
        <v>Sep</v>
      </c>
      <c r="J1000" s="1">
        <f>YEAR(SalesTable[[#This Row],[Order_Date]])</f>
        <v>2024</v>
      </c>
      <c r="K1000" s="4">
        <v>183.21</v>
      </c>
      <c r="L1000" s="9">
        <f>SalesTable[[#This Row],[Profit]]/SalesTable[[#This Row],[Sales]]</f>
        <v>0.30214225637811898</v>
      </c>
    </row>
    <row r="1001" spans="1:12" ht="14" x14ac:dyDescent="0.15">
      <c r="A1001" s="1">
        <v>11000</v>
      </c>
      <c r="B1001" s="2">
        <v>45561</v>
      </c>
      <c r="C1001" s="1" t="s">
        <v>9</v>
      </c>
      <c r="D1001" s="1" t="s">
        <v>13</v>
      </c>
      <c r="E1001" s="1" t="s">
        <v>20</v>
      </c>
      <c r="F1001" s="1" t="s">
        <v>25</v>
      </c>
      <c r="G1001" s="4">
        <v>58.07</v>
      </c>
      <c r="H1001" s="1">
        <v>7</v>
      </c>
      <c r="I1001" s="1" t="str">
        <f>TEXT(SalesTable[[#This Row],[Order_Date]],"mmm")</f>
        <v>Sep</v>
      </c>
      <c r="J1001" s="1">
        <f>YEAR(SalesTable[[#This Row],[Order_Date]])</f>
        <v>2024</v>
      </c>
      <c r="K1001" s="4">
        <v>1.69</v>
      </c>
      <c r="L1001" s="9">
        <f>SalesTable[[#This Row],[Profit]]/SalesTable[[#This Row],[Sales]]</f>
        <v>2.9102806957120714E-2</v>
      </c>
    </row>
    <row r="1002" spans="1:12" ht="14" x14ac:dyDescent="0.15">
      <c r="A1002" s="1">
        <v>11001</v>
      </c>
      <c r="B1002" s="2">
        <v>45562</v>
      </c>
      <c r="C1002" s="1" t="s">
        <v>12</v>
      </c>
      <c r="D1002" s="1" t="s">
        <v>14</v>
      </c>
      <c r="E1002" s="1" t="s">
        <v>19</v>
      </c>
      <c r="F1002" s="1" t="s">
        <v>22</v>
      </c>
      <c r="G1002" s="4">
        <v>772.96</v>
      </c>
      <c r="H1002" s="1">
        <v>5</v>
      </c>
      <c r="I1002" s="1" t="str">
        <f>TEXT(SalesTable[[#This Row],[Order_Date]],"mmm")</f>
        <v>Sep</v>
      </c>
      <c r="J1002" s="1">
        <f>YEAR(SalesTable[[#This Row],[Order_Date]])</f>
        <v>2024</v>
      </c>
      <c r="K1002" s="4">
        <v>244.83</v>
      </c>
      <c r="L1002" s="9">
        <f>SalesTable[[#This Row],[Profit]]/SalesTable[[#This Row],[Sales]]</f>
        <v>0.31674342786172638</v>
      </c>
    </row>
    <row r="1003" spans="1:12" ht="14" x14ac:dyDescent="0.15">
      <c r="A1003" s="1">
        <v>11002</v>
      </c>
      <c r="B1003" s="2">
        <v>45563</v>
      </c>
      <c r="C1003" s="1" t="s">
        <v>9</v>
      </c>
      <c r="D1003" s="1" t="s">
        <v>15</v>
      </c>
      <c r="E1003" s="1" t="s">
        <v>19</v>
      </c>
      <c r="F1003" s="1" t="s">
        <v>25</v>
      </c>
      <c r="G1003" s="4">
        <v>727.36</v>
      </c>
      <c r="H1003" s="1">
        <v>5</v>
      </c>
      <c r="I1003" s="1" t="str">
        <f>TEXT(SalesTable[[#This Row],[Order_Date]],"mmm")</f>
        <v>Sep</v>
      </c>
      <c r="J1003" s="1">
        <f>YEAR(SalesTable[[#This Row],[Order_Date]])</f>
        <v>2024</v>
      </c>
      <c r="K1003" s="4">
        <v>257.38</v>
      </c>
      <c r="L1003" s="9">
        <f>SalesTable[[#This Row],[Profit]]/SalesTable[[#This Row],[Sales]]</f>
        <v>0.35385503739551255</v>
      </c>
    </row>
    <row r="1004" spans="1:12" ht="14" x14ac:dyDescent="0.15">
      <c r="A1004" s="1">
        <v>11003</v>
      </c>
      <c r="B1004" s="2">
        <v>45564</v>
      </c>
      <c r="C1004" s="1" t="s">
        <v>11</v>
      </c>
      <c r="D1004" s="1" t="s">
        <v>14</v>
      </c>
      <c r="E1004" s="1" t="s">
        <v>18</v>
      </c>
      <c r="F1004" s="1" t="s">
        <v>23</v>
      </c>
      <c r="G1004" s="4">
        <v>397.97</v>
      </c>
      <c r="H1004" s="1">
        <v>7</v>
      </c>
      <c r="I1004" s="1" t="str">
        <f>TEXT(SalesTable[[#This Row],[Order_Date]],"mmm")</f>
        <v>Sep</v>
      </c>
      <c r="J1004" s="1">
        <f>YEAR(SalesTable[[#This Row],[Order_Date]])</f>
        <v>2024</v>
      </c>
      <c r="K1004" s="4">
        <v>-22.34</v>
      </c>
      <c r="L1004" s="9">
        <f>SalesTable[[#This Row],[Profit]]/SalesTable[[#This Row],[Sales]]</f>
        <v>-5.6134884539035604E-2</v>
      </c>
    </row>
    <row r="1005" spans="1:12" ht="14" x14ac:dyDescent="0.15">
      <c r="A1005" s="1">
        <v>11004</v>
      </c>
      <c r="B1005" s="2">
        <v>45565</v>
      </c>
      <c r="C1005" s="1" t="s">
        <v>11</v>
      </c>
      <c r="D1005" s="1" t="s">
        <v>13</v>
      </c>
      <c r="E1005" s="1" t="s">
        <v>17</v>
      </c>
      <c r="F1005" s="1" t="s">
        <v>21</v>
      </c>
      <c r="G1005" s="4">
        <v>100.29</v>
      </c>
      <c r="H1005" s="1">
        <v>3</v>
      </c>
      <c r="I1005" s="1" t="str">
        <f>TEXT(SalesTable[[#This Row],[Order_Date]],"mmm")</f>
        <v>Sep</v>
      </c>
      <c r="J1005" s="1">
        <f>YEAR(SalesTable[[#This Row],[Order_Date]])</f>
        <v>2024</v>
      </c>
      <c r="K1005" s="4">
        <v>-47.82</v>
      </c>
      <c r="L1005" s="9">
        <f>SalesTable[[#This Row],[Profit]]/SalesTable[[#This Row],[Sales]]</f>
        <v>-0.47681723003290455</v>
      </c>
    </row>
    <row r="1006" spans="1:12" ht="14" x14ac:dyDescent="0.15">
      <c r="A1006" s="1">
        <v>11005</v>
      </c>
      <c r="B1006" s="2">
        <v>45566</v>
      </c>
      <c r="C1006" s="1" t="s">
        <v>11</v>
      </c>
      <c r="D1006" s="1" t="s">
        <v>15</v>
      </c>
      <c r="E1006" s="1" t="s">
        <v>16</v>
      </c>
      <c r="F1006" s="1" t="s">
        <v>24</v>
      </c>
      <c r="G1006" s="4">
        <v>767.19</v>
      </c>
      <c r="H1006" s="1">
        <v>6</v>
      </c>
      <c r="I1006" s="1" t="str">
        <f>TEXT(SalesTable[[#This Row],[Order_Date]],"mmm")</f>
        <v>Oct</v>
      </c>
      <c r="J1006" s="1">
        <f>YEAR(SalesTable[[#This Row],[Order_Date]])</f>
        <v>2024</v>
      </c>
      <c r="K1006" s="4">
        <v>290.24</v>
      </c>
      <c r="L1006" s="9">
        <f>SalesTable[[#This Row],[Profit]]/SalesTable[[#This Row],[Sales]]</f>
        <v>0.37831567147642692</v>
      </c>
    </row>
    <row r="1007" spans="1:12" ht="14" x14ac:dyDescent="0.15">
      <c r="A1007" s="1">
        <v>11006</v>
      </c>
      <c r="B1007" s="2">
        <v>45567</v>
      </c>
      <c r="C1007" s="1" t="s">
        <v>11</v>
      </c>
      <c r="D1007" s="1" t="s">
        <v>14</v>
      </c>
      <c r="E1007" s="1" t="s">
        <v>17</v>
      </c>
      <c r="F1007" s="1" t="s">
        <v>24</v>
      </c>
      <c r="G1007" s="4">
        <v>957.42</v>
      </c>
      <c r="H1007" s="1">
        <v>7</v>
      </c>
      <c r="I1007" s="1" t="str">
        <f>TEXT(SalesTable[[#This Row],[Order_Date]],"mmm")</f>
        <v>Oct</v>
      </c>
      <c r="J1007" s="1">
        <f>YEAR(SalesTable[[#This Row],[Order_Date]])</f>
        <v>2024</v>
      </c>
      <c r="K1007" s="4">
        <v>247.33</v>
      </c>
      <c r="L1007" s="9">
        <f>SalesTable[[#This Row],[Profit]]/SalesTable[[#This Row],[Sales]]</f>
        <v>0.25832967767541937</v>
      </c>
    </row>
    <row r="1008" spans="1:12" ht="14" x14ac:dyDescent="0.15">
      <c r="A1008" s="1">
        <v>11007</v>
      </c>
      <c r="B1008" s="2">
        <v>45568</v>
      </c>
      <c r="C1008" s="1" t="s">
        <v>10</v>
      </c>
      <c r="D1008" s="1" t="s">
        <v>14</v>
      </c>
      <c r="E1008" s="1" t="s">
        <v>18</v>
      </c>
      <c r="F1008" s="1" t="s">
        <v>23</v>
      </c>
      <c r="G1008" s="4">
        <v>278.14</v>
      </c>
      <c r="H1008" s="1">
        <v>1</v>
      </c>
      <c r="I1008" s="1" t="str">
        <f>TEXT(SalesTable[[#This Row],[Order_Date]],"mmm")</f>
        <v>Oct</v>
      </c>
      <c r="J1008" s="1">
        <f>YEAR(SalesTable[[#This Row],[Order_Date]])</f>
        <v>2024</v>
      </c>
      <c r="K1008" s="4">
        <v>257.29000000000002</v>
      </c>
      <c r="L1008" s="9">
        <f>SalesTable[[#This Row],[Profit]]/SalesTable[[#This Row],[Sales]]</f>
        <v>0.92503775077299211</v>
      </c>
    </row>
    <row r="1009" spans="1:12" ht="14" x14ac:dyDescent="0.15">
      <c r="A1009" s="1">
        <v>11008</v>
      </c>
      <c r="B1009" s="2">
        <v>45569</v>
      </c>
      <c r="C1009" s="1" t="s">
        <v>11</v>
      </c>
      <c r="D1009" s="1" t="s">
        <v>14</v>
      </c>
      <c r="E1009" s="1" t="s">
        <v>16</v>
      </c>
      <c r="F1009" s="1" t="s">
        <v>22</v>
      </c>
      <c r="G1009" s="4">
        <v>357.35</v>
      </c>
      <c r="H1009" s="1">
        <v>2</v>
      </c>
      <c r="I1009" s="1" t="str">
        <f>TEXT(SalesTable[[#This Row],[Order_Date]],"mmm")</f>
        <v>Oct</v>
      </c>
      <c r="J1009" s="1">
        <f>YEAR(SalesTable[[#This Row],[Order_Date]])</f>
        <v>2024</v>
      </c>
      <c r="K1009" s="4">
        <v>254.55</v>
      </c>
      <c r="L1009" s="9">
        <f>SalesTable[[#This Row],[Profit]]/SalesTable[[#This Row],[Sales]]</f>
        <v>0.71232685042675248</v>
      </c>
    </row>
    <row r="1010" spans="1:12" ht="14" x14ac:dyDescent="0.15">
      <c r="A1010" s="1">
        <v>11009</v>
      </c>
      <c r="B1010" s="2">
        <v>45570</v>
      </c>
      <c r="C1010" s="1" t="s">
        <v>10</v>
      </c>
      <c r="D1010" s="1" t="s">
        <v>15</v>
      </c>
      <c r="E1010" s="1" t="s">
        <v>17</v>
      </c>
      <c r="F1010" s="1" t="s">
        <v>21</v>
      </c>
      <c r="G1010" s="4">
        <v>224.62</v>
      </c>
      <c r="H1010" s="1">
        <v>4</v>
      </c>
      <c r="I1010" s="1" t="str">
        <f>TEXT(SalesTable[[#This Row],[Order_Date]],"mmm")</f>
        <v>Oct</v>
      </c>
      <c r="J1010" s="1">
        <f>YEAR(SalesTable[[#This Row],[Order_Date]])</f>
        <v>2024</v>
      </c>
      <c r="K1010" s="4">
        <v>116.67</v>
      </c>
      <c r="L1010" s="9">
        <f>SalesTable[[#This Row],[Profit]]/SalesTable[[#This Row],[Sales]]</f>
        <v>0.51941056005698516</v>
      </c>
    </row>
    <row r="1011" spans="1:12" ht="14" x14ac:dyDescent="0.15">
      <c r="A1011" s="1">
        <v>11010</v>
      </c>
      <c r="B1011" s="2">
        <v>45571</v>
      </c>
      <c r="C1011" s="1" t="s">
        <v>10</v>
      </c>
      <c r="D1011" s="1" t="s">
        <v>13</v>
      </c>
      <c r="E1011" s="1" t="s">
        <v>16</v>
      </c>
      <c r="F1011" s="1" t="s">
        <v>25</v>
      </c>
      <c r="G1011" s="4">
        <v>598.09</v>
      </c>
      <c r="H1011" s="1">
        <v>8</v>
      </c>
      <c r="I1011" s="1" t="str">
        <f>TEXT(SalesTable[[#This Row],[Order_Date]],"mmm")</f>
        <v>Oct</v>
      </c>
      <c r="J1011" s="1">
        <f>YEAR(SalesTable[[#This Row],[Order_Date]])</f>
        <v>2024</v>
      </c>
      <c r="K1011" s="4">
        <v>158.56</v>
      </c>
      <c r="L1011" s="9">
        <f>SalesTable[[#This Row],[Profit]]/SalesTable[[#This Row],[Sales]]</f>
        <v>0.26511060208329851</v>
      </c>
    </row>
    <row r="1012" spans="1:12" ht="14" x14ac:dyDescent="0.15">
      <c r="A1012" s="1">
        <v>11011</v>
      </c>
      <c r="B1012" s="2">
        <v>45572</v>
      </c>
      <c r="C1012" s="1" t="s">
        <v>11</v>
      </c>
      <c r="D1012" s="1" t="s">
        <v>14</v>
      </c>
      <c r="E1012" s="1" t="s">
        <v>19</v>
      </c>
      <c r="F1012" s="1" t="s">
        <v>23</v>
      </c>
      <c r="G1012" s="4">
        <v>197.1</v>
      </c>
      <c r="H1012" s="1">
        <v>6</v>
      </c>
      <c r="I1012" s="1" t="str">
        <f>TEXT(SalesTable[[#This Row],[Order_Date]],"mmm")</f>
        <v>Oct</v>
      </c>
      <c r="J1012" s="1">
        <f>YEAR(SalesTable[[#This Row],[Order_Date]])</f>
        <v>2024</v>
      </c>
      <c r="K1012" s="4">
        <v>118.15</v>
      </c>
      <c r="L1012" s="9">
        <f>SalesTable[[#This Row],[Profit]]/SalesTable[[#This Row],[Sales]]</f>
        <v>0.59944190766108574</v>
      </c>
    </row>
    <row r="1013" spans="1:12" ht="14" x14ac:dyDescent="0.15">
      <c r="A1013" s="1">
        <v>11012</v>
      </c>
      <c r="B1013" s="2">
        <v>45573</v>
      </c>
      <c r="C1013" s="1" t="s">
        <v>11</v>
      </c>
      <c r="D1013" s="1" t="s">
        <v>14</v>
      </c>
      <c r="E1013" s="1" t="s">
        <v>17</v>
      </c>
      <c r="F1013" s="1" t="s">
        <v>21</v>
      </c>
      <c r="G1013" s="4">
        <v>388.38</v>
      </c>
      <c r="H1013" s="1">
        <v>1</v>
      </c>
      <c r="I1013" s="1" t="str">
        <f>TEXT(SalesTable[[#This Row],[Order_Date]],"mmm")</f>
        <v>Oct</v>
      </c>
      <c r="J1013" s="1">
        <f>YEAR(SalesTable[[#This Row],[Order_Date]])</f>
        <v>2024</v>
      </c>
      <c r="K1013" s="4">
        <v>-79.52</v>
      </c>
      <c r="L1013" s="9">
        <f>SalesTable[[#This Row],[Profit]]/SalesTable[[#This Row],[Sales]]</f>
        <v>-0.20474792728770791</v>
      </c>
    </row>
    <row r="1014" spans="1:12" ht="14" x14ac:dyDescent="0.15">
      <c r="A1014" s="1">
        <v>11013</v>
      </c>
      <c r="B1014" s="2">
        <v>45574</v>
      </c>
      <c r="C1014" s="1" t="s">
        <v>12</v>
      </c>
      <c r="D1014" s="1" t="s">
        <v>14</v>
      </c>
      <c r="E1014" s="1" t="s">
        <v>16</v>
      </c>
      <c r="F1014" s="1" t="s">
        <v>21</v>
      </c>
      <c r="G1014" s="4">
        <v>712.16</v>
      </c>
      <c r="H1014" s="1">
        <v>5</v>
      </c>
      <c r="I1014" s="1" t="str">
        <f>TEXT(SalesTable[[#This Row],[Order_Date]],"mmm")</f>
        <v>Oct</v>
      </c>
      <c r="J1014" s="1">
        <f>YEAR(SalesTable[[#This Row],[Order_Date]])</f>
        <v>2024</v>
      </c>
      <c r="K1014" s="4">
        <v>198.2</v>
      </c>
      <c r="L1014" s="9">
        <f>SalesTable[[#This Row],[Profit]]/SalesTable[[#This Row],[Sales]]</f>
        <v>0.27830824533812626</v>
      </c>
    </row>
    <row r="1015" spans="1:12" ht="14" x14ac:dyDescent="0.15">
      <c r="A1015" s="1">
        <v>11014</v>
      </c>
      <c r="B1015" s="2">
        <v>45575</v>
      </c>
      <c r="C1015" s="1" t="s">
        <v>9</v>
      </c>
      <c r="D1015" s="1" t="s">
        <v>14</v>
      </c>
      <c r="E1015" s="1" t="s">
        <v>16</v>
      </c>
      <c r="F1015" s="1" t="s">
        <v>25</v>
      </c>
      <c r="G1015" s="4">
        <v>582.11</v>
      </c>
      <c r="H1015" s="1">
        <v>7</v>
      </c>
      <c r="I1015" s="1" t="str">
        <f>TEXT(SalesTable[[#This Row],[Order_Date]],"mmm")</f>
        <v>Oct</v>
      </c>
      <c r="J1015" s="1">
        <f>YEAR(SalesTable[[#This Row],[Order_Date]])</f>
        <v>2024</v>
      </c>
      <c r="K1015" s="4">
        <v>102.13</v>
      </c>
      <c r="L1015" s="9">
        <f>SalesTable[[#This Row],[Profit]]/SalesTable[[#This Row],[Sales]]</f>
        <v>0.17544793939289824</v>
      </c>
    </row>
    <row r="1016" spans="1:12" ht="14" x14ac:dyDescent="0.15">
      <c r="A1016" s="1">
        <v>11015</v>
      </c>
      <c r="B1016" s="2">
        <v>45576</v>
      </c>
      <c r="C1016" s="1" t="s">
        <v>11</v>
      </c>
      <c r="D1016" s="1" t="s">
        <v>14</v>
      </c>
      <c r="E1016" s="1" t="s">
        <v>16</v>
      </c>
      <c r="F1016" s="1" t="s">
        <v>21</v>
      </c>
      <c r="G1016" s="4">
        <v>417.14</v>
      </c>
      <c r="H1016" s="1">
        <v>6</v>
      </c>
      <c r="I1016" s="1" t="str">
        <f>TEXT(SalesTable[[#This Row],[Order_Date]],"mmm")</f>
        <v>Oct</v>
      </c>
      <c r="J1016" s="1">
        <f>YEAR(SalesTable[[#This Row],[Order_Date]])</f>
        <v>2024</v>
      </c>
      <c r="K1016" s="4">
        <v>159.08000000000001</v>
      </c>
      <c r="L1016" s="9">
        <f>SalesTable[[#This Row],[Profit]]/SalesTable[[#This Row],[Sales]]</f>
        <v>0.38135877642997557</v>
      </c>
    </row>
    <row r="1017" spans="1:12" ht="14" x14ac:dyDescent="0.15">
      <c r="A1017" s="1">
        <v>11016</v>
      </c>
      <c r="B1017" s="2">
        <v>45577</v>
      </c>
      <c r="C1017" s="1" t="s">
        <v>12</v>
      </c>
      <c r="D1017" s="1" t="s">
        <v>13</v>
      </c>
      <c r="E1017" s="1" t="s">
        <v>17</v>
      </c>
      <c r="F1017" s="1" t="s">
        <v>22</v>
      </c>
      <c r="G1017" s="4">
        <v>449.24</v>
      </c>
      <c r="H1017" s="1">
        <v>9</v>
      </c>
      <c r="I1017" s="1" t="str">
        <f>TEXT(SalesTable[[#This Row],[Order_Date]],"mmm")</f>
        <v>Oct</v>
      </c>
      <c r="J1017" s="1">
        <f>YEAR(SalesTable[[#This Row],[Order_Date]])</f>
        <v>2024</v>
      </c>
      <c r="K1017" s="4">
        <v>101.06</v>
      </c>
      <c r="L1017" s="9">
        <f>SalesTable[[#This Row],[Profit]]/SalesTable[[#This Row],[Sales]]</f>
        <v>0.22495770634849968</v>
      </c>
    </row>
    <row r="1018" spans="1:12" ht="14" x14ac:dyDescent="0.15">
      <c r="A1018" s="1">
        <v>11017</v>
      </c>
      <c r="B1018" s="2">
        <v>45578</v>
      </c>
      <c r="C1018" s="1" t="s">
        <v>12</v>
      </c>
      <c r="D1018" s="1" t="s">
        <v>13</v>
      </c>
      <c r="E1018" s="1" t="s">
        <v>20</v>
      </c>
      <c r="F1018" s="1" t="s">
        <v>22</v>
      </c>
      <c r="G1018" s="4">
        <v>584.01</v>
      </c>
      <c r="H1018" s="1">
        <v>8</v>
      </c>
      <c r="I1018" s="1" t="str">
        <f>TEXT(SalesTable[[#This Row],[Order_Date]],"mmm")</f>
        <v>Oct</v>
      </c>
      <c r="J1018" s="1">
        <f>YEAR(SalesTable[[#This Row],[Order_Date]])</f>
        <v>2024</v>
      </c>
      <c r="K1018" s="4">
        <v>96.72</v>
      </c>
      <c r="L1018" s="9">
        <f>SalesTable[[#This Row],[Profit]]/SalesTable[[#This Row],[Sales]]</f>
        <v>0.1656136025068064</v>
      </c>
    </row>
    <row r="1019" spans="1:12" ht="14" x14ac:dyDescent="0.15">
      <c r="A1019" s="1">
        <v>11018</v>
      </c>
      <c r="B1019" s="2">
        <v>45579</v>
      </c>
      <c r="C1019" s="1" t="s">
        <v>9</v>
      </c>
      <c r="D1019" s="1" t="s">
        <v>14</v>
      </c>
      <c r="E1019" s="1" t="s">
        <v>17</v>
      </c>
      <c r="F1019" s="1" t="s">
        <v>22</v>
      </c>
      <c r="G1019" s="4">
        <v>55.57</v>
      </c>
      <c r="H1019" s="1">
        <v>4</v>
      </c>
      <c r="I1019" s="1" t="str">
        <f>TEXT(SalesTable[[#This Row],[Order_Date]],"mmm")</f>
        <v>Oct</v>
      </c>
      <c r="J1019" s="1">
        <f>YEAR(SalesTable[[#This Row],[Order_Date]])</f>
        <v>2024</v>
      </c>
      <c r="K1019" s="4">
        <v>-31.28</v>
      </c>
      <c r="L1019" s="9">
        <f>SalesTable[[#This Row],[Profit]]/SalesTable[[#This Row],[Sales]]</f>
        <v>-0.56289364765161065</v>
      </c>
    </row>
    <row r="1020" spans="1:12" ht="14" x14ac:dyDescent="0.15">
      <c r="A1020" s="1">
        <v>11019</v>
      </c>
      <c r="B1020" s="2">
        <v>45580</v>
      </c>
      <c r="C1020" s="1" t="s">
        <v>10</v>
      </c>
      <c r="D1020" s="1" t="s">
        <v>15</v>
      </c>
      <c r="E1020" s="1" t="s">
        <v>18</v>
      </c>
      <c r="F1020" s="1" t="s">
        <v>21</v>
      </c>
      <c r="G1020" s="4">
        <v>124.58</v>
      </c>
      <c r="H1020" s="1">
        <v>5</v>
      </c>
      <c r="I1020" s="1" t="str">
        <f>TEXT(SalesTable[[#This Row],[Order_Date]],"mmm")</f>
        <v>Oct</v>
      </c>
      <c r="J1020" s="1">
        <f>YEAR(SalesTable[[#This Row],[Order_Date]])</f>
        <v>2024</v>
      </c>
      <c r="K1020" s="4">
        <v>11.49</v>
      </c>
      <c r="L1020" s="9">
        <f>SalesTable[[#This Row],[Profit]]/SalesTable[[#This Row],[Sales]]</f>
        <v>9.2229892438593683E-2</v>
      </c>
    </row>
    <row r="1021" spans="1:12" ht="14" x14ac:dyDescent="0.15">
      <c r="A1021" s="1">
        <v>11020</v>
      </c>
      <c r="B1021" s="2">
        <v>45581</v>
      </c>
      <c r="C1021" s="1" t="s">
        <v>11</v>
      </c>
      <c r="D1021" s="1" t="s">
        <v>13</v>
      </c>
      <c r="E1021" s="1" t="s">
        <v>17</v>
      </c>
      <c r="F1021" s="1" t="s">
        <v>22</v>
      </c>
      <c r="G1021" s="4">
        <v>887.2</v>
      </c>
      <c r="H1021" s="1">
        <v>7</v>
      </c>
      <c r="I1021" s="1" t="str">
        <f>TEXT(SalesTable[[#This Row],[Order_Date]],"mmm")</f>
        <v>Oct</v>
      </c>
      <c r="J1021" s="1">
        <f>YEAR(SalesTable[[#This Row],[Order_Date]])</f>
        <v>2024</v>
      </c>
      <c r="K1021" s="4">
        <v>-36.46</v>
      </c>
      <c r="L1021" s="9">
        <f>SalesTable[[#This Row],[Profit]]/SalesTable[[#This Row],[Sales]]</f>
        <v>-4.1095581605049593E-2</v>
      </c>
    </row>
    <row r="1022" spans="1:12" ht="14" x14ac:dyDescent="0.15">
      <c r="A1022" s="1">
        <v>11021</v>
      </c>
      <c r="B1022" s="2">
        <v>45582</v>
      </c>
      <c r="C1022" s="1" t="s">
        <v>9</v>
      </c>
      <c r="D1022" s="1" t="s">
        <v>15</v>
      </c>
      <c r="E1022" s="1" t="s">
        <v>16</v>
      </c>
      <c r="F1022" s="1" t="s">
        <v>25</v>
      </c>
      <c r="G1022" s="4">
        <v>123.99</v>
      </c>
      <c r="H1022" s="1">
        <v>8</v>
      </c>
      <c r="I1022" s="1" t="str">
        <f>TEXT(SalesTable[[#This Row],[Order_Date]],"mmm")</f>
        <v>Oct</v>
      </c>
      <c r="J1022" s="1">
        <f>YEAR(SalesTable[[#This Row],[Order_Date]])</f>
        <v>2024</v>
      </c>
      <c r="K1022" s="4">
        <v>-21.73</v>
      </c>
      <c r="L1022" s="9">
        <f>SalesTable[[#This Row],[Profit]]/SalesTable[[#This Row],[Sales]]</f>
        <v>-0.17525606903782565</v>
      </c>
    </row>
    <row r="1023" spans="1:12" ht="14" x14ac:dyDescent="0.15">
      <c r="A1023" s="1">
        <v>11022</v>
      </c>
      <c r="B1023" s="2">
        <v>45583</v>
      </c>
      <c r="C1023" s="1" t="s">
        <v>11</v>
      </c>
      <c r="D1023" s="1" t="s">
        <v>13</v>
      </c>
      <c r="E1023" s="1" t="s">
        <v>19</v>
      </c>
      <c r="F1023" s="1" t="s">
        <v>21</v>
      </c>
      <c r="G1023" s="4">
        <v>721.46</v>
      </c>
      <c r="H1023" s="1">
        <v>5</v>
      </c>
      <c r="I1023" s="1" t="str">
        <f>TEXT(SalesTable[[#This Row],[Order_Date]],"mmm")</f>
        <v>Oct</v>
      </c>
      <c r="J1023" s="1">
        <f>YEAR(SalesTable[[#This Row],[Order_Date]])</f>
        <v>2024</v>
      </c>
      <c r="K1023" s="4">
        <v>289.19</v>
      </c>
      <c r="L1023" s="9">
        <f>SalesTable[[#This Row],[Profit]]/SalesTable[[#This Row],[Sales]]</f>
        <v>0.40083996340753469</v>
      </c>
    </row>
    <row r="1024" spans="1:12" ht="14" x14ac:dyDescent="0.15">
      <c r="A1024" s="1">
        <v>11023</v>
      </c>
      <c r="B1024" s="2">
        <v>45584</v>
      </c>
      <c r="C1024" s="1" t="s">
        <v>12</v>
      </c>
      <c r="D1024" s="1" t="s">
        <v>14</v>
      </c>
      <c r="E1024" s="1" t="s">
        <v>17</v>
      </c>
      <c r="F1024" s="1" t="s">
        <v>24</v>
      </c>
      <c r="G1024" s="4">
        <v>924.04</v>
      </c>
      <c r="H1024" s="1">
        <v>9</v>
      </c>
      <c r="I1024" s="1" t="str">
        <f>TEXT(SalesTable[[#This Row],[Order_Date]],"mmm")</f>
        <v>Oct</v>
      </c>
      <c r="J1024" s="1">
        <f>YEAR(SalesTable[[#This Row],[Order_Date]])</f>
        <v>2024</v>
      </c>
      <c r="K1024" s="4">
        <v>-38.75</v>
      </c>
      <c r="L1024" s="9">
        <f>SalesTable[[#This Row],[Profit]]/SalesTable[[#This Row],[Sales]]</f>
        <v>-4.193541405133977E-2</v>
      </c>
    </row>
    <row r="1025" spans="1:12" ht="14" x14ac:dyDescent="0.15">
      <c r="A1025" s="1">
        <v>11024</v>
      </c>
      <c r="B1025" s="2">
        <v>45585</v>
      </c>
      <c r="C1025" s="1" t="s">
        <v>12</v>
      </c>
      <c r="D1025" s="1" t="s">
        <v>13</v>
      </c>
      <c r="E1025" s="1" t="s">
        <v>17</v>
      </c>
      <c r="F1025" s="1" t="s">
        <v>21</v>
      </c>
      <c r="G1025" s="4">
        <v>307.14999999999998</v>
      </c>
      <c r="H1025" s="1">
        <v>4</v>
      </c>
      <c r="I1025" s="1" t="str">
        <f>TEXT(SalesTable[[#This Row],[Order_Date]],"mmm")</f>
        <v>Oct</v>
      </c>
      <c r="J1025" s="1">
        <f>YEAR(SalesTable[[#This Row],[Order_Date]])</f>
        <v>2024</v>
      </c>
      <c r="K1025" s="4">
        <v>7.71</v>
      </c>
      <c r="L1025" s="9">
        <f>SalesTable[[#This Row],[Profit]]/SalesTable[[#This Row],[Sales]]</f>
        <v>2.5101741819957678E-2</v>
      </c>
    </row>
    <row r="1026" spans="1:12" ht="14" x14ac:dyDescent="0.15">
      <c r="A1026" s="1">
        <v>11025</v>
      </c>
      <c r="B1026" s="2">
        <v>45586</v>
      </c>
      <c r="C1026" s="1" t="s">
        <v>10</v>
      </c>
      <c r="D1026" s="1" t="s">
        <v>14</v>
      </c>
      <c r="E1026" s="1" t="s">
        <v>16</v>
      </c>
      <c r="F1026" s="1" t="s">
        <v>25</v>
      </c>
      <c r="G1026" s="4">
        <v>401.97</v>
      </c>
      <c r="H1026" s="1">
        <v>4</v>
      </c>
      <c r="I1026" s="1" t="str">
        <f>TEXT(SalesTable[[#This Row],[Order_Date]],"mmm")</f>
        <v>Oct</v>
      </c>
      <c r="J1026" s="1">
        <f>YEAR(SalesTable[[#This Row],[Order_Date]])</f>
        <v>2024</v>
      </c>
      <c r="K1026" s="4">
        <v>136.24</v>
      </c>
      <c r="L1026" s="9">
        <f>SalesTable[[#This Row],[Profit]]/SalesTable[[#This Row],[Sales]]</f>
        <v>0.3389307659775605</v>
      </c>
    </row>
    <row r="1027" spans="1:12" ht="14" x14ac:dyDescent="0.15">
      <c r="A1027" s="1">
        <v>11026</v>
      </c>
      <c r="B1027" s="2">
        <v>45587</v>
      </c>
      <c r="C1027" s="1" t="s">
        <v>12</v>
      </c>
      <c r="D1027" s="1" t="s">
        <v>13</v>
      </c>
      <c r="E1027" s="1" t="s">
        <v>19</v>
      </c>
      <c r="F1027" s="1" t="s">
        <v>24</v>
      </c>
      <c r="G1027" s="4">
        <v>590.48</v>
      </c>
      <c r="H1027" s="1">
        <v>8</v>
      </c>
      <c r="I1027" s="1" t="str">
        <f>TEXT(SalesTable[[#This Row],[Order_Date]],"mmm")</f>
        <v>Oct</v>
      </c>
      <c r="J1027" s="1">
        <f>YEAR(SalesTable[[#This Row],[Order_Date]])</f>
        <v>2024</v>
      </c>
      <c r="K1027" s="4">
        <v>144.07</v>
      </c>
      <c r="L1027" s="9">
        <f>SalesTable[[#This Row],[Profit]]/SalesTable[[#This Row],[Sales]]</f>
        <v>0.24398794201327731</v>
      </c>
    </row>
    <row r="1028" spans="1:12" ht="14" x14ac:dyDescent="0.15">
      <c r="A1028" s="1">
        <v>11027</v>
      </c>
      <c r="B1028" s="2">
        <v>45588</v>
      </c>
      <c r="C1028" s="1" t="s">
        <v>12</v>
      </c>
      <c r="D1028" s="1" t="s">
        <v>14</v>
      </c>
      <c r="E1028" s="1" t="s">
        <v>19</v>
      </c>
      <c r="F1028" s="1" t="s">
        <v>21</v>
      </c>
      <c r="G1028" s="4">
        <v>887.62</v>
      </c>
      <c r="H1028" s="1">
        <v>1</v>
      </c>
      <c r="I1028" s="1" t="str">
        <f>TEXT(SalesTable[[#This Row],[Order_Date]],"mmm")</f>
        <v>Oct</v>
      </c>
      <c r="J1028" s="1">
        <f>YEAR(SalesTable[[#This Row],[Order_Date]])</f>
        <v>2024</v>
      </c>
      <c r="K1028" s="4">
        <v>-38.409999999999997</v>
      </c>
      <c r="L1028" s="9">
        <f>SalesTable[[#This Row],[Profit]]/SalesTable[[#This Row],[Sales]]</f>
        <v>-4.327302223924652E-2</v>
      </c>
    </row>
    <row r="1029" spans="1:12" ht="14" x14ac:dyDescent="0.15">
      <c r="A1029" s="1">
        <v>11028</v>
      </c>
      <c r="B1029" s="2">
        <v>45589</v>
      </c>
      <c r="C1029" s="1" t="s">
        <v>9</v>
      </c>
      <c r="D1029" s="1" t="s">
        <v>14</v>
      </c>
      <c r="E1029" s="1" t="s">
        <v>18</v>
      </c>
      <c r="F1029" s="1" t="s">
        <v>22</v>
      </c>
      <c r="G1029" s="4">
        <v>944.81</v>
      </c>
      <c r="H1029" s="1">
        <v>8</v>
      </c>
      <c r="I1029" s="1" t="str">
        <f>TEXT(SalesTable[[#This Row],[Order_Date]],"mmm")</f>
        <v>Oct</v>
      </c>
      <c r="J1029" s="1">
        <f>YEAR(SalesTable[[#This Row],[Order_Date]])</f>
        <v>2024</v>
      </c>
      <c r="K1029" s="4">
        <v>217.49</v>
      </c>
      <c r="L1029" s="9">
        <f>SalesTable[[#This Row],[Profit]]/SalesTable[[#This Row],[Sales]]</f>
        <v>0.23019443062626349</v>
      </c>
    </row>
    <row r="1030" spans="1:12" ht="14" x14ac:dyDescent="0.15">
      <c r="A1030" s="1">
        <v>11029</v>
      </c>
      <c r="B1030" s="2">
        <v>45590</v>
      </c>
      <c r="C1030" s="1" t="s">
        <v>11</v>
      </c>
      <c r="D1030" s="1" t="s">
        <v>14</v>
      </c>
      <c r="E1030" s="1" t="s">
        <v>17</v>
      </c>
      <c r="F1030" s="1" t="s">
        <v>23</v>
      </c>
      <c r="G1030" s="4">
        <v>752.59</v>
      </c>
      <c r="H1030" s="1">
        <v>5</v>
      </c>
      <c r="I1030" s="1" t="str">
        <f>TEXT(SalesTable[[#This Row],[Order_Date]],"mmm")</f>
        <v>Oct</v>
      </c>
      <c r="J1030" s="1">
        <f>YEAR(SalesTable[[#This Row],[Order_Date]])</f>
        <v>2024</v>
      </c>
      <c r="K1030" s="4">
        <v>214.08</v>
      </c>
      <c r="L1030" s="9">
        <f>SalesTable[[#This Row],[Profit]]/SalesTable[[#This Row],[Sales]]</f>
        <v>0.28445767283647139</v>
      </c>
    </row>
    <row r="1031" spans="1:12" ht="14" x14ac:dyDescent="0.15">
      <c r="A1031" s="1">
        <v>11030</v>
      </c>
      <c r="B1031" s="2">
        <v>45591</v>
      </c>
      <c r="C1031" s="1" t="s">
        <v>11</v>
      </c>
      <c r="D1031" s="1" t="s">
        <v>14</v>
      </c>
      <c r="E1031" s="1" t="s">
        <v>19</v>
      </c>
      <c r="F1031" s="1" t="s">
        <v>23</v>
      </c>
      <c r="G1031" s="4">
        <v>132.29</v>
      </c>
      <c r="H1031" s="1">
        <v>1</v>
      </c>
      <c r="I1031" s="1" t="str">
        <f>TEXT(SalesTable[[#This Row],[Order_Date]],"mmm")</f>
        <v>Oct</v>
      </c>
      <c r="J1031" s="1">
        <f>YEAR(SalesTable[[#This Row],[Order_Date]])</f>
        <v>2024</v>
      </c>
      <c r="K1031" s="4">
        <v>-5.07</v>
      </c>
      <c r="L1031" s="9">
        <f>SalesTable[[#This Row],[Profit]]/SalesTable[[#This Row],[Sales]]</f>
        <v>-3.8324892282107496E-2</v>
      </c>
    </row>
    <row r="1032" spans="1:12" ht="14" x14ac:dyDescent="0.15">
      <c r="A1032" s="1">
        <v>11031</v>
      </c>
      <c r="B1032" s="2">
        <v>45592</v>
      </c>
      <c r="C1032" s="1" t="s">
        <v>9</v>
      </c>
      <c r="D1032" s="1" t="s">
        <v>15</v>
      </c>
      <c r="E1032" s="1" t="s">
        <v>19</v>
      </c>
      <c r="F1032" s="1" t="s">
        <v>22</v>
      </c>
      <c r="G1032" s="4">
        <v>685.7</v>
      </c>
      <c r="H1032" s="1">
        <v>4</v>
      </c>
      <c r="I1032" s="1" t="str">
        <f>TEXT(SalesTable[[#This Row],[Order_Date]],"mmm")</f>
        <v>Oct</v>
      </c>
      <c r="J1032" s="1">
        <f>YEAR(SalesTable[[#This Row],[Order_Date]])</f>
        <v>2024</v>
      </c>
      <c r="K1032" s="4">
        <v>15.47</v>
      </c>
      <c r="L1032" s="9">
        <f>SalesTable[[#This Row],[Profit]]/SalesTable[[#This Row],[Sales]]</f>
        <v>2.2560886685139274E-2</v>
      </c>
    </row>
    <row r="1033" spans="1:12" ht="14" x14ac:dyDescent="0.15">
      <c r="A1033" s="1">
        <v>11032</v>
      </c>
      <c r="B1033" s="2">
        <v>45593</v>
      </c>
      <c r="C1033" s="1" t="s">
        <v>10</v>
      </c>
      <c r="D1033" s="1" t="s">
        <v>14</v>
      </c>
      <c r="E1033" s="1" t="s">
        <v>20</v>
      </c>
      <c r="F1033" s="1" t="s">
        <v>23</v>
      </c>
      <c r="G1033" s="4">
        <v>439.79</v>
      </c>
      <c r="H1033" s="1">
        <v>2</v>
      </c>
      <c r="I1033" s="1" t="str">
        <f>TEXT(SalesTable[[#This Row],[Order_Date]],"mmm")</f>
        <v>Oct</v>
      </c>
      <c r="J1033" s="1">
        <f>YEAR(SalesTable[[#This Row],[Order_Date]])</f>
        <v>2024</v>
      </c>
      <c r="K1033" s="4">
        <v>275.2</v>
      </c>
      <c r="L1033" s="9">
        <f>SalesTable[[#This Row],[Profit]]/SalesTable[[#This Row],[Sales]]</f>
        <v>0.62575320039109572</v>
      </c>
    </row>
    <row r="1034" spans="1:12" ht="14" x14ac:dyDescent="0.15">
      <c r="A1034" s="1">
        <v>11033</v>
      </c>
      <c r="B1034" s="2">
        <v>45594</v>
      </c>
      <c r="C1034" s="1" t="s">
        <v>11</v>
      </c>
      <c r="D1034" s="1" t="s">
        <v>15</v>
      </c>
      <c r="E1034" s="1" t="s">
        <v>20</v>
      </c>
      <c r="F1034" s="1" t="s">
        <v>23</v>
      </c>
      <c r="G1034" s="4">
        <v>497.17</v>
      </c>
      <c r="H1034" s="1">
        <v>4</v>
      </c>
      <c r="I1034" s="1" t="str">
        <f>TEXT(SalesTable[[#This Row],[Order_Date]],"mmm")</f>
        <v>Oct</v>
      </c>
      <c r="J1034" s="1">
        <f>YEAR(SalesTable[[#This Row],[Order_Date]])</f>
        <v>2024</v>
      </c>
      <c r="K1034" s="4">
        <v>230.27</v>
      </c>
      <c r="L1034" s="9">
        <f>SalesTable[[#This Row],[Profit]]/SalesTable[[#This Row],[Sales]]</f>
        <v>0.46316149405635898</v>
      </c>
    </row>
    <row r="1035" spans="1:12" ht="14" x14ac:dyDescent="0.15">
      <c r="A1035" s="1">
        <v>11034</v>
      </c>
      <c r="B1035" s="2">
        <v>45595</v>
      </c>
      <c r="C1035" s="1" t="s">
        <v>12</v>
      </c>
      <c r="D1035" s="1" t="s">
        <v>15</v>
      </c>
      <c r="E1035" s="1" t="s">
        <v>19</v>
      </c>
      <c r="F1035" s="1" t="s">
        <v>22</v>
      </c>
      <c r="G1035" s="4">
        <v>96.69</v>
      </c>
      <c r="H1035" s="1">
        <v>8</v>
      </c>
      <c r="I1035" s="1" t="str">
        <f>TEXT(SalesTable[[#This Row],[Order_Date]],"mmm")</f>
        <v>Oct</v>
      </c>
      <c r="J1035" s="1">
        <f>YEAR(SalesTable[[#This Row],[Order_Date]])</f>
        <v>2024</v>
      </c>
      <c r="K1035" s="4">
        <v>179.12</v>
      </c>
      <c r="L1035" s="9">
        <f>SalesTable[[#This Row],[Profit]]/SalesTable[[#This Row],[Sales]]</f>
        <v>1.8525183576378117</v>
      </c>
    </row>
    <row r="1036" spans="1:12" ht="14" x14ac:dyDescent="0.15">
      <c r="A1036" s="1">
        <v>11035</v>
      </c>
      <c r="B1036" s="2">
        <v>45596</v>
      </c>
      <c r="C1036" s="1" t="s">
        <v>11</v>
      </c>
      <c r="D1036" s="1" t="s">
        <v>14</v>
      </c>
      <c r="E1036" s="1" t="s">
        <v>18</v>
      </c>
      <c r="F1036" s="1" t="s">
        <v>22</v>
      </c>
      <c r="G1036" s="4">
        <v>231.51</v>
      </c>
      <c r="H1036" s="1">
        <v>5</v>
      </c>
      <c r="I1036" s="1" t="str">
        <f>TEXT(SalesTable[[#This Row],[Order_Date]],"mmm")</f>
        <v>Oct</v>
      </c>
      <c r="J1036" s="1">
        <f>YEAR(SalesTable[[#This Row],[Order_Date]])</f>
        <v>2024</v>
      </c>
      <c r="K1036" s="4">
        <v>-67.11</v>
      </c>
      <c r="L1036" s="9">
        <f>SalesTable[[#This Row],[Profit]]/SalesTable[[#This Row],[Sales]]</f>
        <v>-0.28987948684722042</v>
      </c>
    </row>
    <row r="1037" spans="1:12" ht="14" x14ac:dyDescent="0.15">
      <c r="A1037" s="1">
        <v>11036</v>
      </c>
      <c r="B1037" s="2">
        <v>45597</v>
      </c>
      <c r="C1037" s="1" t="s">
        <v>12</v>
      </c>
      <c r="D1037" s="1" t="s">
        <v>15</v>
      </c>
      <c r="E1037" s="1" t="s">
        <v>19</v>
      </c>
      <c r="F1037" s="1" t="s">
        <v>21</v>
      </c>
      <c r="G1037" s="4">
        <v>800.99</v>
      </c>
      <c r="H1037" s="1">
        <v>1</v>
      </c>
      <c r="I1037" s="1" t="str">
        <f>TEXT(SalesTable[[#This Row],[Order_Date]],"mmm")</f>
        <v>Nov</v>
      </c>
      <c r="J1037" s="1">
        <f>YEAR(SalesTable[[#This Row],[Order_Date]])</f>
        <v>2024</v>
      </c>
      <c r="K1037" s="4">
        <v>67.31</v>
      </c>
      <c r="L1037" s="9">
        <f>SalesTable[[#This Row],[Profit]]/SalesTable[[#This Row],[Sales]]</f>
        <v>8.4033508533190179E-2</v>
      </c>
    </row>
    <row r="1038" spans="1:12" ht="14" x14ac:dyDescent="0.15">
      <c r="A1038" s="1">
        <v>11037</v>
      </c>
      <c r="B1038" s="2">
        <v>45598</v>
      </c>
      <c r="C1038" s="1" t="s">
        <v>10</v>
      </c>
      <c r="D1038" s="1" t="s">
        <v>13</v>
      </c>
      <c r="E1038" s="1" t="s">
        <v>16</v>
      </c>
      <c r="F1038" s="1" t="s">
        <v>21</v>
      </c>
      <c r="G1038" s="4">
        <v>481.26</v>
      </c>
      <c r="H1038" s="1">
        <v>7</v>
      </c>
      <c r="I1038" s="1" t="str">
        <f>TEXT(SalesTable[[#This Row],[Order_Date]],"mmm")</f>
        <v>Nov</v>
      </c>
      <c r="J1038" s="1">
        <f>YEAR(SalesTable[[#This Row],[Order_Date]])</f>
        <v>2024</v>
      </c>
      <c r="K1038" s="4">
        <v>123.72</v>
      </c>
      <c r="L1038" s="9">
        <f>SalesTable[[#This Row],[Profit]]/SalesTable[[#This Row],[Sales]]</f>
        <v>0.25707517765864607</v>
      </c>
    </row>
    <row r="1039" spans="1:12" ht="14" x14ac:dyDescent="0.15">
      <c r="A1039" s="1">
        <v>11038</v>
      </c>
      <c r="B1039" s="2">
        <v>45599</v>
      </c>
      <c r="C1039" s="1" t="s">
        <v>9</v>
      </c>
      <c r="D1039" s="1" t="s">
        <v>14</v>
      </c>
      <c r="E1039" s="1" t="s">
        <v>17</v>
      </c>
      <c r="F1039" s="1" t="s">
        <v>22</v>
      </c>
      <c r="G1039" s="4">
        <v>336.58</v>
      </c>
      <c r="H1039" s="1">
        <v>1</v>
      </c>
      <c r="I1039" s="1" t="str">
        <f>TEXT(SalesTable[[#This Row],[Order_Date]],"mmm")</f>
        <v>Nov</v>
      </c>
      <c r="J1039" s="1">
        <f>YEAR(SalesTable[[#This Row],[Order_Date]])</f>
        <v>2024</v>
      </c>
      <c r="K1039" s="4">
        <v>-25.04</v>
      </c>
      <c r="L1039" s="9">
        <f>SalesTable[[#This Row],[Profit]]/SalesTable[[#This Row],[Sales]]</f>
        <v>-7.4395388911997151E-2</v>
      </c>
    </row>
    <row r="1040" spans="1:12" ht="14" x14ac:dyDescent="0.15">
      <c r="A1040" s="1">
        <v>11039</v>
      </c>
      <c r="B1040" s="2">
        <v>45600</v>
      </c>
      <c r="C1040" s="1" t="s">
        <v>11</v>
      </c>
      <c r="D1040" s="1" t="s">
        <v>15</v>
      </c>
      <c r="E1040" s="1" t="s">
        <v>18</v>
      </c>
      <c r="F1040" s="1" t="s">
        <v>25</v>
      </c>
      <c r="G1040" s="4">
        <v>414.82</v>
      </c>
      <c r="H1040" s="1">
        <v>9</v>
      </c>
      <c r="I1040" s="1" t="str">
        <f>TEXT(SalesTable[[#This Row],[Order_Date]],"mmm")</f>
        <v>Nov</v>
      </c>
      <c r="J1040" s="1">
        <f>YEAR(SalesTable[[#This Row],[Order_Date]])</f>
        <v>2024</v>
      </c>
      <c r="K1040" s="4">
        <v>79.290000000000006</v>
      </c>
      <c r="L1040" s="9">
        <f>SalesTable[[#This Row],[Profit]]/SalesTable[[#This Row],[Sales]]</f>
        <v>0.19114314642495542</v>
      </c>
    </row>
    <row r="1041" spans="1:12" ht="14" x14ac:dyDescent="0.15">
      <c r="A1041" s="1">
        <v>11040</v>
      </c>
      <c r="B1041" s="2">
        <v>45601</v>
      </c>
      <c r="C1041" s="1" t="s">
        <v>9</v>
      </c>
      <c r="D1041" s="1" t="s">
        <v>14</v>
      </c>
      <c r="E1041" s="1" t="s">
        <v>16</v>
      </c>
      <c r="F1041" s="1" t="s">
        <v>23</v>
      </c>
      <c r="G1041" s="4">
        <v>861.68</v>
      </c>
      <c r="H1041" s="1">
        <v>3</v>
      </c>
      <c r="I1041" s="1" t="str">
        <f>TEXT(SalesTable[[#This Row],[Order_Date]],"mmm")</f>
        <v>Nov</v>
      </c>
      <c r="J1041" s="1">
        <f>YEAR(SalesTable[[#This Row],[Order_Date]])</f>
        <v>2024</v>
      </c>
      <c r="K1041" s="4">
        <v>140.41</v>
      </c>
      <c r="L1041" s="9">
        <f>SalesTable[[#This Row],[Profit]]/SalesTable[[#This Row],[Sales]]</f>
        <v>0.16294912264413705</v>
      </c>
    </row>
    <row r="1042" spans="1:12" ht="14" x14ac:dyDescent="0.15">
      <c r="A1042" s="1">
        <v>11041</v>
      </c>
      <c r="B1042" s="2">
        <v>45602</v>
      </c>
      <c r="C1042" s="1" t="s">
        <v>11</v>
      </c>
      <c r="D1042" s="1" t="s">
        <v>14</v>
      </c>
      <c r="E1042" s="1" t="s">
        <v>18</v>
      </c>
      <c r="F1042" s="1" t="s">
        <v>21</v>
      </c>
      <c r="G1042" s="4">
        <v>761.55</v>
      </c>
      <c r="H1042" s="1">
        <v>3</v>
      </c>
      <c r="I1042" s="1" t="str">
        <f>TEXT(SalesTable[[#This Row],[Order_Date]],"mmm")</f>
        <v>Nov</v>
      </c>
      <c r="J1042" s="1">
        <f>YEAR(SalesTable[[#This Row],[Order_Date]])</f>
        <v>2024</v>
      </c>
      <c r="K1042" s="4">
        <v>30.95</v>
      </c>
      <c r="L1042" s="9">
        <f>SalesTable[[#This Row],[Profit]]/SalesTable[[#This Row],[Sales]]</f>
        <v>4.0640798371741844E-2</v>
      </c>
    </row>
    <row r="1043" spans="1:12" ht="14" x14ac:dyDescent="0.15">
      <c r="A1043" s="1">
        <v>11042</v>
      </c>
      <c r="B1043" s="2">
        <v>45603</v>
      </c>
      <c r="C1043" s="1" t="s">
        <v>12</v>
      </c>
      <c r="D1043" s="1" t="s">
        <v>14</v>
      </c>
      <c r="E1043" s="1" t="s">
        <v>16</v>
      </c>
      <c r="F1043" s="1" t="s">
        <v>23</v>
      </c>
      <c r="G1043" s="4">
        <v>308.7</v>
      </c>
      <c r="H1043" s="1">
        <v>6</v>
      </c>
      <c r="I1043" s="1" t="str">
        <f>TEXT(SalesTable[[#This Row],[Order_Date]],"mmm")</f>
        <v>Nov</v>
      </c>
      <c r="J1043" s="1">
        <f>YEAR(SalesTable[[#This Row],[Order_Date]])</f>
        <v>2024</v>
      </c>
      <c r="K1043" s="4">
        <v>212.38</v>
      </c>
      <c r="L1043" s="9">
        <f>SalesTable[[#This Row],[Profit]]/SalesTable[[#This Row],[Sales]]</f>
        <v>0.68798185941043088</v>
      </c>
    </row>
    <row r="1044" spans="1:12" ht="14" x14ac:dyDescent="0.15">
      <c r="A1044" s="1">
        <v>11043</v>
      </c>
      <c r="B1044" s="2">
        <v>45604</v>
      </c>
      <c r="C1044" s="1" t="s">
        <v>9</v>
      </c>
      <c r="D1044" s="1" t="s">
        <v>15</v>
      </c>
      <c r="E1044" s="1" t="s">
        <v>17</v>
      </c>
      <c r="F1044" s="1" t="s">
        <v>24</v>
      </c>
      <c r="G1044" s="4">
        <v>161.63</v>
      </c>
      <c r="H1044" s="1">
        <v>6</v>
      </c>
      <c r="I1044" s="1" t="str">
        <f>TEXT(SalesTable[[#This Row],[Order_Date]],"mmm")</f>
        <v>Nov</v>
      </c>
      <c r="J1044" s="1">
        <f>YEAR(SalesTable[[#This Row],[Order_Date]])</f>
        <v>2024</v>
      </c>
      <c r="K1044" s="4">
        <v>236.18</v>
      </c>
      <c r="L1044" s="9">
        <f>SalesTable[[#This Row],[Profit]]/SalesTable[[#This Row],[Sales]]</f>
        <v>1.4612386314421828</v>
      </c>
    </row>
    <row r="1045" spans="1:12" ht="14" x14ac:dyDescent="0.15">
      <c r="A1045" s="1">
        <v>11044</v>
      </c>
      <c r="B1045" s="2">
        <v>45605</v>
      </c>
      <c r="C1045" s="1" t="s">
        <v>11</v>
      </c>
      <c r="D1045" s="1" t="s">
        <v>13</v>
      </c>
      <c r="E1045" s="1" t="s">
        <v>17</v>
      </c>
      <c r="F1045" s="1" t="s">
        <v>22</v>
      </c>
      <c r="G1045" s="4">
        <v>289.39999999999998</v>
      </c>
      <c r="H1045" s="1">
        <v>6</v>
      </c>
      <c r="I1045" s="1" t="str">
        <f>TEXT(SalesTable[[#This Row],[Order_Date]],"mmm")</f>
        <v>Nov</v>
      </c>
      <c r="J1045" s="1">
        <f>YEAR(SalesTable[[#This Row],[Order_Date]])</f>
        <v>2024</v>
      </c>
      <c r="K1045" s="4">
        <v>29.44</v>
      </c>
      <c r="L1045" s="9">
        <f>SalesTable[[#This Row],[Profit]]/SalesTable[[#This Row],[Sales]]</f>
        <v>0.10172771250863857</v>
      </c>
    </row>
    <row r="1046" spans="1:12" ht="14" x14ac:dyDescent="0.15">
      <c r="A1046" s="1">
        <v>11045</v>
      </c>
      <c r="B1046" s="2">
        <v>45606</v>
      </c>
      <c r="C1046" s="1" t="s">
        <v>12</v>
      </c>
      <c r="D1046" s="1" t="s">
        <v>13</v>
      </c>
      <c r="E1046" s="1" t="s">
        <v>20</v>
      </c>
      <c r="F1046" s="1" t="s">
        <v>25</v>
      </c>
      <c r="G1046" s="4">
        <v>924.72</v>
      </c>
      <c r="H1046" s="1">
        <v>1</v>
      </c>
      <c r="I1046" s="1" t="str">
        <f>TEXT(SalesTable[[#This Row],[Order_Date]],"mmm")</f>
        <v>Nov</v>
      </c>
      <c r="J1046" s="1">
        <f>YEAR(SalesTable[[#This Row],[Order_Date]])</f>
        <v>2024</v>
      </c>
      <c r="K1046" s="4">
        <v>235.46</v>
      </c>
      <c r="L1046" s="9">
        <f>SalesTable[[#This Row],[Profit]]/SalesTable[[#This Row],[Sales]]</f>
        <v>0.25462842806471148</v>
      </c>
    </row>
    <row r="1047" spans="1:12" ht="14" x14ac:dyDescent="0.15">
      <c r="A1047" s="1">
        <v>11046</v>
      </c>
      <c r="B1047" s="2">
        <v>45607</v>
      </c>
      <c r="C1047" s="1" t="s">
        <v>9</v>
      </c>
      <c r="D1047" s="1" t="s">
        <v>15</v>
      </c>
      <c r="E1047" s="1" t="s">
        <v>16</v>
      </c>
      <c r="F1047" s="1" t="s">
        <v>24</v>
      </c>
      <c r="G1047" s="4">
        <v>602.51</v>
      </c>
      <c r="H1047" s="1">
        <v>5</v>
      </c>
      <c r="I1047" s="1" t="str">
        <f>TEXT(SalesTable[[#This Row],[Order_Date]],"mmm")</f>
        <v>Nov</v>
      </c>
      <c r="J1047" s="1">
        <f>YEAR(SalesTable[[#This Row],[Order_Date]])</f>
        <v>2024</v>
      </c>
      <c r="K1047" s="4">
        <v>-58.57</v>
      </c>
      <c r="L1047" s="9">
        <f>SalesTable[[#This Row],[Profit]]/SalesTable[[#This Row],[Sales]]</f>
        <v>-9.7210004813198123E-2</v>
      </c>
    </row>
    <row r="1048" spans="1:12" ht="14" x14ac:dyDescent="0.15">
      <c r="A1048" s="1">
        <v>11047</v>
      </c>
      <c r="B1048" s="2">
        <v>45608</v>
      </c>
      <c r="C1048" s="1" t="s">
        <v>9</v>
      </c>
      <c r="D1048" s="1" t="s">
        <v>14</v>
      </c>
      <c r="E1048" s="1" t="s">
        <v>20</v>
      </c>
      <c r="F1048" s="1" t="s">
        <v>24</v>
      </c>
      <c r="G1048" s="4">
        <v>556.80999999999995</v>
      </c>
      <c r="H1048" s="1">
        <v>6</v>
      </c>
      <c r="I1048" s="1" t="str">
        <f>TEXT(SalesTable[[#This Row],[Order_Date]],"mmm")</f>
        <v>Nov</v>
      </c>
      <c r="J1048" s="1">
        <f>YEAR(SalesTable[[#This Row],[Order_Date]])</f>
        <v>2024</v>
      </c>
      <c r="K1048" s="4">
        <v>235.09</v>
      </c>
      <c r="L1048" s="9">
        <f>SalesTable[[#This Row],[Profit]]/SalesTable[[#This Row],[Sales]]</f>
        <v>0.42220865286183801</v>
      </c>
    </row>
    <row r="1049" spans="1:12" ht="14" x14ac:dyDescent="0.15">
      <c r="A1049" s="1">
        <v>11048</v>
      </c>
      <c r="B1049" s="2">
        <v>45609</v>
      </c>
      <c r="C1049" s="1" t="s">
        <v>11</v>
      </c>
      <c r="D1049" s="1" t="s">
        <v>15</v>
      </c>
      <c r="E1049" s="1" t="s">
        <v>16</v>
      </c>
      <c r="F1049" s="1" t="s">
        <v>24</v>
      </c>
      <c r="G1049" s="4">
        <v>616.57000000000005</v>
      </c>
      <c r="H1049" s="1">
        <v>8</v>
      </c>
      <c r="I1049" s="1" t="str">
        <f>TEXT(SalesTable[[#This Row],[Order_Date]],"mmm")</f>
        <v>Nov</v>
      </c>
      <c r="J1049" s="1">
        <f>YEAR(SalesTable[[#This Row],[Order_Date]])</f>
        <v>2024</v>
      </c>
      <c r="K1049" s="4">
        <v>-38.9</v>
      </c>
      <c r="L1049" s="9">
        <f>SalesTable[[#This Row],[Profit]]/SalesTable[[#This Row],[Sales]]</f>
        <v>-6.3090971017078348E-2</v>
      </c>
    </row>
    <row r="1050" spans="1:12" ht="14" x14ac:dyDescent="0.15">
      <c r="A1050" s="1">
        <v>11049</v>
      </c>
      <c r="B1050" s="2">
        <v>45610</v>
      </c>
      <c r="C1050" s="1" t="s">
        <v>11</v>
      </c>
      <c r="D1050" s="1" t="s">
        <v>15</v>
      </c>
      <c r="E1050" s="1" t="s">
        <v>20</v>
      </c>
      <c r="F1050" s="1" t="s">
        <v>22</v>
      </c>
      <c r="G1050" s="4">
        <v>397.73</v>
      </c>
      <c r="H1050" s="1">
        <v>1</v>
      </c>
      <c r="I1050" s="1" t="str">
        <f>TEXT(SalesTable[[#This Row],[Order_Date]],"mmm")</f>
        <v>Nov</v>
      </c>
      <c r="J1050" s="1">
        <f>YEAR(SalesTable[[#This Row],[Order_Date]])</f>
        <v>2024</v>
      </c>
      <c r="K1050" s="4">
        <v>-66.83</v>
      </c>
      <c r="L1050" s="9">
        <f>SalesTable[[#This Row],[Profit]]/SalesTable[[#This Row],[Sales]]</f>
        <v>-0.16802856208985995</v>
      </c>
    </row>
    <row r="1051" spans="1:12" ht="14" x14ac:dyDescent="0.15">
      <c r="A1051" s="1">
        <v>11050</v>
      </c>
      <c r="B1051" s="2">
        <v>45611</v>
      </c>
      <c r="C1051" s="1" t="s">
        <v>11</v>
      </c>
      <c r="D1051" s="1" t="s">
        <v>15</v>
      </c>
      <c r="E1051" s="1" t="s">
        <v>17</v>
      </c>
      <c r="F1051" s="1" t="s">
        <v>21</v>
      </c>
      <c r="G1051" s="4">
        <v>816.75</v>
      </c>
      <c r="H1051" s="1">
        <v>5</v>
      </c>
      <c r="I1051" s="1" t="str">
        <f>TEXT(SalesTable[[#This Row],[Order_Date]],"mmm")</f>
        <v>Nov</v>
      </c>
      <c r="J1051" s="1">
        <f>YEAR(SalesTable[[#This Row],[Order_Date]])</f>
        <v>2024</v>
      </c>
      <c r="K1051" s="4">
        <v>156.71</v>
      </c>
      <c r="L1051" s="9">
        <f>SalesTable[[#This Row],[Profit]]/SalesTable[[#This Row],[Sales]]</f>
        <v>0.19187021732476278</v>
      </c>
    </row>
    <row r="1052" spans="1:12" ht="14" x14ac:dyDescent="0.15">
      <c r="A1052" s="1">
        <v>11051</v>
      </c>
      <c r="B1052" s="2">
        <v>45612</v>
      </c>
      <c r="C1052" s="1" t="s">
        <v>12</v>
      </c>
      <c r="D1052" s="1" t="s">
        <v>14</v>
      </c>
      <c r="E1052" s="1" t="s">
        <v>18</v>
      </c>
      <c r="F1052" s="1" t="s">
        <v>22</v>
      </c>
      <c r="G1052" s="4">
        <v>547.12</v>
      </c>
      <c r="H1052" s="1">
        <v>3</v>
      </c>
      <c r="I1052" s="1" t="str">
        <f>TEXT(SalesTable[[#This Row],[Order_Date]],"mmm")</f>
        <v>Nov</v>
      </c>
      <c r="J1052" s="1">
        <f>YEAR(SalesTable[[#This Row],[Order_Date]])</f>
        <v>2024</v>
      </c>
      <c r="K1052" s="4">
        <v>88.77</v>
      </c>
      <c r="L1052" s="9">
        <f>SalesTable[[#This Row],[Profit]]/SalesTable[[#This Row],[Sales]]</f>
        <v>0.162249597894429</v>
      </c>
    </row>
    <row r="1053" spans="1:12" ht="14" x14ac:dyDescent="0.15">
      <c r="A1053" s="1">
        <v>11052</v>
      </c>
      <c r="B1053" s="2">
        <v>45613</v>
      </c>
      <c r="C1053" s="1" t="s">
        <v>11</v>
      </c>
      <c r="D1053" s="1" t="s">
        <v>15</v>
      </c>
      <c r="E1053" s="1" t="s">
        <v>20</v>
      </c>
      <c r="F1053" s="1" t="s">
        <v>21</v>
      </c>
      <c r="G1053" s="4">
        <v>160.91</v>
      </c>
      <c r="H1053" s="1">
        <v>2</v>
      </c>
      <c r="I1053" s="1" t="str">
        <f>TEXT(SalesTable[[#This Row],[Order_Date]],"mmm")</f>
        <v>Nov</v>
      </c>
      <c r="J1053" s="1">
        <f>YEAR(SalesTable[[#This Row],[Order_Date]])</f>
        <v>2024</v>
      </c>
      <c r="K1053" s="4">
        <v>263.16000000000003</v>
      </c>
      <c r="L1053" s="9">
        <f>SalesTable[[#This Row],[Profit]]/SalesTable[[#This Row],[Sales]]</f>
        <v>1.6354483872972472</v>
      </c>
    </row>
    <row r="1054" spans="1:12" ht="14" x14ac:dyDescent="0.15">
      <c r="A1054" s="1">
        <v>11053</v>
      </c>
      <c r="B1054" s="2">
        <v>45614</v>
      </c>
      <c r="C1054" s="1" t="s">
        <v>9</v>
      </c>
      <c r="D1054" s="1" t="s">
        <v>14</v>
      </c>
      <c r="E1054" s="1" t="s">
        <v>16</v>
      </c>
      <c r="F1054" s="1" t="s">
        <v>24</v>
      </c>
      <c r="G1054" s="4">
        <v>172.61</v>
      </c>
      <c r="H1054" s="1">
        <v>8</v>
      </c>
      <c r="I1054" s="1" t="str">
        <f>TEXT(SalesTable[[#This Row],[Order_Date]],"mmm")</f>
        <v>Nov</v>
      </c>
      <c r="J1054" s="1">
        <f>YEAR(SalesTable[[#This Row],[Order_Date]])</f>
        <v>2024</v>
      </c>
      <c r="K1054" s="4">
        <v>45.28</v>
      </c>
      <c r="L1054" s="9">
        <f>SalesTable[[#This Row],[Profit]]/SalesTable[[#This Row],[Sales]]</f>
        <v>0.26232547361103065</v>
      </c>
    </row>
    <row r="1055" spans="1:12" ht="14" x14ac:dyDescent="0.15">
      <c r="A1055" s="1">
        <v>11054</v>
      </c>
      <c r="B1055" s="2">
        <v>45615</v>
      </c>
      <c r="C1055" s="1" t="s">
        <v>9</v>
      </c>
      <c r="D1055" s="1" t="s">
        <v>15</v>
      </c>
      <c r="E1055" s="1" t="s">
        <v>16</v>
      </c>
      <c r="F1055" s="1" t="s">
        <v>24</v>
      </c>
      <c r="G1055" s="4">
        <v>560.02</v>
      </c>
      <c r="H1055" s="1">
        <v>7</v>
      </c>
      <c r="I1055" s="1" t="str">
        <f>TEXT(SalesTable[[#This Row],[Order_Date]],"mmm")</f>
        <v>Nov</v>
      </c>
      <c r="J1055" s="1">
        <f>YEAR(SalesTable[[#This Row],[Order_Date]])</f>
        <v>2024</v>
      </c>
      <c r="K1055" s="4">
        <v>14.86</v>
      </c>
      <c r="L1055" s="9">
        <f>SalesTable[[#This Row],[Profit]]/SalesTable[[#This Row],[Sales]]</f>
        <v>2.6534766615478017E-2</v>
      </c>
    </row>
    <row r="1056" spans="1:12" ht="14" x14ac:dyDescent="0.15">
      <c r="A1056" s="1">
        <v>11055</v>
      </c>
      <c r="B1056" s="2">
        <v>45616</v>
      </c>
      <c r="C1056" s="1" t="s">
        <v>11</v>
      </c>
      <c r="D1056" s="1" t="s">
        <v>13</v>
      </c>
      <c r="E1056" s="1" t="s">
        <v>17</v>
      </c>
      <c r="F1056" s="1" t="s">
        <v>25</v>
      </c>
      <c r="G1056" s="4">
        <v>939.74</v>
      </c>
      <c r="H1056" s="1">
        <v>7</v>
      </c>
      <c r="I1056" s="1" t="str">
        <f>TEXT(SalesTable[[#This Row],[Order_Date]],"mmm")</f>
        <v>Nov</v>
      </c>
      <c r="J1056" s="1">
        <f>YEAR(SalesTable[[#This Row],[Order_Date]])</f>
        <v>2024</v>
      </c>
      <c r="K1056" s="4">
        <v>100.29</v>
      </c>
      <c r="L1056" s="9">
        <f>SalesTable[[#This Row],[Profit]]/SalesTable[[#This Row],[Sales]]</f>
        <v>0.10672100793836593</v>
      </c>
    </row>
    <row r="1057" spans="1:12" ht="14" x14ac:dyDescent="0.15">
      <c r="A1057" s="1">
        <v>11056</v>
      </c>
      <c r="B1057" s="2">
        <v>45617</v>
      </c>
      <c r="C1057" s="1" t="s">
        <v>11</v>
      </c>
      <c r="D1057" s="1" t="s">
        <v>15</v>
      </c>
      <c r="E1057" s="1" t="s">
        <v>16</v>
      </c>
      <c r="F1057" s="1" t="s">
        <v>21</v>
      </c>
      <c r="G1057" s="4">
        <v>342.93</v>
      </c>
      <c r="H1057" s="1">
        <v>5</v>
      </c>
      <c r="I1057" s="1" t="str">
        <f>TEXT(SalesTable[[#This Row],[Order_Date]],"mmm")</f>
        <v>Nov</v>
      </c>
      <c r="J1057" s="1">
        <f>YEAR(SalesTable[[#This Row],[Order_Date]])</f>
        <v>2024</v>
      </c>
      <c r="K1057" s="4">
        <v>82.38</v>
      </c>
      <c r="L1057" s="9">
        <f>SalesTable[[#This Row],[Profit]]/SalesTable[[#This Row],[Sales]]</f>
        <v>0.24022395241011282</v>
      </c>
    </row>
    <row r="1058" spans="1:12" ht="14" x14ac:dyDescent="0.15">
      <c r="A1058" s="1">
        <v>11057</v>
      </c>
      <c r="B1058" s="2">
        <v>45618</v>
      </c>
      <c r="C1058" s="1" t="s">
        <v>10</v>
      </c>
      <c r="D1058" s="1" t="s">
        <v>15</v>
      </c>
      <c r="E1058" s="1" t="s">
        <v>19</v>
      </c>
      <c r="F1058" s="1" t="s">
        <v>24</v>
      </c>
      <c r="G1058" s="4">
        <v>876.06</v>
      </c>
      <c r="H1058" s="1">
        <v>9</v>
      </c>
      <c r="I1058" s="1" t="str">
        <f>TEXT(SalesTable[[#This Row],[Order_Date]],"mmm")</f>
        <v>Nov</v>
      </c>
      <c r="J1058" s="1">
        <f>YEAR(SalesTable[[#This Row],[Order_Date]])</f>
        <v>2024</v>
      </c>
      <c r="K1058" s="4">
        <v>37.770000000000003</v>
      </c>
      <c r="L1058" s="9">
        <f>SalesTable[[#This Row],[Profit]]/SalesTable[[#This Row],[Sales]]</f>
        <v>4.311348537771386E-2</v>
      </c>
    </row>
    <row r="1059" spans="1:12" ht="14" x14ac:dyDescent="0.15">
      <c r="A1059" s="1">
        <v>11058</v>
      </c>
      <c r="B1059" s="2">
        <v>45619</v>
      </c>
      <c r="C1059" s="1" t="s">
        <v>9</v>
      </c>
      <c r="D1059" s="1" t="s">
        <v>13</v>
      </c>
      <c r="E1059" s="1" t="s">
        <v>18</v>
      </c>
      <c r="F1059" s="1" t="s">
        <v>23</v>
      </c>
      <c r="G1059" s="4">
        <v>775.89</v>
      </c>
      <c r="H1059" s="1">
        <v>5</v>
      </c>
      <c r="I1059" s="1" t="str">
        <f>TEXT(SalesTable[[#This Row],[Order_Date]],"mmm")</f>
        <v>Nov</v>
      </c>
      <c r="J1059" s="1">
        <f>YEAR(SalesTable[[#This Row],[Order_Date]])</f>
        <v>2024</v>
      </c>
      <c r="K1059" s="4">
        <v>177.5</v>
      </c>
      <c r="L1059" s="9">
        <f>SalesTable[[#This Row],[Profit]]/SalesTable[[#This Row],[Sales]]</f>
        <v>0.22876954207426312</v>
      </c>
    </row>
    <row r="1060" spans="1:12" ht="14" x14ac:dyDescent="0.15">
      <c r="A1060" s="1">
        <v>11059</v>
      </c>
      <c r="B1060" s="2">
        <v>45620</v>
      </c>
      <c r="C1060" s="1" t="s">
        <v>12</v>
      </c>
      <c r="D1060" s="1" t="s">
        <v>14</v>
      </c>
      <c r="E1060" s="1" t="s">
        <v>20</v>
      </c>
      <c r="F1060" s="1" t="s">
        <v>25</v>
      </c>
      <c r="G1060" s="4">
        <v>285.42</v>
      </c>
      <c r="H1060" s="1">
        <v>2</v>
      </c>
      <c r="I1060" s="1" t="str">
        <f>TEXT(SalesTable[[#This Row],[Order_Date]],"mmm")</f>
        <v>Nov</v>
      </c>
      <c r="J1060" s="1">
        <f>YEAR(SalesTable[[#This Row],[Order_Date]])</f>
        <v>2024</v>
      </c>
      <c r="K1060" s="4">
        <v>203.82</v>
      </c>
      <c r="L1060" s="9">
        <f>SalesTable[[#This Row],[Profit]]/SalesTable[[#This Row],[Sales]]</f>
        <v>0.71410552869455535</v>
      </c>
    </row>
    <row r="1061" spans="1:12" ht="14" x14ac:dyDescent="0.15">
      <c r="A1061" s="1">
        <v>11060</v>
      </c>
      <c r="B1061" s="2">
        <v>45621</v>
      </c>
      <c r="C1061" s="1" t="s">
        <v>10</v>
      </c>
      <c r="D1061" s="1" t="s">
        <v>14</v>
      </c>
      <c r="E1061" s="1" t="s">
        <v>18</v>
      </c>
      <c r="F1061" s="1" t="s">
        <v>22</v>
      </c>
      <c r="G1061" s="4">
        <v>84.52</v>
      </c>
      <c r="H1061" s="1">
        <v>3</v>
      </c>
      <c r="I1061" s="1" t="str">
        <f>TEXT(SalesTable[[#This Row],[Order_Date]],"mmm")</f>
        <v>Nov</v>
      </c>
      <c r="J1061" s="1">
        <f>YEAR(SalesTable[[#This Row],[Order_Date]])</f>
        <v>2024</v>
      </c>
      <c r="K1061" s="4">
        <v>241.19</v>
      </c>
      <c r="L1061" s="9">
        <f>SalesTable[[#This Row],[Profit]]/SalesTable[[#This Row],[Sales]]</f>
        <v>2.8536441079034551</v>
      </c>
    </row>
    <row r="1062" spans="1:12" ht="14" x14ac:dyDescent="0.15">
      <c r="A1062" s="1">
        <v>11061</v>
      </c>
      <c r="B1062" s="2">
        <v>45622</v>
      </c>
      <c r="C1062" s="1" t="s">
        <v>11</v>
      </c>
      <c r="D1062" s="1" t="s">
        <v>15</v>
      </c>
      <c r="E1062" s="1" t="s">
        <v>17</v>
      </c>
      <c r="F1062" s="1" t="s">
        <v>25</v>
      </c>
      <c r="G1062" s="4">
        <v>146.75</v>
      </c>
      <c r="H1062" s="1">
        <v>4</v>
      </c>
      <c r="I1062" s="1" t="str">
        <f>TEXT(SalesTable[[#This Row],[Order_Date]],"mmm")</f>
        <v>Nov</v>
      </c>
      <c r="J1062" s="1">
        <f>YEAR(SalesTable[[#This Row],[Order_Date]])</f>
        <v>2024</v>
      </c>
      <c r="K1062" s="4">
        <v>289.14</v>
      </c>
      <c r="L1062" s="9">
        <f>SalesTable[[#This Row],[Profit]]/SalesTable[[#This Row],[Sales]]</f>
        <v>1.9702896081771719</v>
      </c>
    </row>
    <row r="1063" spans="1:12" ht="14" x14ac:dyDescent="0.15">
      <c r="A1063" s="1">
        <v>11062</v>
      </c>
      <c r="B1063" s="2">
        <v>45623</v>
      </c>
      <c r="C1063" s="1" t="s">
        <v>11</v>
      </c>
      <c r="D1063" s="1" t="s">
        <v>13</v>
      </c>
      <c r="E1063" s="1" t="s">
        <v>20</v>
      </c>
      <c r="F1063" s="1" t="s">
        <v>23</v>
      </c>
      <c r="G1063" s="4">
        <v>742.07</v>
      </c>
      <c r="H1063" s="1">
        <v>5</v>
      </c>
      <c r="I1063" s="1" t="str">
        <f>TEXT(SalesTable[[#This Row],[Order_Date]],"mmm")</f>
        <v>Nov</v>
      </c>
      <c r="J1063" s="1">
        <f>YEAR(SalesTable[[#This Row],[Order_Date]])</f>
        <v>2024</v>
      </c>
      <c r="K1063" s="4">
        <v>6.66</v>
      </c>
      <c r="L1063" s="9">
        <f>SalesTable[[#This Row],[Profit]]/SalesTable[[#This Row],[Sales]]</f>
        <v>8.9748945517269252E-3</v>
      </c>
    </row>
    <row r="1064" spans="1:12" ht="14" x14ac:dyDescent="0.15">
      <c r="A1064" s="1">
        <v>11063</v>
      </c>
      <c r="B1064" s="2">
        <v>45624</v>
      </c>
      <c r="C1064" s="1" t="s">
        <v>9</v>
      </c>
      <c r="D1064" s="1" t="s">
        <v>14</v>
      </c>
      <c r="E1064" s="1" t="s">
        <v>20</v>
      </c>
      <c r="F1064" s="1" t="s">
        <v>21</v>
      </c>
      <c r="G1064" s="4">
        <v>239.69</v>
      </c>
      <c r="H1064" s="1">
        <v>3</v>
      </c>
      <c r="I1064" s="1" t="str">
        <f>TEXT(SalesTable[[#This Row],[Order_Date]],"mmm")</f>
        <v>Nov</v>
      </c>
      <c r="J1064" s="1">
        <f>YEAR(SalesTable[[#This Row],[Order_Date]])</f>
        <v>2024</v>
      </c>
      <c r="K1064" s="4">
        <v>186.44</v>
      </c>
      <c r="L1064" s="9">
        <f>SalesTable[[#This Row],[Profit]]/SalesTable[[#This Row],[Sales]]</f>
        <v>0.77783804080270347</v>
      </c>
    </row>
    <row r="1065" spans="1:12" ht="14" x14ac:dyDescent="0.15">
      <c r="A1065" s="1">
        <v>11064</v>
      </c>
      <c r="B1065" s="2">
        <v>45625</v>
      </c>
      <c r="C1065" s="1" t="s">
        <v>11</v>
      </c>
      <c r="D1065" s="1" t="s">
        <v>15</v>
      </c>
      <c r="E1065" s="1" t="s">
        <v>19</v>
      </c>
      <c r="F1065" s="1" t="s">
        <v>22</v>
      </c>
      <c r="G1065" s="4">
        <v>402.71</v>
      </c>
      <c r="H1065" s="1">
        <v>7</v>
      </c>
      <c r="I1065" s="1" t="str">
        <f>TEXT(SalesTable[[#This Row],[Order_Date]],"mmm")</f>
        <v>Nov</v>
      </c>
      <c r="J1065" s="1">
        <f>YEAR(SalesTable[[#This Row],[Order_Date]])</f>
        <v>2024</v>
      </c>
      <c r="K1065" s="4">
        <v>57.7</v>
      </c>
      <c r="L1065" s="9">
        <f>SalesTable[[#This Row],[Profit]]/SalesTable[[#This Row],[Sales]]</f>
        <v>0.14327928285863278</v>
      </c>
    </row>
    <row r="1066" spans="1:12" ht="14" x14ac:dyDescent="0.15">
      <c r="A1066" s="1">
        <v>11065</v>
      </c>
      <c r="B1066" s="2">
        <v>45626</v>
      </c>
      <c r="C1066" s="1" t="s">
        <v>12</v>
      </c>
      <c r="D1066" s="1" t="s">
        <v>13</v>
      </c>
      <c r="E1066" s="1" t="s">
        <v>17</v>
      </c>
      <c r="F1066" s="1" t="s">
        <v>22</v>
      </c>
      <c r="G1066" s="4">
        <v>526.61</v>
      </c>
      <c r="H1066" s="1">
        <v>5</v>
      </c>
      <c r="I1066" s="1" t="str">
        <f>TEXT(SalesTable[[#This Row],[Order_Date]],"mmm")</f>
        <v>Nov</v>
      </c>
      <c r="J1066" s="1">
        <f>YEAR(SalesTable[[#This Row],[Order_Date]])</f>
        <v>2024</v>
      </c>
      <c r="K1066" s="4">
        <v>170.83</v>
      </c>
      <c r="L1066" s="9">
        <f>SalesTable[[#This Row],[Profit]]/SalesTable[[#This Row],[Sales]]</f>
        <v>0.32439566282448112</v>
      </c>
    </row>
    <row r="1067" spans="1:12" ht="14" x14ac:dyDescent="0.15">
      <c r="A1067" s="1">
        <v>11066</v>
      </c>
      <c r="B1067" s="2">
        <v>45627</v>
      </c>
      <c r="C1067" s="1" t="s">
        <v>9</v>
      </c>
      <c r="D1067" s="1" t="s">
        <v>14</v>
      </c>
      <c r="E1067" s="1" t="s">
        <v>16</v>
      </c>
      <c r="F1067" s="1" t="s">
        <v>21</v>
      </c>
      <c r="G1067" s="4">
        <v>739.19</v>
      </c>
      <c r="H1067" s="1">
        <v>5</v>
      </c>
      <c r="I1067" s="1" t="str">
        <f>TEXT(SalesTable[[#This Row],[Order_Date]],"mmm")</f>
        <v>Dec</v>
      </c>
      <c r="J1067" s="1">
        <f>YEAR(SalesTable[[#This Row],[Order_Date]])</f>
        <v>2024</v>
      </c>
      <c r="K1067" s="4">
        <v>90.39</v>
      </c>
      <c r="L1067" s="9">
        <f>SalesTable[[#This Row],[Profit]]/SalesTable[[#This Row],[Sales]]</f>
        <v>0.12228249841042221</v>
      </c>
    </row>
    <row r="1068" spans="1:12" ht="14" x14ac:dyDescent="0.15">
      <c r="A1068" s="1">
        <v>11067</v>
      </c>
      <c r="B1068" s="2">
        <v>45628</v>
      </c>
      <c r="C1068" s="1" t="s">
        <v>11</v>
      </c>
      <c r="D1068" s="1" t="s">
        <v>14</v>
      </c>
      <c r="E1068" s="1" t="s">
        <v>19</v>
      </c>
      <c r="F1068" s="1" t="s">
        <v>25</v>
      </c>
      <c r="G1068" s="4">
        <v>157.57</v>
      </c>
      <c r="H1068" s="1">
        <v>6</v>
      </c>
      <c r="I1068" s="1" t="str">
        <f>TEXT(SalesTable[[#This Row],[Order_Date]],"mmm")</f>
        <v>Dec</v>
      </c>
      <c r="J1068" s="1">
        <f>YEAR(SalesTable[[#This Row],[Order_Date]])</f>
        <v>2024</v>
      </c>
      <c r="K1068" s="4">
        <v>297.51</v>
      </c>
      <c r="L1068" s="9">
        <f>SalesTable[[#This Row],[Profit]]/SalesTable[[#This Row],[Sales]]</f>
        <v>1.8881132195214825</v>
      </c>
    </row>
    <row r="1069" spans="1:12" ht="14" x14ac:dyDescent="0.15">
      <c r="A1069" s="1">
        <v>11068</v>
      </c>
      <c r="B1069" s="2">
        <v>45629</v>
      </c>
      <c r="C1069" s="1" t="s">
        <v>9</v>
      </c>
      <c r="D1069" s="1" t="s">
        <v>13</v>
      </c>
      <c r="E1069" s="1" t="s">
        <v>19</v>
      </c>
      <c r="F1069" s="1" t="s">
        <v>24</v>
      </c>
      <c r="G1069" s="4">
        <v>436.05</v>
      </c>
      <c r="H1069" s="1">
        <v>7</v>
      </c>
      <c r="I1069" s="1" t="str">
        <f>TEXT(SalesTable[[#This Row],[Order_Date]],"mmm")</f>
        <v>Dec</v>
      </c>
      <c r="J1069" s="1">
        <f>YEAR(SalesTable[[#This Row],[Order_Date]])</f>
        <v>2024</v>
      </c>
      <c r="K1069" s="4">
        <v>191.56</v>
      </c>
      <c r="L1069" s="9">
        <f>SalesTable[[#This Row],[Profit]]/SalesTable[[#This Row],[Sales]]</f>
        <v>0.43930741887398234</v>
      </c>
    </row>
    <row r="1070" spans="1:12" ht="14" x14ac:dyDescent="0.15">
      <c r="A1070" s="1">
        <v>11069</v>
      </c>
      <c r="B1070" s="2">
        <v>45630</v>
      </c>
      <c r="C1070" s="1" t="s">
        <v>11</v>
      </c>
      <c r="D1070" s="1" t="s">
        <v>13</v>
      </c>
      <c r="E1070" s="1" t="s">
        <v>18</v>
      </c>
      <c r="F1070" s="1" t="s">
        <v>25</v>
      </c>
      <c r="G1070" s="4">
        <v>510.82</v>
      </c>
      <c r="H1070" s="1">
        <v>8</v>
      </c>
      <c r="I1070" s="1" t="str">
        <f>TEXT(SalesTable[[#This Row],[Order_Date]],"mmm")</f>
        <v>Dec</v>
      </c>
      <c r="J1070" s="1">
        <f>YEAR(SalesTable[[#This Row],[Order_Date]])</f>
        <v>2024</v>
      </c>
      <c r="K1070" s="4">
        <v>281</v>
      </c>
      <c r="L1070" s="9">
        <f>SalesTable[[#This Row],[Profit]]/SalesTable[[#This Row],[Sales]]</f>
        <v>0.5500959242003054</v>
      </c>
    </row>
    <row r="1071" spans="1:12" ht="14" x14ac:dyDescent="0.15">
      <c r="A1071" s="1">
        <v>11070</v>
      </c>
      <c r="B1071" s="2">
        <v>45631</v>
      </c>
      <c r="C1071" s="1" t="s">
        <v>11</v>
      </c>
      <c r="D1071" s="1" t="s">
        <v>13</v>
      </c>
      <c r="E1071" s="1" t="s">
        <v>18</v>
      </c>
      <c r="F1071" s="1" t="s">
        <v>23</v>
      </c>
      <c r="G1071" s="4">
        <v>563.79</v>
      </c>
      <c r="H1071" s="1">
        <v>9</v>
      </c>
      <c r="I1071" s="1" t="str">
        <f>TEXT(SalesTable[[#This Row],[Order_Date]],"mmm")</f>
        <v>Dec</v>
      </c>
      <c r="J1071" s="1">
        <f>YEAR(SalesTable[[#This Row],[Order_Date]])</f>
        <v>2024</v>
      </c>
      <c r="K1071" s="4">
        <v>233.99</v>
      </c>
      <c r="L1071" s="9">
        <f>SalesTable[[#This Row],[Profit]]/SalesTable[[#This Row],[Sales]]</f>
        <v>0.41503041912768945</v>
      </c>
    </row>
    <row r="1072" spans="1:12" ht="14" x14ac:dyDescent="0.15">
      <c r="A1072" s="1">
        <v>11071</v>
      </c>
      <c r="B1072" s="2">
        <v>45632</v>
      </c>
      <c r="C1072" s="1" t="s">
        <v>11</v>
      </c>
      <c r="D1072" s="1" t="s">
        <v>13</v>
      </c>
      <c r="E1072" s="1" t="s">
        <v>18</v>
      </c>
      <c r="F1072" s="1" t="s">
        <v>24</v>
      </c>
      <c r="G1072" s="4">
        <v>827.44</v>
      </c>
      <c r="H1072" s="1">
        <v>4</v>
      </c>
      <c r="I1072" s="1" t="str">
        <f>TEXT(SalesTable[[#This Row],[Order_Date]],"mmm")</f>
        <v>Dec</v>
      </c>
      <c r="J1072" s="1">
        <f>YEAR(SalesTable[[#This Row],[Order_Date]])</f>
        <v>2024</v>
      </c>
      <c r="K1072" s="4">
        <v>261.16000000000003</v>
      </c>
      <c r="L1072" s="9">
        <f>SalesTable[[#This Row],[Profit]]/SalesTable[[#This Row],[Sales]]</f>
        <v>0.31562409358986754</v>
      </c>
    </row>
    <row r="1073" spans="1:12" ht="14" x14ac:dyDescent="0.15">
      <c r="A1073" s="1">
        <v>11072</v>
      </c>
      <c r="B1073" s="2">
        <v>45633</v>
      </c>
      <c r="C1073" s="1" t="s">
        <v>12</v>
      </c>
      <c r="D1073" s="1" t="s">
        <v>15</v>
      </c>
      <c r="E1073" s="1" t="s">
        <v>19</v>
      </c>
      <c r="F1073" s="1" t="s">
        <v>25</v>
      </c>
      <c r="G1073" s="4">
        <v>213.09</v>
      </c>
      <c r="H1073" s="1">
        <v>5</v>
      </c>
      <c r="I1073" s="1" t="str">
        <f>TEXT(SalesTable[[#This Row],[Order_Date]],"mmm")</f>
        <v>Dec</v>
      </c>
      <c r="J1073" s="1">
        <f>YEAR(SalesTable[[#This Row],[Order_Date]])</f>
        <v>2024</v>
      </c>
      <c r="K1073" s="4">
        <v>225.77</v>
      </c>
      <c r="L1073" s="9">
        <f>SalesTable[[#This Row],[Profit]]/SalesTable[[#This Row],[Sales]]</f>
        <v>1.059505373316439</v>
      </c>
    </row>
    <row r="1074" spans="1:12" ht="14" x14ac:dyDescent="0.15">
      <c r="A1074" s="1">
        <v>11073</v>
      </c>
      <c r="B1074" s="2">
        <v>45634</v>
      </c>
      <c r="C1074" s="1" t="s">
        <v>12</v>
      </c>
      <c r="D1074" s="1" t="s">
        <v>13</v>
      </c>
      <c r="E1074" s="1" t="s">
        <v>16</v>
      </c>
      <c r="F1074" s="1" t="s">
        <v>21</v>
      </c>
      <c r="G1074" s="4">
        <v>817.44</v>
      </c>
      <c r="H1074" s="1">
        <v>5</v>
      </c>
      <c r="I1074" s="1" t="str">
        <f>TEXT(SalesTable[[#This Row],[Order_Date]],"mmm")</f>
        <v>Dec</v>
      </c>
      <c r="J1074" s="1">
        <f>YEAR(SalesTable[[#This Row],[Order_Date]])</f>
        <v>2024</v>
      </c>
      <c r="K1074" s="4">
        <v>83.66</v>
      </c>
      <c r="L1074" s="9">
        <f>SalesTable[[#This Row],[Profit]]/SalesTable[[#This Row],[Sales]]</f>
        <v>0.10234390291642199</v>
      </c>
    </row>
    <row r="1075" spans="1:12" ht="14" x14ac:dyDescent="0.15">
      <c r="A1075" s="1">
        <v>11074</v>
      </c>
      <c r="B1075" s="2">
        <v>45635</v>
      </c>
      <c r="C1075" s="1" t="s">
        <v>9</v>
      </c>
      <c r="D1075" s="1" t="s">
        <v>14</v>
      </c>
      <c r="E1075" s="1" t="s">
        <v>20</v>
      </c>
      <c r="F1075" s="1" t="s">
        <v>23</v>
      </c>
      <c r="G1075" s="4">
        <v>708.23</v>
      </c>
      <c r="H1075" s="1">
        <v>8</v>
      </c>
      <c r="I1075" s="1" t="str">
        <f>TEXT(SalesTable[[#This Row],[Order_Date]],"mmm")</f>
        <v>Dec</v>
      </c>
      <c r="J1075" s="1">
        <f>YEAR(SalesTable[[#This Row],[Order_Date]])</f>
        <v>2024</v>
      </c>
      <c r="K1075" s="4">
        <v>0.72</v>
      </c>
      <c r="L1075" s="9">
        <f>SalesTable[[#This Row],[Profit]]/SalesTable[[#This Row],[Sales]]</f>
        <v>1.01661889499174E-3</v>
      </c>
    </row>
    <row r="1076" spans="1:12" ht="14" x14ac:dyDescent="0.15">
      <c r="A1076" s="1">
        <v>11075</v>
      </c>
      <c r="B1076" s="2">
        <v>45636</v>
      </c>
      <c r="C1076" s="1" t="s">
        <v>11</v>
      </c>
      <c r="D1076" s="1" t="s">
        <v>14</v>
      </c>
      <c r="E1076" s="1" t="s">
        <v>18</v>
      </c>
      <c r="F1076" s="1" t="s">
        <v>23</v>
      </c>
      <c r="G1076" s="4">
        <v>578.08000000000004</v>
      </c>
      <c r="H1076" s="1">
        <v>9</v>
      </c>
      <c r="I1076" s="1" t="str">
        <f>TEXT(SalesTable[[#This Row],[Order_Date]],"mmm")</f>
        <v>Dec</v>
      </c>
      <c r="J1076" s="1">
        <f>YEAR(SalesTable[[#This Row],[Order_Date]])</f>
        <v>2024</v>
      </c>
      <c r="K1076" s="4">
        <v>48.13</v>
      </c>
      <c r="L1076" s="9">
        <f>SalesTable[[#This Row],[Profit]]/SalesTable[[#This Row],[Sales]]</f>
        <v>8.3258372543592585E-2</v>
      </c>
    </row>
    <row r="1077" spans="1:12" ht="14" x14ac:dyDescent="0.15">
      <c r="A1077" s="1">
        <v>11076</v>
      </c>
      <c r="B1077" s="2">
        <v>45637</v>
      </c>
      <c r="C1077" s="1" t="s">
        <v>11</v>
      </c>
      <c r="D1077" s="1" t="s">
        <v>15</v>
      </c>
      <c r="E1077" s="1" t="s">
        <v>16</v>
      </c>
      <c r="F1077" s="1" t="s">
        <v>23</v>
      </c>
      <c r="G1077" s="4">
        <v>714.55</v>
      </c>
      <c r="H1077" s="1">
        <v>7</v>
      </c>
      <c r="I1077" s="1" t="str">
        <f>TEXT(SalesTable[[#This Row],[Order_Date]],"mmm")</f>
        <v>Dec</v>
      </c>
      <c r="J1077" s="1">
        <f>YEAR(SalesTable[[#This Row],[Order_Date]])</f>
        <v>2024</v>
      </c>
      <c r="K1077" s="4">
        <v>-91.91</v>
      </c>
      <c r="L1077" s="9">
        <f>SalesTable[[#This Row],[Profit]]/SalesTable[[#This Row],[Sales]]</f>
        <v>-0.1286264082289553</v>
      </c>
    </row>
    <row r="1078" spans="1:12" ht="14" x14ac:dyDescent="0.15">
      <c r="A1078" s="1">
        <v>11077</v>
      </c>
      <c r="B1078" s="2">
        <v>45638</v>
      </c>
      <c r="C1078" s="1" t="s">
        <v>12</v>
      </c>
      <c r="D1078" s="1" t="s">
        <v>14</v>
      </c>
      <c r="E1078" s="1" t="s">
        <v>17</v>
      </c>
      <c r="F1078" s="1" t="s">
        <v>24</v>
      </c>
      <c r="G1078" s="4">
        <v>441.42</v>
      </c>
      <c r="H1078" s="1">
        <v>5</v>
      </c>
      <c r="I1078" s="1" t="str">
        <f>TEXT(SalesTable[[#This Row],[Order_Date]],"mmm")</f>
        <v>Dec</v>
      </c>
      <c r="J1078" s="1">
        <f>YEAR(SalesTable[[#This Row],[Order_Date]])</f>
        <v>2024</v>
      </c>
      <c r="K1078" s="4">
        <v>109.6</v>
      </c>
      <c r="L1078" s="9">
        <f>SalesTable[[#This Row],[Profit]]/SalesTable[[#This Row],[Sales]]</f>
        <v>0.24828961080150422</v>
      </c>
    </row>
    <row r="1079" spans="1:12" ht="14" x14ac:dyDescent="0.15">
      <c r="A1079" s="1">
        <v>11078</v>
      </c>
      <c r="B1079" s="2">
        <v>45639</v>
      </c>
      <c r="C1079" s="1" t="s">
        <v>11</v>
      </c>
      <c r="D1079" s="1" t="s">
        <v>14</v>
      </c>
      <c r="E1079" s="1" t="s">
        <v>18</v>
      </c>
      <c r="F1079" s="1" t="s">
        <v>22</v>
      </c>
      <c r="G1079" s="4">
        <v>181.48</v>
      </c>
      <c r="H1079" s="1">
        <v>3</v>
      </c>
      <c r="I1079" s="1" t="str">
        <f>TEXT(SalesTable[[#This Row],[Order_Date]],"mmm")</f>
        <v>Dec</v>
      </c>
      <c r="J1079" s="1">
        <f>YEAR(SalesTable[[#This Row],[Order_Date]])</f>
        <v>2024</v>
      </c>
      <c r="K1079" s="4">
        <v>102.02</v>
      </c>
      <c r="L1079" s="9">
        <f>SalesTable[[#This Row],[Profit]]/SalesTable[[#This Row],[Sales]]</f>
        <v>0.56215560943354637</v>
      </c>
    </row>
    <row r="1080" spans="1:12" ht="14" x14ac:dyDescent="0.15">
      <c r="A1080" s="1">
        <v>11079</v>
      </c>
      <c r="B1080" s="2">
        <v>45640</v>
      </c>
      <c r="C1080" s="1" t="s">
        <v>12</v>
      </c>
      <c r="D1080" s="1" t="s">
        <v>13</v>
      </c>
      <c r="E1080" s="1" t="s">
        <v>20</v>
      </c>
      <c r="F1080" s="1" t="s">
        <v>24</v>
      </c>
      <c r="G1080" s="4">
        <v>682.48</v>
      </c>
      <c r="H1080" s="1">
        <v>1</v>
      </c>
      <c r="I1080" s="1" t="str">
        <f>TEXT(SalesTable[[#This Row],[Order_Date]],"mmm")</f>
        <v>Dec</v>
      </c>
      <c r="J1080" s="1">
        <f>YEAR(SalesTable[[#This Row],[Order_Date]])</f>
        <v>2024</v>
      </c>
      <c r="K1080" s="4">
        <v>110.1</v>
      </c>
      <c r="L1080" s="9">
        <f>SalesTable[[#This Row],[Profit]]/SalesTable[[#This Row],[Sales]]</f>
        <v>0.16132340874457859</v>
      </c>
    </row>
    <row r="1081" spans="1:12" ht="14" x14ac:dyDescent="0.15">
      <c r="A1081" s="1">
        <v>11080</v>
      </c>
      <c r="B1081" s="2">
        <v>45641</v>
      </c>
      <c r="C1081" s="1" t="s">
        <v>11</v>
      </c>
      <c r="D1081" s="1" t="s">
        <v>14</v>
      </c>
      <c r="E1081" s="1" t="s">
        <v>17</v>
      </c>
      <c r="F1081" s="1" t="s">
        <v>25</v>
      </c>
      <c r="G1081" s="4">
        <v>548.44000000000005</v>
      </c>
      <c r="H1081" s="1">
        <v>9</v>
      </c>
      <c r="I1081" s="1" t="str">
        <f>TEXT(SalesTable[[#This Row],[Order_Date]],"mmm")</f>
        <v>Dec</v>
      </c>
      <c r="J1081" s="1">
        <f>YEAR(SalesTable[[#This Row],[Order_Date]])</f>
        <v>2024</v>
      </c>
      <c r="K1081" s="4">
        <v>289.61</v>
      </c>
      <c r="L1081" s="9">
        <f>SalesTable[[#This Row],[Profit]]/SalesTable[[#This Row],[Sales]]</f>
        <v>0.52806141054627664</v>
      </c>
    </row>
    <row r="1082" spans="1:12" ht="14" x14ac:dyDescent="0.15">
      <c r="A1082" s="1">
        <v>11081</v>
      </c>
      <c r="B1082" s="2">
        <v>45642</v>
      </c>
      <c r="C1082" s="1" t="s">
        <v>9</v>
      </c>
      <c r="D1082" s="1" t="s">
        <v>15</v>
      </c>
      <c r="E1082" s="1" t="s">
        <v>17</v>
      </c>
      <c r="F1082" s="1" t="s">
        <v>22</v>
      </c>
      <c r="G1082" s="4">
        <v>657.41</v>
      </c>
      <c r="H1082" s="1">
        <v>5</v>
      </c>
      <c r="I1082" s="1" t="str">
        <f>TEXT(SalesTable[[#This Row],[Order_Date]],"mmm")</f>
        <v>Dec</v>
      </c>
      <c r="J1082" s="1">
        <f>YEAR(SalesTable[[#This Row],[Order_Date]])</f>
        <v>2024</v>
      </c>
      <c r="K1082" s="4">
        <v>264.58</v>
      </c>
      <c r="L1082" s="9">
        <f>SalesTable[[#This Row],[Profit]]/SalesTable[[#This Row],[Sales]]</f>
        <v>0.40245813115103207</v>
      </c>
    </row>
    <row r="1083" spans="1:12" ht="14" x14ac:dyDescent="0.15">
      <c r="A1083" s="1">
        <v>11082</v>
      </c>
      <c r="B1083" s="2">
        <v>45643</v>
      </c>
      <c r="C1083" s="1" t="s">
        <v>11</v>
      </c>
      <c r="D1083" s="1" t="s">
        <v>13</v>
      </c>
      <c r="E1083" s="1" t="s">
        <v>20</v>
      </c>
      <c r="F1083" s="1" t="s">
        <v>25</v>
      </c>
      <c r="G1083" s="4">
        <v>371.1</v>
      </c>
      <c r="H1083" s="1">
        <v>9</v>
      </c>
      <c r="I1083" s="1" t="str">
        <f>TEXT(SalesTable[[#This Row],[Order_Date]],"mmm")</f>
        <v>Dec</v>
      </c>
      <c r="J1083" s="1">
        <f>YEAR(SalesTable[[#This Row],[Order_Date]])</f>
        <v>2024</v>
      </c>
      <c r="K1083" s="4">
        <v>-35.31</v>
      </c>
      <c r="L1083" s="9">
        <f>SalesTable[[#This Row],[Profit]]/SalesTable[[#This Row],[Sales]]</f>
        <v>-9.5149555375909453E-2</v>
      </c>
    </row>
    <row r="1084" spans="1:12" ht="14" x14ac:dyDescent="0.15">
      <c r="A1084" s="1">
        <v>11083</v>
      </c>
      <c r="B1084" s="2">
        <v>45644</v>
      </c>
      <c r="C1084" s="1" t="s">
        <v>11</v>
      </c>
      <c r="D1084" s="1" t="s">
        <v>13</v>
      </c>
      <c r="E1084" s="1" t="s">
        <v>18</v>
      </c>
      <c r="F1084" s="1" t="s">
        <v>22</v>
      </c>
      <c r="G1084" s="4">
        <v>911.52</v>
      </c>
      <c r="H1084" s="1">
        <v>4</v>
      </c>
      <c r="I1084" s="1" t="str">
        <f>TEXT(SalesTable[[#This Row],[Order_Date]],"mmm")</f>
        <v>Dec</v>
      </c>
      <c r="J1084" s="1">
        <f>YEAR(SalesTable[[#This Row],[Order_Date]])</f>
        <v>2024</v>
      </c>
      <c r="K1084" s="4">
        <v>47.55</v>
      </c>
      <c r="L1084" s="9">
        <f>SalesTable[[#This Row],[Profit]]/SalesTable[[#This Row],[Sales]]</f>
        <v>5.2165613480779353E-2</v>
      </c>
    </row>
    <row r="1085" spans="1:12" ht="14" x14ac:dyDescent="0.15">
      <c r="A1085" s="1">
        <v>11084</v>
      </c>
      <c r="B1085" s="2">
        <v>45645</v>
      </c>
      <c r="C1085" s="1" t="s">
        <v>10</v>
      </c>
      <c r="D1085" s="1" t="s">
        <v>15</v>
      </c>
      <c r="E1085" s="1" t="s">
        <v>19</v>
      </c>
      <c r="F1085" s="1" t="s">
        <v>24</v>
      </c>
      <c r="G1085" s="4">
        <v>608</v>
      </c>
      <c r="H1085" s="1">
        <v>5</v>
      </c>
      <c r="I1085" s="1" t="str">
        <f>TEXT(SalesTable[[#This Row],[Order_Date]],"mmm")</f>
        <v>Dec</v>
      </c>
      <c r="J1085" s="1">
        <f>YEAR(SalesTable[[#This Row],[Order_Date]])</f>
        <v>2024</v>
      </c>
      <c r="K1085" s="4">
        <v>69.58</v>
      </c>
      <c r="L1085" s="9">
        <f>SalesTable[[#This Row],[Profit]]/SalesTable[[#This Row],[Sales]]</f>
        <v>0.1144407894736842</v>
      </c>
    </row>
    <row r="1086" spans="1:12" ht="14" x14ac:dyDescent="0.15">
      <c r="A1086" s="1">
        <v>11085</v>
      </c>
      <c r="B1086" s="2">
        <v>45646</v>
      </c>
      <c r="C1086" s="1" t="s">
        <v>12</v>
      </c>
      <c r="D1086" s="1" t="s">
        <v>13</v>
      </c>
      <c r="E1086" s="1" t="s">
        <v>20</v>
      </c>
      <c r="F1086" s="1" t="s">
        <v>23</v>
      </c>
      <c r="G1086" s="4">
        <v>131.13</v>
      </c>
      <c r="H1086" s="1">
        <v>4</v>
      </c>
      <c r="I1086" s="1" t="str">
        <f>TEXT(SalesTable[[#This Row],[Order_Date]],"mmm")</f>
        <v>Dec</v>
      </c>
      <c r="J1086" s="1">
        <f>YEAR(SalesTable[[#This Row],[Order_Date]])</f>
        <v>2024</v>
      </c>
      <c r="K1086" s="4">
        <v>44.21</v>
      </c>
      <c r="L1086" s="9">
        <f>SalesTable[[#This Row],[Profit]]/SalesTable[[#This Row],[Sales]]</f>
        <v>0.33714634332341953</v>
      </c>
    </row>
    <row r="1087" spans="1:12" ht="14" x14ac:dyDescent="0.15">
      <c r="A1087" s="1">
        <v>11086</v>
      </c>
      <c r="B1087" s="2">
        <v>45647</v>
      </c>
      <c r="C1087" s="1" t="s">
        <v>11</v>
      </c>
      <c r="D1087" s="1" t="s">
        <v>13</v>
      </c>
      <c r="E1087" s="1" t="s">
        <v>20</v>
      </c>
      <c r="F1087" s="1" t="s">
        <v>21</v>
      </c>
      <c r="G1087" s="4">
        <v>477.31</v>
      </c>
      <c r="H1087" s="1">
        <v>2</v>
      </c>
      <c r="I1087" s="1" t="str">
        <f>TEXT(SalesTable[[#This Row],[Order_Date]],"mmm")</f>
        <v>Dec</v>
      </c>
      <c r="J1087" s="1">
        <f>YEAR(SalesTable[[#This Row],[Order_Date]])</f>
        <v>2024</v>
      </c>
      <c r="K1087" s="4">
        <v>219.4</v>
      </c>
      <c r="L1087" s="9">
        <f>SalesTable[[#This Row],[Profit]]/SalesTable[[#This Row],[Sales]]</f>
        <v>0.45965934088956861</v>
      </c>
    </row>
    <row r="1088" spans="1:12" ht="14" x14ac:dyDescent="0.15">
      <c r="A1088" s="1">
        <v>11087</v>
      </c>
      <c r="B1088" s="2">
        <v>45648</v>
      </c>
      <c r="C1088" s="1" t="s">
        <v>11</v>
      </c>
      <c r="D1088" s="1" t="s">
        <v>15</v>
      </c>
      <c r="E1088" s="1" t="s">
        <v>20</v>
      </c>
      <c r="F1088" s="1" t="s">
        <v>23</v>
      </c>
      <c r="G1088" s="4">
        <v>768.54</v>
      </c>
      <c r="H1088" s="1">
        <v>1</v>
      </c>
      <c r="I1088" s="1" t="str">
        <f>TEXT(SalesTable[[#This Row],[Order_Date]],"mmm")</f>
        <v>Dec</v>
      </c>
      <c r="J1088" s="1">
        <f>YEAR(SalesTable[[#This Row],[Order_Date]])</f>
        <v>2024</v>
      </c>
      <c r="K1088" s="4">
        <v>109.62</v>
      </c>
      <c r="L1088" s="9">
        <f>SalesTable[[#This Row],[Profit]]/SalesTable[[#This Row],[Sales]]</f>
        <v>0.14263408540869701</v>
      </c>
    </row>
    <row r="1089" spans="1:12" ht="14" x14ac:dyDescent="0.15">
      <c r="A1089" s="1">
        <v>11088</v>
      </c>
      <c r="B1089" s="2">
        <v>45649</v>
      </c>
      <c r="C1089" s="1" t="s">
        <v>10</v>
      </c>
      <c r="D1089" s="1" t="s">
        <v>13</v>
      </c>
      <c r="E1089" s="1" t="s">
        <v>17</v>
      </c>
      <c r="F1089" s="1" t="s">
        <v>24</v>
      </c>
      <c r="G1089" s="4">
        <v>804.43</v>
      </c>
      <c r="H1089" s="1">
        <v>8</v>
      </c>
      <c r="I1089" s="1" t="str">
        <f>TEXT(SalesTable[[#This Row],[Order_Date]],"mmm")</f>
        <v>Dec</v>
      </c>
      <c r="J1089" s="1">
        <f>YEAR(SalesTable[[#This Row],[Order_Date]])</f>
        <v>2024</v>
      </c>
      <c r="K1089" s="4">
        <v>128.84</v>
      </c>
      <c r="L1089" s="9">
        <f>SalesTable[[#This Row],[Profit]]/SalesTable[[#This Row],[Sales]]</f>
        <v>0.16016309685118657</v>
      </c>
    </row>
    <row r="1090" spans="1:12" ht="14" x14ac:dyDescent="0.15">
      <c r="A1090" s="1">
        <v>11089</v>
      </c>
      <c r="B1090" s="2">
        <v>45650</v>
      </c>
      <c r="C1090" s="1" t="s">
        <v>10</v>
      </c>
      <c r="D1090" s="1" t="s">
        <v>15</v>
      </c>
      <c r="E1090" s="1" t="s">
        <v>16</v>
      </c>
      <c r="F1090" s="1" t="s">
        <v>22</v>
      </c>
      <c r="G1090" s="4">
        <v>519.87</v>
      </c>
      <c r="H1090" s="1">
        <v>4</v>
      </c>
      <c r="I1090" s="1" t="str">
        <f>TEXT(SalesTable[[#This Row],[Order_Date]],"mmm")</f>
        <v>Dec</v>
      </c>
      <c r="J1090" s="1">
        <f>YEAR(SalesTable[[#This Row],[Order_Date]])</f>
        <v>2024</v>
      </c>
      <c r="K1090" s="4">
        <v>241.21</v>
      </c>
      <c r="L1090" s="9">
        <f>SalesTable[[#This Row],[Profit]]/SalesTable[[#This Row],[Sales]]</f>
        <v>0.4639813799603747</v>
      </c>
    </row>
    <row r="1091" spans="1:12" ht="14" x14ac:dyDescent="0.15">
      <c r="A1091" s="1">
        <v>11090</v>
      </c>
      <c r="B1091" s="2">
        <v>45651</v>
      </c>
      <c r="C1091" s="1" t="s">
        <v>12</v>
      </c>
      <c r="D1091" s="1" t="s">
        <v>15</v>
      </c>
      <c r="E1091" s="1" t="s">
        <v>19</v>
      </c>
      <c r="F1091" s="1" t="s">
        <v>23</v>
      </c>
      <c r="G1091" s="4">
        <v>900.01</v>
      </c>
      <c r="H1091" s="1">
        <v>5</v>
      </c>
      <c r="I1091" s="1" t="str">
        <f>TEXT(SalesTable[[#This Row],[Order_Date]],"mmm")</f>
        <v>Dec</v>
      </c>
      <c r="J1091" s="1">
        <f>YEAR(SalesTable[[#This Row],[Order_Date]])</f>
        <v>2024</v>
      </c>
      <c r="K1091" s="4">
        <v>222.37</v>
      </c>
      <c r="L1091" s="9">
        <f>SalesTable[[#This Row],[Profit]]/SalesTable[[#This Row],[Sales]]</f>
        <v>0.24707503249963891</v>
      </c>
    </row>
    <row r="1092" spans="1:12" ht="14" x14ac:dyDescent="0.15">
      <c r="A1092" s="1">
        <v>11091</v>
      </c>
      <c r="B1092" s="2">
        <v>45652</v>
      </c>
      <c r="C1092" s="1" t="s">
        <v>10</v>
      </c>
      <c r="D1092" s="1" t="s">
        <v>14</v>
      </c>
      <c r="E1092" s="1" t="s">
        <v>18</v>
      </c>
      <c r="F1092" s="1" t="s">
        <v>24</v>
      </c>
      <c r="G1092" s="4">
        <v>304.29000000000002</v>
      </c>
      <c r="H1092" s="1">
        <v>6</v>
      </c>
      <c r="I1092" s="1" t="str">
        <f>TEXT(SalesTable[[#This Row],[Order_Date]],"mmm")</f>
        <v>Dec</v>
      </c>
      <c r="J1092" s="1">
        <f>YEAR(SalesTable[[#This Row],[Order_Date]])</f>
        <v>2024</v>
      </c>
      <c r="K1092" s="4">
        <v>-47.12</v>
      </c>
      <c r="L1092" s="9">
        <f>SalesTable[[#This Row],[Profit]]/SalesTable[[#This Row],[Sales]]</f>
        <v>-0.15485227907588153</v>
      </c>
    </row>
    <row r="1093" spans="1:12" ht="14" x14ac:dyDescent="0.15">
      <c r="A1093" s="1">
        <v>11092</v>
      </c>
      <c r="B1093" s="2">
        <v>45653</v>
      </c>
      <c r="C1093" s="1" t="s">
        <v>9</v>
      </c>
      <c r="D1093" s="1" t="s">
        <v>14</v>
      </c>
      <c r="E1093" s="1" t="s">
        <v>18</v>
      </c>
      <c r="F1093" s="1" t="s">
        <v>25</v>
      </c>
      <c r="G1093" s="4">
        <v>440.07</v>
      </c>
      <c r="H1093" s="1">
        <v>8</v>
      </c>
      <c r="I1093" s="1" t="str">
        <f>TEXT(SalesTable[[#This Row],[Order_Date]],"mmm")</f>
        <v>Dec</v>
      </c>
      <c r="J1093" s="1">
        <f>YEAR(SalesTable[[#This Row],[Order_Date]])</f>
        <v>2024</v>
      </c>
      <c r="K1093" s="4">
        <v>185.57</v>
      </c>
      <c r="L1093" s="9">
        <f>SalesTable[[#This Row],[Profit]]/SalesTable[[#This Row],[Sales]]</f>
        <v>0.4216829140818506</v>
      </c>
    </row>
    <row r="1094" spans="1:12" ht="14" x14ac:dyDescent="0.15">
      <c r="A1094" s="1">
        <v>11093</v>
      </c>
      <c r="B1094" s="2">
        <v>45654</v>
      </c>
      <c r="C1094" s="1" t="s">
        <v>10</v>
      </c>
      <c r="D1094" s="1" t="s">
        <v>13</v>
      </c>
      <c r="E1094" s="1" t="s">
        <v>16</v>
      </c>
      <c r="F1094" s="1" t="s">
        <v>21</v>
      </c>
      <c r="G1094" s="4">
        <v>903.67</v>
      </c>
      <c r="H1094" s="1">
        <v>8</v>
      </c>
      <c r="I1094" s="1" t="str">
        <f>TEXT(SalesTable[[#This Row],[Order_Date]],"mmm")</f>
        <v>Dec</v>
      </c>
      <c r="J1094" s="1">
        <f>YEAR(SalesTable[[#This Row],[Order_Date]])</f>
        <v>2024</v>
      </c>
      <c r="K1094" s="4">
        <v>74.17</v>
      </c>
      <c r="L1094" s="9">
        <f>SalesTable[[#This Row],[Profit]]/SalesTable[[#This Row],[Sales]]</f>
        <v>8.2076421702612687E-2</v>
      </c>
    </row>
    <row r="1095" spans="1:12" ht="14" x14ac:dyDescent="0.15">
      <c r="A1095" s="1">
        <v>11094</v>
      </c>
      <c r="B1095" s="2">
        <v>45655</v>
      </c>
      <c r="C1095" s="1" t="s">
        <v>9</v>
      </c>
      <c r="D1095" s="1" t="s">
        <v>13</v>
      </c>
      <c r="E1095" s="1" t="s">
        <v>20</v>
      </c>
      <c r="F1095" s="1" t="s">
        <v>23</v>
      </c>
      <c r="G1095" s="4">
        <v>901.44</v>
      </c>
      <c r="H1095" s="1">
        <v>7</v>
      </c>
      <c r="I1095" s="1" t="str">
        <f>TEXT(SalesTable[[#This Row],[Order_Date]],"mmm")</f>
        <v>Dec</v>
      </c>
      <c r="J1095" s="1">
        <f>YEAR(SalesTable[[#This Row],[Order_Date]])</f>
        <v>2024</v>
      </c>
      <c r="K1095" s="4">
        <v>17.86</v>
      </c>
      <c r="L1095" s="9">
        <f>SalesTable[[#This Row],[Profit]]/SalesTable[[#This Row],[Sales]]</f>
        <v>1.9812744053958109E-2</v>
      </c>
    </row>
    <row r="1096" spans="1:12" ht="14" x14ac:dyDescent="0.15">
      <c r="A1096" s="1">
        <v>11095</v>
      </c>
      <c r="B1096" s="2">
        <v>45656</v>
      </c>
      <c r="C1096" s="1" t="s">
        <v>12</v>
      </c>
      <c r="D1096" s="1" t="s">
        <v>15</v>
      </c>
      <c r="E1096" s="1" t="s">
        <v>19</v>
      </c>
      <c r="F1096" s="1" t="s">
        <v>22</v>
      </c>
      <c r="G1096" s="4">
        <v>701.43</v>
      </c>
      <c r="H1096" s="1">
        <v>4</v>
      </c>
      <c r="I1096" s="1" t="str">
        <f>TEXT(SalesTable[[#This Row],[Order_Date]],"mmm")</f>
        <v>Dec</v>
      </c>
      <c r="J1096" s="1">
        <f>YEAR(SalesTable[[#This Row],[Order_Date]])</f>
        <v>2024</v>
      </c>
      <c r="K1096" s="4">
        <v>-79.989999999999995</v>
      </c>
      <c r="L1096" s="9">
        <f>SalesTable[[#This Row],[Profit]]/SalesTable[[#This Row],[Sales]]</f>
        <v>-0.11403846428011348</v>
      </c>
    </row>
    <row r="1097" spans="1:12" ht="14" x14ac:dyDescent="0.15">
      <c r="A1097" s="1">
        <v>11096</v>
      </c>
      <c r="B1097" s="2">
        <v>45657</v>
      </c>
      <c r="C1097" s="1" t="s">
        <v>12</v>
      </c>
      <c r="D1097" s="1" t="s">
        <v>13</v>
      </c>
      <c r="E1097" s="1" t="s">
        <v>18</v>
      </c>
      <c r="F1097" s="1" t="s">
        <v>25</v>
      </c>
      <c r="G1097" s="4">
        <v>866.03</v>
      </c>
      <c r="H1097" s="1">
        <v>6</v>
      </c>
      <c r="I1097" s="1" t="str">
        <f>TEXT(SalesTable[[#This Row],[Order_Date]],"mmm")</f>
        <v>Dec</v>
      </c>
      <c r="J1097" s="1">
        <f>YEAR(SalesTable[[#This Row],[Order_Date]])</f>
        <v>2024</v>
      </c>
      <c r="K1097" s="4">
        <v>94.9</v>
      </c>
      <c r="L1097" s="9">
        <f>SalesTable[[#This Row],[Profit]]/SalesTable[[#This Row],[Sales]]</f>
        <v>0.10958049952080183</v>
      </c>
    </row>
    <row r="1098" spans="1:12" ht="14" x14ac:dyDescent="0.15">
      <c r="A1098" s="1">
        <v>11097</v>
      </c>
      <c r="B1098" s="2">
        <v>45658</v>
      </c>
      <c r="C1098" s="1" t="s">
        <v>12</v>
      </c>
      <c r="D1098" s="1" t="s">
        <v>15</v>
      </c>
      <c r="E1098" s="1" t="s">
        <v>18</v>
      </c>
      <c r="F1098" s="1" t="s">
        <v>24</v>
      </c>
      <c r="G1098" s="4">
        <v>134.33000000000001</v>
      </c>
      <c r="H1098" s="1">
        <v>4</v>
      </c>
      <c r="I1098" s="1" t="str">
        <f>TEXT(SalesTable[[#This Row],[Order_Date]],"mmm")</f>
        <v>Jan</v>
      </c>
      <c r="J1098" s="1">
        <f>YEAR(SalesTable[[#This Row],[Order_Date]])</f>
        <v>2025</v>
      </c>
      <c r="K1098" s="4">
        <v>42.17</v>
      </c>
      <c r="L1098" s="9">
        <f>SalesTable[[#This Row],[Profit]]/SalesTable[[#This Row],[Sales]]</f>
        <v>0.31392838531973494</v>
      </c>
    </row>
    <row r="1099" spans="1:12" ht="14" x14ac:dyDescent="0.15">
      <c r="A1099" s="1">
        <v>11098</v>
      </c>
      <c r="B1099" s="2">
        <v>45659</v>
      </c>
      <c r="C1099" s="1" t="s">
        <v>12</v>
      </c>
      <c r="D1099" s="1" t="s">
        <v>15</v>
      </c>
      <c r="E1099" s="1" t="s">
        <v>20</v>
      </c>
      <c r="F1099" s="1" t="s">
        <v>21</v>
      </c>
      <c r="G1099" s="4">
        <v>871.75</v>
      </c>
      <c r="H1099" s="1">
        <v>7</v>
      </c>
      <c r="I1099" s="1" t="str">
        <f>TEXT(SalesTable[[#This Row],[Order_Date]],"mmm")</f>
        <v>Jan</v>
      </c>
      <c r="J1099" s="1">
        <f>YEAR(SalesTable[[#This Row],[Order_Date]])</f>
        <v>2025</v>
      </c>
      <c r="K1099" s="4">
        <v>0.61</v>
      </c>
      <c r="L1099" s="9">
        <f>SalesTable[[#This Row],[Profit]]/SalesTable[[#This Row],[Sales]]</f>
        <v>6.9974189848006881E-4</v>
      </c>
    </row>
    <row r="1100" spans="1:12" ht="14" x14ac:dyDescent="0.15">
      <c r="A1100" s="1">
        <v>11099</v>
      </c>
      <c r="B1100" s="2">
        <v>45660</v>
      </c>
      <c r="C1100" s="1" t="s">
        <v>12</v>
      </c>
      <c r="D1100" s="1" t="s">
        <v>13</v>
      </c>
      <c r="E1100" s="1" t="s">
        <v>16</v>
      </c>
      <c r="F1100" s="1" t="s">
        <v>22</v>
      </c>
      <c r="G1100" s="4">
        <v>354.59</v>
      </c>
      <c r="H1100" s="1">
        <v>1</v>
      </c>
      <c r="I1100" s="1" t="str">
        <f>TEXT(SalesTable[[#This Row],[Order_Date]],"mmm")</f>
        <v>Jan</v>
      </c>
      <c r="J1100" s="1">
        <f>YEAR(SalesTable[[#This Row],[Order_Date]])</f>
        <v>2025</v>
      </c>
      <c r="K1100" s="4">
        <v>177.87</v>
      </c>
      <c r="L1100" s="9">
        <f>SalesTable[[#This Row],[Profit]]/SalesTable[[#This Row],[Sales]]</f>
        <v>0.50162159113342175</v>
      </c>
    </row>
    <row r="1101" spans="1:12" ht="14" x14ac:dyDescent="0.15">
      <c r="A1101" s="1">
        <v>11100</v>
      </c>
      <c r="B1101" s="2">
        <v>45661</v>
      </c>
      <c r="C1101" s="1" t="s">
        <v>9</v>
      </c>
      <c r="D1101" s="1" t="s">
        <v>15</v>
      </c>
      <c r="E1101" s="1" t="s">
        <v>19</v>
      </c>
      <c r="F1101" s="1" t="s">
        <v>24</v>
      </c>
      <c r="G1101" s="4">
        <v>219.41</v>
      </c>
      <c r="H1101" s="1">
        <v>5</v>
      </c>
      <c r="I1101" s="1" t="str">
        <f>TEXT(SalesTable[[#This Row],[Order_Date]],"mmm")</f>
        <v>Jan</v>
      </c>
      <c r="J1101" s="1">
        <f>YEAR(SalesTable[[#This Row],[Order_Date]])</f>
        <v>2025</v>
      </c>
      <c r="K1101" s="4">
        <v>207.79</v>
      </c>
      <c r="L1101" s="9">
        <f>SalesTable[[#This Row],[Profit]]/SalesTable[[#This Row],[Sales]]</f>
        <v>0.94703978852376824</v>
      </c>
    </row>
    <row r="1102" spans="1:12" ht="14" x14ac:dyDescent="0.15">
      <c r="A1102" s="1">
        <v>11101</v>
      </c>
      <c r="B1102" s="2">
        <v>45662</v>
      </c>
      <c r="C1102" s="1" t="s">
        <v>9</v>
      </c>
      <c r="D1102" s="1" t="s">
        <v>14</v>
      </c>
      <c r="E1102" s="1" t="s">
        <v>16</v>
      </c>
      <c r="F1102" s="1" t="s">
        <v>24</v>
      </c>
      <c r="G1102" s="4">
        <v>277.39999999999998</v>
      </c>
      <c r="H1102" s="1">
        <v>4</v>
      </c>
      <c r="I1102" s="1" t="str">
        <f>TEXT(SalesTable[[#This Row],[Order_Date]],"mmm")</f>
        <v>Jan</v>
      </c>
      <c r="J1102" s="1">
        <f>YEAR(SalesTable[[#This Row],[Order_Date]])</f>
        <v>2025</v>
      </c>
      <c r="K1102" s="4">
        <v>-2.08</v>
      </c>
      <c r="L1102" s="9">
        <f>SalesTable[[#This Row],[Profit]]/SalesTable[[#This Row],[Sales]]</f>
        <v>-7.498197548666187E-3</v>
      </c>
    </row>
    <row r="1103" spans="1:12" ht="14" x14ac:dyDescent="0.15">
      <c r="A1103" s="1">
        <v>11102</v>
      </c>
      <c r="B1103" s="2">
        <v>45663</v>
      </c>
      <c r="C1103" s="1" t="s">
        <v>12</v>
      </c>
      <c r="D1103" s="1" t="s">
        <v>13</v>
      </c>
      <c r="E1103" s="1" t="s">
        <v>16</v>
      </c>
      <c r="F1103" s="1" t="s">
        <v>23</v>
      </c>
      <c r="G1103" s="4">
        <v>447.07</v>
      </c>
      <c r="H1103" s="1">
        <v>7</v>
      </c>
      <c r="I1103" s="1" t="str">
        <f>TEXT(SalesTable[[#This Row],[Order_Date]],"mmm")</f>
        <v>Jan</v>
      </c>
      <c r="J1103" s="1">
        <f>YEAR(SalesTable[[#This Row],[Order_Date]])</f>
        <v>2025</v>
      </c>
      <c r="K1103" s="4">
        <v>-80.22</v>
      </c>
      <c r="L1103" s="9">
        <f>SalesTable[[#This Row],[Profit]]/SalesTable[[#This Row],[Sales]]</f>
        <v>-0.17943498780951528</v>
      </c>
    </row>
    <row r="1104" spans="1:12" ht="14" x14ac:dyDescent="0.15">
      <c r="A1104" s="1">
        <v>11103</v>
      </c>
      <c r="B1104" s="2">
        <v>45664</v>
      </c>
      <c r="C1104" s="1" t="s">
        <v>10</v>
      </c>
      <c r="D1104" s="1" t="s">
        <v>14</v>
      </c>
      <c r="E1104" s="1" t="s">
        <v>19</v>
      </c>
      <c r="F1104" s="1" t="s">
        <v>23</v>
      </c>
      <c r="G1104" s="4">
        <v>288.63</v>
      </c>
      <c r="H1104" s="1">
        <v>9</v>
      </c>
      <c r="I1104" s="1" t="str">
        <f>TEXT(SalesTable[[#This Row],[Order_Date]],"mmm")</f>
        <v>Jan</v>
      </c>
      <c r="J1104" s="1">
        <f>YEAR(SalesTable[[#This Row],[Order_Date]])</f>
        <v>2025</v>
      </c>
      <c r="K1104" s="4">
        <v>239.5</v>
      </c>
      <c r="L1104" s="9">
        <f>SalesTable[[#This Row],[Profit]]/SalesTable[[#This Row],[Sales]]</f>
        <v>0.82978207393548831</v>
      </c>
    </row>
    <row r="1105" spans="1:12" ht="14" x14ac:dyDescent="0.15">
      <c r="A1105" s="1">
        <v>11104</v>
      </c>
      <c r="B1105" s="2">
        <v>45665</v>
      </c>
      <c r="C1105" s="1" t="s">
        <v>11</v>
      </c>
      <c r="D1105" s="1" t="s">
        <v>13</v>
      </c>
      <c r="E1105" s="1" t="s">
        <v>19</v>
      </c>
      <c r="F1105" s="1" t="s">
        <v>22</v>
      </c>
      <c r="G1105" s="4">
        <v>354.54</v>
      </c>
      <c r="H1105" s="1">
        <v>5</v>
      </c>
      <c r="I1105" s="1" t="str">
        <f>TEXT(SalesTable[[#This Row],[Order_Date]],"mmm")</f>
        <v>Jan</v>
      </c>
      <c r="J1105" s="1">
        <f>YEAR(SalesTable[[#This Row],[Order_Date]])</f>
        <v>2025</v>
      </c>
      <c r="K1105" s="4">
        <v>-96.02</v>
      </c>
      <c r="L1105" s="9">
        <f>SalesTable[[#This Row],[Profit]]/SalesTable[[#This Row],[Sales]]</f>
        <v>-0.27082980763806619</v>
      </c>
    </row>
    <row r="1106" spans="1:12" ht="14" x14ac:dyDescent="0.15">
      <c r="A1106" s="1">
        <v>11105</v>
      </c>
      <c r="B1106" s="2">
        <v>45666</v>
      </c>
      <c r="C1106" s="1" t="s">
        <v>12</v>
      </c>
      <c r="D1106" s="1" t="s">
        <v>15</v>
      </c>
      <c r="E1106" s="1" t="s">
        <v>18</v>
      </c>
      <c r="F1106" s="1" t="s">
        <v>24</v>
      </c>
      <c r="G1106" s="4">
        <v>178.23</v>
      </c>
      <c r="H1106" s="1">
        <v>4</v>
      </c>
      <c r="I1106" s="1" t="str">
        <f>TEXT(SalesTable[[#This Row],[Order_Date]],"mmm")</f>
        <v>Jan</v>
      </c>
      <c r="J1106" s="1">
        <f>YEAR(SalesTable[[#This Row],[Order_Date]])</f>
        <v>2025</v>
      </c>
      <c r="K1106" s="4">
        <v>274.83999999999997</v>
      </c>
      <c r="L1106" s="9">
        <f>SalesTable[[#This Row],[Profit]]/SalesTable[[#This Row],[Sales]]</f>
        <v>1.5420524041968242</v>
      </c>
    </row>
    <row r="1107" spans="1:12" ht="14" x14ac:dyDescent="0.15">
      <c r="A1107" s="1">
        <v>11106</v>
      </c>
      <c r="B1107" s="2">
        <v>45667</v>
      </c>
      <c r="C1107" s="1" t="s">
        <v>10</v>
      </c>
      <c r="D1107" s="1" t="s">
        <v>13</v>
      </c>
      <c r="E1107" s="1" t="s">
        <v>18</v>
      </c>
      <c r="F1107" s="1" t="s">
        <v>23</v>
      </c>
      <c r="G1107" s="4">
        <v>331.37</v>
      </c>
      <c r="H1107" s="1">
        <v>9</v>
      </c>
      <c r="I1107" s="1" t="str">
        <f>TEXT(SalesTable[[#This Row],[Order_Date]],"mmm")</f>
        <v>Jan</v>
      </c>
      <c r="J1107" s="1">
        <f>YEAR(SalesTable[[#This Row],[Order_Date]])</f>
        <v>2025</v>
      </c>
      <c r="K1107" s="4">
        <v>151.05000000000001</v>
      </c>
      <c r="L1107" s="9">
        <f>SalesTable[[#This Row],[Profit]]/SalesTable[[#This Row],[Sales]]</f>
        <v>0.4558348673688023</v>
      </c>
    </row>
    <row r="1108" spans="1:12" ht="14" x14ac:dyDescent="0.15">
      <c r="A1108" s="1">
        <v>11107</v>
      </c>
      <c r="B1108" s="2">
        <v>45668</v>
      </c>
      <c r="C1108" s="1" t="s">
        <v>11</v>
      </c>
      <c r="D1108" s="1" t="s">
        <v>14</v>
      </c>
      <c r="E1108" s="1" t="s">
        <v>19</v>
      </c>
      <c r="F1108" s="1" t="s">
        <v>21</v>
      </c>
      <c r="G1108" s="4">
        <v>593.66999999999996</v>
      </c>
      <c r="H1108" s="1">
        <v>5</v>
      </c>
      <c r="I1108" s="1" t="str">
        <f>TEXT(SalesTable[[#This Row],[Order_Date]],"mmm")</f>
        <v>Jan</v>
      </c>
      <c r="J1108" s="1">
        <f>YEAR(SalesTable[[#This Row],[Order_Date]])</f>
        <v>2025</v>
      </c>
      <c r="K1108" s="4">
        <v>28.74</v>
      </c>
      <c r="L1108" s="9">
        <f>SalesTable[[#This Row],[Profit]]/SalesTable[[#This Row],[Sales]]</f>
        <v>4.841073323563596E-2</v>
      </c>
    </row>
    <row r="1109" spans="1:12" ht="14" x14ac:dyDescent="0.15">
      <c r="A1109" s="1">
        <v>11108</v>
      </c>
      <c r="B1109" s="2">
        <v>45669</v>
      </c>
      <c r="C1109" s="1" t="s">
        <v>12</v>
      </c>
      <c r="D1109" s="1" t="s">
        <v>15</v>
      </c>
      <c r="E1109" s="1" t="s">
        <v>17</v>
      </c>
      <c r="F1109" s="1" t="s">
        <v>21</v>
      </c>
      <c r="G1109" s="4">
        <v>469.76</v>
      </c>
      <c r="H1109" s="1">
        <v>9</v>
      </c>
      <c r="I1109" s="1" t="str">
        <f>TEXT(SalesTable[[#This Row],[Order_Date]],"mmm")</f>
        <v>Jan</v>
      </c>
      <c r="J1109" s="1">
        <f>YEAR(SalesTable[[#This Row],[Order_Date]])</f>
        <v>2025</v>
      </c>
      <c r="K1109" s="4">
        <v>-1.41</v>
      </c>
      <c r="L1109" s="9">
        <f>SalesTable[[#This Row],[Profit]]/SalesTable[[#This Row],[Sales]]</f>
        <v>-3.001532697547684E-3</v>
      </c>
    </row>
    <row r="1110" spans="1:12" ht="14" x14ac:dyDescent="0.15">
      <c r="A1110" s="1">
        <v>11109</v>
      </c>
      <c r="B1110" s="2">
        <v>45670</v>
      </c>
      <c r="C1110" s="1" t="s">
        <v>12</v>
      </c>
      <c r="D1110" s="1" t="s">
        <v>13</v>
      </c>
      <c r="E1110" s="1" t="s">
        <v>18</v>
      </c>
      <c r="F1110" s="1" t="s">
        <v>24</v>
      </c>
      <c r="G1110" s="4">
        <v>379.38</v>
      </c>
      <c r="H1110" s="1">
        <v>8</v>
      </c>
      <c r="I1110" s="1" t="str">
        <f>TEXT(SalesTable[[#This Row],[Order_Date]],"mmm")</f>
        <v>Jan</v>
      </c>
      <c r="J1110" s="1">
        <f>YEAR(SalesTable[[#This Row],[Order_Date]])</f>
        <v>2025</v>
      </c>
      <c r="K1110" s="4">
        <v>-96.4</v>
      </c>
      <c r="L1110" s="9">
        <f>SalesTable[[#This Row],[Profit]]/SalesTable[[#This Row],[Sales]]</f>
        <v>-0.25409879276714642</v>
      </c>
    </row>
    <row r="1111" spans="1:12" ht="14" x14ac:dyDescent="0.15">
      <c r="A1111" s="1">
        <v>11110</v>
      </c>
      <c r="B1111" s="2">
        <v>45671</v>
      </c>
      <c r="C1111" s="1" t="s">
        <v>9</v>
      </c>
      <c r="D1111" s="1" t="s">
        <v>13</v>
      </c>
      <c r="E1111" s="1" t="s">
        <v>17</v>
      </c>
      <c r="F1111" s="1" t="s">
        <v>23</v>
      </c>
      <c r="G1111" s="4">
        <v>759.13</v>
      </c>
      <c r="H1111" s="1">
        <v>4</v>
      </c>
      <c r="I1111" s="1" t="str">
        <f>TEXT(SalesTable[[#This Row],[Order_Date]],"mmm")</f>
        <v>Jan</v>
      </c>
      <c r="J1111" s="1">
        <f>YEAR(SalesTable[[#This Row],[Order_Date]])</f>
        <v>2025</v>
      </c>
      <c r="K1111" s="4">
        <v>-5.81</v>
      </c>
      <c r="L1111" s="9">
        <f>SalesTable[[#This Row],[Profit]]/SalesTable[[#This Row],[Sales]]</f>
        <v>-7.6534980833322351E-3</v>
      </c>
    </row>
    <row r="1112" spans="1:12" ht="14" x14ac:dyDescent="0.15">
      <c r="A1112" s="1">
        <v>11111</v>
      </c>
      <c r="B1112" s="2">
        <v>45672</v>
      </c>
      <c r="C1112" s="1" t="s">
        <v>11</v>
      </c>
      <c r="D1112" s="1" t="s">
        <v>13</v>
      </c>
      <c r="E1112" s="1" t="s">
        <v>19</v>
      </c>
      <c r="F1112" s="1" t="s">
        <v>22</v>
      </c>
      <c r="G1112" s="4">
        <v>898.83</v>
      </c>
      <c r="H1112" s="1">
        <v>7</v>
      </c>
      <c r="I1112" s="1" t="str">
        <f>TEXT(SalesTable[[#This Row],[Order_Date]],"mmm")</f>
        <v>Jan</v>
      </c>
      <c r="J1112" s="1">
        <f>YEAR(SalesTable[[#This Row],[Order_Date]])</f>
        <v>2025</v>
      </c>
      <c r="K1112" s="4">
        <v>-44.91</v>
      </c>
      <c r="L1112" s="9">
        <f>SalesTable[[#This Row],[Profit]]/SalesTable[[#This Row],[Sales]]</f>
        <v>-4.9964954440773E-2</v>
      </c>
    </row>
    <row r="1113" spans="1:12" ht="14" x14ac:dyDescent="0.15">
      <c r="A1113" s="1">
        <v>11112</v>
      </c>
      <c r="B1113" s="2">
        <v>45673</v>
      </c>
      <c r="C1113" s="1" t="s">
        <v>11</v>
      </c>
      <c r="D1113" s="1" t="s">
        <v>14</v>
      </c>
      <c r="E1113" s="1" t="s">
        <v>18</v>
      </c>
      <c r="F1113" s="1" t="s">
        <v>22</v>
      </c>
      <c r="G1113" s="4">
        <v>768.95</v>
      </c>
      <c r="H1113" s="1">
        <v>5</v>
      </c>
      <c r="I1113" s="1" t="str">
        <f>TEXT(SalesTable[[#This Row],[Order_Date]],"mmm")</f>
        <v>Jan</v>
      </c>
      <c r="J1113" s="1">
        <f>YEAR(SalesTable[[#This Row],[Order_Date]])</f>
        <v>2025</v>
      </c>
      <c r="K1113" s="4">
        <v>144.87</v>
      </c>
      <c r="L1113" s="9">
        <f>SalesTable[[#This Row],[Profit]]/SalesTable[[#This Row],[Sales]]</f>
        <v>0.18839976591455881</v>
      </c>
    </row>
    <row r="1114" spans="1:12" ht="14" x14ac:dyDescent="0.15">
      <c r="A1114" s="1">
        <v>11113</v>
      </c>
      <c r="B1114" s="2">
        <v>45674</v>
      </c>
      <c r="C1114" s="1" t="s">
        <v>10</v>
      </c>
      <c r="D1114" s="1" t="s">
        <v>14</v>
      </c>
      <c r="E1114" s="1" t="s">
        <v>16</v>
      </c>
      <c r="F1114" s="1" t="s">
        <v>22</v>
      </c>
      <c r="G1114" s="4">
        <v>365.4</v>
      </c>
      <c r="H1114" s="1">
        <v>4</v>
      </c>
      <c r="I1114" s="1" t="str">
        <f>TEXT(SalesTable[[#This Row],[Order_Date]],"mmm")</f>
        <v>Jan</v>
      </c>
      <c r="J1114" s="1">
        <f>YEAR(SalesTable[[#This Row],[Order_Date]])</f>
        <v>2025</v>
      </c>
      <c r="K1114" s="4">
        <v>-33.380000000000003</v>
      </c>
      <c r="L1114" s="9">
        <f>SalesTable[[#This Row],[Profit]]/SalesTable[[#This Row],[Sales]]</f>
        <v>-9.1351943076081021E-2</v>
      </c>
    </row>
    <row r="1115" spans="1:12" ht="14" x14ac:dyDescent="0.15">
      <c r="A1115" s="1">
        <v>11114</v>
      </c>
      <c r="B1115" s="2">
        <v>45675</v>
      </c>
      <c r="C1115" s="1" t="s">
        <v>9</v>
      </c>
      <c r="D1115" s="1" t="s">
        <v>13</v>
      </c>
      <c r="E1115" s="1" t="s">
        <v>19</v>
      </c>
      <c r="F1115" s="1" t="s">
        <v>21</v>
      </c>
      <c r="G1115" s="4">
        <v>757.22</v>
      </c>
      <c r="H1115" s="1">
        <v>5</v>
      </c>
      <c r="I1115" s="1" t="str">
        <f>TEXT(SalesTable[[#This Row],[Order_Date]],"mmm")</f>
        <v>Jan</v>
      </c>
      <c r="J1115" s="1">
        <f>YEAR(SalesTable[[#This Row],[Order_Date]])</f>
        <v>2025</v>
      </c>
      <c r="K1115" s="4">
        <v>111.45</v>
      </c>
      <c r="L1115" s="9">
        <f>SalesTable[[#This Row],[Profit]]/SalesTable[[#This Row],[Sales]]</f>
        <v>0.14718311719183327</v>
      </c>
    </row>
    <row r="1116" spans="1:12" ht="14" x14ac:dyDescent="0.15">
      <c r="A1116" s="1">
        <v>11115</v>
      </c>
      <c r="B1116" s="2">
        <v>45676</v>
      </c>
      <c r="C1116" s="1" t="s">
        <v>9</v>
      </c>
      <c r="D1116" s="1" t="s">
        <v>15</v>
      </c>
      <c r="E1116" s="1" t="s">
        <v>20</v>
      </c>
      <c r="F1116" s="1" t="s">
        <v>23</v>
      </c>
      <c r="G1116" s="4">
        <v>194.38</v>
      </c>
      <c r="H1116" s="1">
        <v>5</v>
      </c>
      <c r="I1116" s="1" t="str">
        <f>TEXT(SalesTable[[#This Row],[Order_Date]],"mmm")</f>
        <v>Jan</v>
      </c>
      <c r="J1116" s="1">
        <f>YEAR(SalesTable[[#This Row],[Order_Date]])</f>
        <v>2025</v>
      </c>
      <c r="K1116" s="4">
        <v>136.05000000000001</v>
      </c>
      <c r="L1116" s="9">
        <f>SalesTable[[#This Row],[Profit]]/SalesTable[[#This Row],[Sales]]</f>
        <v>0.69991768700483592</v>
      </c>
    </row>
    <row r="1117" spans="1:12" ht="14" x14ac:dyDescent="0.15">
      <c r="A1117" s="1">
        <v>11116</v>
      </c>
      <c r="B1117" s="2">
        <v>45677</v>
      </c>
      <c r="C1117" s="1" t="s">
        <v>9</v>
      </c>
      <c r="D1117" s="1" t="s">
        <v>15</v>
      </c>
      <c r="E1117" s="1" t="s">
        <v>17</v>
      </c>
      <c r="F1117" s="1" t="s">
        <v>23</v>
      </c>
      <c r="G1117" s="4">
        <v>173.8</v>
      </c>
      <c r="H1117" s="1">
        <v>9</v>
      </c>
      <c r="I1117" s="1" t="str">
        <f>TEXT(SalesTable[[#This Row],[Order_Date]],"mmm")</f>
        <v>Jan</v>
      </c>
      <c r="J1117" s="1">
        <f>YEAR(SalesTable[[#This Row],[Order_Date]])</f>
        <v>2025</v>
      </c>
      <c r="K1117" s="4">
        <v>19.22</v>
      </c>
      <c r="L1117" s="9">
        <f>SalesTable[[#This Row],[Profit]]/SalesTable[[#This Row],[Sales]]</f>
        <v>0.11058688147295741</v>
      </c>
    </row>
    <row r="1118" spans="1:12" ht="14" x14ac:dyDescent="0.15">
      <c r="A1118" s="1">
        <v>11117</v>
      </c>
      <c r="B1118" s="2">
        <v>45678</v>
      </c>
      <c r="C1118" s="1" t="s">
        <v>9</v>
      </c>
      <c r="D1118" s="1" t="s">
        <v>14</v>
      </c>
      <c r="E1118" s="1" t="s">
        <v>19</v>
      </c>
      <c r="F1118" s="1" t="s">
        <v>21</v>
      </c>
      <c r="G1118" s="4">
        <v>378.35</v>
      </c>
      <c r="H1118" s="1">
        <v>9</v>
      </c>
      <c r="I1118" s="1" t="str">
        <f>TEXT(SalesTable[[#This Row],[Order_Date]],"mmm")</f>
        <v>Jan</v>
      </c>
      <c r="J1118" s="1">
        <f>YEAR(SalesTable[[#This Row],[Order_Date]])</f>
        <v>2025</v>
      </c>
      <c r="K1118" s="4">
        <v>-85.97</v>
      </c>
      <c r="L1118" s="9">
        <f>SalesTable[[#This Row],[Profit]]/SalesTable[[#This Row],[Sales]]</f>
        <v>-0.22722347033170343</v>
      </c>
    </row>
    <row r="1119" spans="1:12" ht="14" x14ac:dyDescent="0.15">
      <c r="A1119" s="1">
        <v>11118</v>
      </c>
      <c r="B1119" s="2">
        <v>45679</v>
      </c>
      <c r="C1119" s="1" t="s">
        <v>11</v>
      </c>
      <c r="D1119" s="1" t="s">
        <v>15</v>
      </c>
      <c r="E1119" s="1" t="s">
        <v>19</v>
      </c>
      <c r="F1119" s="1" t="s">
        <v>22</v>
      </c>
      <c r="G1119" s="4">
        <v>817.32</v>
      </c>
      <c r="H1119" s="1">
        <v>6</v>
      </c>
      <c r="I1119" s="1" t="str">
        <f>TEXT(SalesTable[[#This Row],[Order_Date]],"mmm")</f>
        <v>Jan</v>
      </c>
      <c r="J1119" s="1">
        <f>YEAR(SalesTable[[#This Row],[Order_Date]])</f>
        <v>2025</v>
      </c>
      <c r="K1119" s="4">
        <v>-85.1</v>
      </c>
      <c r="L1119" s="9">
        <f>SalesTable[[#This Row],[Profit]]/SalesTable[[#This Row],[Sales]]</f>
        <v>-0.10412078500464933</v>
      </c>
    </row>
    <row r="1120" spans="1:12" ht="14" x14ac:dyDescent="0.15">
      <c r="A1120" s="1">
        <v>11119</v>
      </c>
      <c r="B1120" s="2">
        <v>45680</v>
      </c>
      <c r="C1120" s="1" t="s">
        <v>11</v>
      </c>
      <c r="D1120" s="1" t="s">
        <v>14</v>
      </c>
      <c r="E1120" s="1" t="s">
        <v>18</v>
      </c>
      <c r="F1120" s="1" t="s">
        <v>22</v>
      </c>
      <c r="G1120" s="4">
        <v>284.02999999999997</v>
      </c>
      <c r="H1120" s="1">
        <v>4</v>
      </c>
      <c r="I1120" s="1" t="str">
        <f>TEXT(SalesTable[[#This Row],[Order_Date]],"mmm")</f>
        <v>Jan</v>
      </c>
      <c r="J1120" s="1">
        <f>YEAR(SalesTable[[#This Row],[Order_Date]])</f>
        <v>2025</v>
      </c>
      <c r="K1120" s="4">
        <v>-89.46</v>
      </c>
      <c r="L1120" s="9">
        <f>SalesTable[[#This Row],[Profit]]/SalesTable[[#This Row],[Sales]]</f>
        <v>-0.31496672886666904</v>
      </c>
    </row>
    <row r="1121" spans="1:12" ht="14" x14ac:dyDescent="0.15">
      <c r="A1121" s="1">
        <v>11120</v>
      </c>
      <c r="B1121" s="2">
        <v>45681</v>
      </c>
      <c r="C1121" s="1" t="s">
        <v>12</v>
      </c>
      <c r="D1121" s="1" t="s">
        <v>13</v>
      </c>
      <c r="E1121" s="1" t="s">
        <v>18</v>
      </c>
      <c r="F1121" s="1" t="s">
        <v>24</v>
      </c>
      <c r="G1121" s="4">
        <v>110.09</v>
      </c>
      <c r="H1121" s="1">
        <v>2</v>
      </c>
      <c r="I1121" s="1" t="str">
        <f>TEXT(SalesTable[[#This Row],[Order_Date]],"mmm")</f>
        <v>Jan</v>
      </c>
      <c r="J1121" s="1">
        <f>YEAR(SalesTable[[#This Row],[Order_Date]])</f>
        <v>2025</v>
      </c>
      <c r="K1121" s="4">
        <v>195.65</v>
      </c>
      <c r="L1121" s="9">
        <f>SalesTable[[#This Row],[Profit]]/SalesTable[[#This Row],[Sales]]</f>
        <v>1.7771823053865019</v>
      </c>
    </row>
    <row r="1122" spans="1:12" ht="14" x14ac:dyDescent="0.15">
      <c r="A1122" s="1">
        <v>11121</v>
      </c>
      <c r="B1122" s="2">
        <v>45682</v>
      </c>
      <c r="C1122" s="1" t="s">
        <v>12</v>
      </c>
      <c r="D1122" s="1" t="s">
        <v>14</v>
      </c>
      <c r="E1122" s="1" t="s">
        <v>18</v>
      </c>
      <c r="F1122" s="1" t="s">
        <v>25</v>
      </c>
      <c r="G1122" s="4">
        <v>175.12</v>
      </c>
      <c r="H1122" s="1">
        <v>3</v>
      </c>
      <c r="I1122" s="1" t="str">
        <f>TEXT(SalesTable[[#This Row],[Order_Date]],"mmm")</f>
        <v>Jan</v>
      </c>
      <c r="J1122" s="1">
        <f>YEAR(SalesTable[[#This Row],[Order_Date]])</f>
        <v>2025</v>
      </c>
      <c r="K1122" s="4">
        <v>27.2</v>
      </c>
      <c r="L1122" s="9">
        <f>SalesTable[[#This Row],[Profit]]/SalesTable[[#This Row],[Sales]]</f>
        <v>0.15532206486980354</v>
      </c>
    </row>
    <row r="1123" spans="1:12" ht="14" x14ac:dyDescent="0.15">
      <c r="A1123" s="1">
        <v>11122</v>
      </c>
      <c r="B1123" s="2">
        <v>45683</v>
      </c>
      <c r="C1123" s="1" t="s">
        <v>9</v>
      </c>
      <c r="D1123" s="1" t="s">
        <v>14</v>
      </c>
      <c r="E1123" s="1" t="s">
        <v>20</v>
      </c>
      <c r="F1123" s="1" t="s">
        <v>23</v>
      </c>
      <c r="G1123" s="4">
        <v>865.81</v>
      </c>
      <c r="H1123" s="1">
        <v>2</v>
      </c>
      <c r="I1123" s="1" t="str">
        <f>TEXT(SalesTable[[#This Row],[Order_Date]],"mmm")</f>
        <v>Jan</v>
      </c>
      <c r="J1123" s="1">
        <f>YEAR(SalesTable[[#This Row],[Order_Date]])</f>
        <v>2025</v>
      </c>
      <c r="K1123" s="4">
        <v>218.52</v>
      </c>
      <c r="L1123" s="9">
        <f>SalesTable[[#This Row],[Profit]]/SalesTable[[#This Row],[Sales]]</f>
        <v>0.25238793730726145</v>
      </c>
    </row>
    <row r="1124" spans="1:12" ht="14" x14ac:dyDescent="0.15">
      <c r="A1124" s="1">
        <v>11123</v>
      </c>
      <c r="B1124" s="2">
        <v>45684</v>
      </c>
      <c r="C1124" s="1" t="s">
        <v>9</v>
      </c>
      <c r="D1124" s="1" t="s">
        <v>13</v>
      </c>
      <c r="E1124" s="1" t="s">
        <v>18</v>
      </c>
      <c r="F1124" s="1" t="s">
        <v>23</v>
      </c>
      <c r="G1124" s="4">
        <v>652.09</v>
      </c>
      <c r="H1124" s="1">
        <v>5</v>
      </c>
      <c r="I1124" s="1" t="str">
        <f>TEXT(SalesTable[[#This Row],[Order_Date]],"mmm")</f>
        <v>Jan</v>
      </c>
      <c r="J1124" s="1">
        <f>YEAR(SalesTable[[#This Row],[Order_Date]])</f>
        <v>2025</v>
      </c>
      <c r="K1124" s="4">
        <v>72.69</v>
      </c>
      <c r="L1124" s="9">
        <f>SalesTable[[#This Row],[Profit]]/SalesTable[[#This Row],[Sales]]</f>
        <v>0.11147234277477035</v>
      </c>
    </row>
    <row r="1125" spans="1:12" ht="14" x14ac:dyDescent="0.15">
      <c r="A1125" s="1">
        <v>11124</v>
      </c>
      <c r="B1125" s="2">
        <v>45685</v>
      </c>
      <c r="C1125" s="1" t="s">
        <v>9</v>
      </c>
      <c r="D1125" s="1" t="s">
        <v>15</v>
      </c>
      <c r="E1125" s="1" t="s">
        <v>19</v>
      </c>
      <c r="F1125" s="1" t="s">
        <v>23</v>
      </c>
      <c r="G1125" s="4">
        <v>290.54000000000002</v>
      </c>
      <c r="H1125" s="1">
        <v>6</v>
      </c>
      <c r="I1125" s="1" t="str">
        <f>TEXT(SalesTable[[#This Row],[Order_Date]],"mmm")</f>
        <v>Jan</v>
      </c>
      <c r="J1125" s="1">
        <f>YEAR(SalesTable[[#This Row],[Order_Date]])</f>
        <v>2025</v>
      </c>
      <c r="K1125" s="4">
        <v>81.2</v>
      </c>
      <c r="L1125" s="9">
        <f>SalesTable[[#This Row],[Profit]]/SalesTable[[#This Row],[Sales]]</f>
        <v>0.27947958972946924</v>
      </c>
    </row>
    <row r="1126" spans="1:12" ht="14" x14ac:dyDescent="0.15">
      <c r="A1126" s="1">
        <v>11125</v>
      </c>
      <c r="B1126" s="2">
        <v>45686</v>
      </c>
      <c r="C1126" s="1" t="s">
        <v>12</v>
      </c>
      <c r="D1126" s="1" t="s">
        <v>14</v>
      </c>
      <c r="E1126" s="1" t="s">
        <v>18</v>
      </c>
      <c r="F1126" s="1" t="s">
        <v>25</v>
      </c>
      <c r="G1126" s="4">
        <v>577.53</v>
      </c>
      <c r="H1126" s="1">
        <v>5</v>
      </c>
      <c r="I1126" s="1" t="str">
        <f>TEXT(SalesTable[[#This Row],[Order_Date]],"mmm")</f>
        <v>Jan</v>
      </c>
      <c r="J1126" s="1">
        <f>YEAR(SalesTable[[#This Row],[Order_Date]])</f>
        <v>2025</v>
      </c>
      <c r="K1126" s="4">
        <v>105.15</v>
      </c>
      <c r="L1126" s="9">
        <f>SalesTable[[#This Row],[Profit]]/SalesTable[[#This Row],[Sales]]</f>
        <v>0.18206846397589738</v>
      </c>
    </row>
    <row r="1127" spans="1:12" ht="14" x14ac:dyDescent="0.15">
      <c r="A1127" s="1">
        <v>11126</v>
      </c>
      <c r="B1127" s="2">
        <v>45687</v>
      </c>
      <c r="C1127" s="1" t="s">
        <v>10</v>
      </c>
      <c r="D1127" s="1" t="s">
        <v>14</v>
      </c>
      <c r="E1127" s="1" t="s">
        <v>16</v>
      </c>
      <c r="F1127" s="1" t="s">
        <v>24</v>
      </c>
      <c r="G1127" s="4">
        <v>551.20000000000005</v>
      </c>
      <c r="H1127" s="1">
        <v>2</v>
      </c>
      <c r="I1127" s="1" t="str">
        <f>TEXT(SalesTable[[#This Row],[Order_Date]],"mmm")</f>
        <v>Jan</v>
      </c>
      <c r="J1127" s="1">
        <f>YEAR(SalesTable[[#This Row],[Order_Date]])</f>
        <v>2025</v>
      </c>
      <c r="K1127" s="4">
        <v>185.21</v>
      </c>
      <c r="L1127" s="9">
        <f>SalesTable[[#This Row],[Profit]]/SalesTable[[#This Row],[Sales]]</f>
        <v>0.3360123367198839</v>
      </c>
    </row>
    <row r="1128" spans="1:12" ht="14" x14ac:dyDescent="0.15">
      <c r="A1128" s="1">
        <v>11127</v>
      </c>
      <c r="B1128" s="2">
        <v>45688</v>
      </c>
      <c r="C1128" s="1" t="s">
        <v>10</v>
      </c>
      <c r="D1128" s="1" t="s">
        <v>13</v>
      </c>
      <c r="E1128" s="1" t="s">
        <v>18</v>
      </c>
      <c r="F1128" s="1" t="s">
        <v>25</v>
      </c>
      <c r="G1128" s="4">
        <v>672.66</v>
      </c>
      <c r="H1128" s="1">
        <v>5</v>
      </c>
      <c r="I1128" s="1" t="str">
        <f>TEXT(SalesTable[[#This Row],[Order_Date]],"mmm")</f>
        <v>Jan</v>
      </c>
      <c r="J1128" s="1">
        <f>YEAR(SalesTable[[#This Row],[Order_Date]])</f>
        <v>2025</v>
      </c>
      <c r="K1128" s="4">
        <v>9.4</v>
      </c>
      <c r="L1128" s="9">
        <f>SalesTable[[#This Row],[Profit]]/SalesTable[[#This Row],[Sales]]</f>
        <v>1.3974370410013976E-2</v>
      </c>
    </row>
    <row r="1129" spans="1:12" ht="14" x14ac:dyDescent="0.15">
      <c r="A1129" s="1">
        <v>11128</v>
      </c>
      <c r="B1129" s="2">
        <v>45689</v>
      </c>
      <c r="C1129" s="1" t="s">
        <v>12</v>
      </c>
      <c r="D1129" s="1" t="s">
        <v>15</v>
      </c>
      <c r="E1129" s="1" t="s">
        <v>20</v>
      </c>
      <c r="F1129" s="1" t="s">
        <v>22</v>
      </c>
      <c r="G1129" s="4">
        <v>271.52999999999997</v>
      </c>
      <c r="H1129" s="1">
        <v>9</v>
      </c>
      <c r="I1129" s="1" t="str">
        <f>TEXT(SalesTable[[#This Row],[Order_Date]],"mmm")</f>
        <v>Feb</v>
      </c>
      <c r="J1129" s="1">
        <f>YEAR(SalesTable[[#This Row],[Order_Date]])</f>
        <v>2025</v>
      </c>
      <c r="K1129" s="4">
        <v>-51.37</v>
      </c>
      <c r="L1129" s="9">
        <f>SalesTable[[#This Row],[Profit]]/SalesTable[[#This Row],[Sales]]</f>
        <v>-0.18918719846794094</v>
      </c>
    </row>
    <row r="1130" spans="1:12" ht="14" x14ac:dyDescent="0.15">
      <c r="A1130" s="1">
        <v>11129</v>
      </c>
      <c r="B1130" s="2">
        <v>45690</v>
      </c>
      <c r="C1130" s="1" t="s">
        <v>12</v>
      </c>
      <c r="D1130" s="1" t="s">
        <v>14</v>
      </c>
      <c r="E1130" s="1" t="s">
        <v>16</v>
      </c>
      <c r="F1130" s="1" t="s">
        <v>22</v>
      </c>
      <c r="G1130" s="4">
        <v>871.18</v>
      </c>
      <c r="H1130" s="1">
        <v>4</v>
      </c>
      <c r="I1130" s="1" t="str">
        <f>TEXT(SalesTable[[#This Row],[Order_Date]],"mmm")</f>
        <v>Feb</v>
      </c>
      <c r="J1130" s="1">
        <f>YEAR(SalesTable[[#This Row],[Order_Date]])</f>
        <v>2025</v>
      </c>
      <c r="K1130" s="4">
        <v>122.42</v>
      </c>
      <c r="L1130" s="9">
        <f>SalesTable[[#This Row],[Profit]]/SalesTable[[#This Row],[Sales]]</f>
        <v>0.14052205055212472</v>
      </c>
    </row>
    <row r="1131" spans="1:12" ht="14" x14ac:dyDescent="0.15">
      <c r="A1131" s="1">
        <v>11130</v>
      </c>
      <c r="B1131" s="2">
        <v>45691</v>
      </c>
      <c r="C1131" s="1" t="s">
        <v>12</v>
      </c>
      <c r="D1131" s="1" t="s">
        <v>13</v>
      </c>
      <c r="E1131" s="1" t="s">
        <v>19</v>
      </c>
      <c r="F1131" s="1" t="s">
        <v>23</v>
      </c>
      <c r="G1131" s="4">
        <v>343.9</v>
      </c>
      <c r="H1131" s="1">
        <v>2</v>
      </c>
      <c r="I1131" s="1" t="str">
        <f>TEXT(SalesTable[[#This Row],[Order_Date]],"mmm")</f>
        <v>Feb</v>
      </c>
      <c r="J1131" s="1">
        <f>YEAR(SalesTable[[#This Row],[Order_Date]])</f>
        <v>2025</v>
      </c>
      <c r="K1131" s="4">
        <v>30.79</v>
      </c>
      <c r="L1131" s="9">
        <f>SalesTable[[#This Row],[Profit]]/SalesTable[[#This Row],[Sales]]</f>
        <v>8.953184065135214E-2</v>
      </c>
    </row>
    <row r="1132" spans="1:12" ht="14" x14ac:dyDescent="0.15">
      <c r="A1132" s="1">
        <v>11131</v>
      </c>
      <c r="B1132" s="2">
        <v>45692</v>
      </c>
      <c r="C1132" s="1" t="s">
        <v>12</v>
      </c>
      <c r="D1132" s="1" t="s">
        <v>14</v>
      </c>
      <c r="E1132" s="1" t="s">
        <v>19</v>
      </c>
      <c r="F1132" s="1" t="s">
        <v>21</v>
      </c>
      <c r="G1132" s="4">
        <v>709.43</v>
      </c>
      <c r="H1132" s="1">
        <v>3</v>
      </c>
      <c r="I1132" s="1" t="str">
        <f>TEXT(SalesTable[[#This Row],[Order_Date]],"mmm")</f>
        <v>Feb</v>
      </c>
      <c r="J1132" s="1">
        <f>YEAR(SalesTable[[#This Row],[Order_Date]])</f>
        <v>2025</v>
      </c>
      <c r="K1132" s="4">
        <v>77</v>
      </c>
      <c r="L1132" s="9">
        <f>SalesTable[[#This Row],[Profit]]/SalesTable[[#This Row],[Sales]]</f>
        <v>0.10853784023793751</v>
      </c>
    </row>
    <row r="1133" spans="1:12" ht="14" x14ac:dyDescent="0.15">
      <c r="A1133" s="1">
        <v>11132</v>
      </c>
      <c r="B1133" s="2">
        <v>45693</v>
      </c>
      <c r="C1133" s="1" t="s">
        <v>12</v>
      </c>
      <c r="D1133" s="1" t="s">
        <v>13</v>
      </c>
      <c r="E1133" s="1" t="s">
        <v>17</v>
      </c>
      <c r="F1133" s="1" t="s">
        <v>23</v>
      </c>
      <c r="G1133" s="4">
        <v>65.319999999999993</v>
      </c>
      <c r="H1133" s="1">
        <v>3</v>
      </c>
      <c r="I1133" s="1" t="str">
        <f>TEXT(SalesTable[[#This Row],[Order_Date]],"mmm")</f>
        <v>Feb</v>
      </c>
      <c r="J1133" s="1">
        <f>YEAR(SalesTable[[#This Row],[Order_Date]])</f>
        <v>2025</v>
      </c>
      <c r="K1133" s="4">
        <v>158.78</v>
      </c>
      <c r="L1133" s="9">
        <f>SalesTable[[#This Row],[Profit]]/SalesTable[[#This Row],[Sales]]</f>
        <v>2.4308022045315374</v>
      </c>
    </row>
    <row r="1134" spans="1:12" ht="14" x14ac:dyDescent="0.15">
      <c r="A1134" s="1">
        <v>11133</v>
      </c>
      <c r="B1134" s="2">
        <v>45694</v>
      </c>
      <c r="C1134" s="1" t="s">
        <v>12</v>
      </c>
      <c r="D1134" s="1" t="s">
        <v>15</v>
      </c>
      <c r="E1134" s="1" t="s">
        <v>16</v>
      </c>
      <c r="F1134" s="1" t="s">
        <v>21</v>
      </c>
      <c r="G1134" s="4">
        <v>404.02</v>
      </c>
      <c r="H1134" s="1">
        <v>9</v>
      </c>
      <c r="I1134" s="1" t="str">
        <f>TEXT(SalesTable[[#This Row],[Order_Date]],"mmm")</f>
        <v>Feb</v>
      </c>
      <c r="J1134" s="1">
        <f>YEAR(SalesTable[[#This Row],[Order_Date]])</f>
        <v>2025</v>
      </c>
      <c r="K1134" s="4">
        <v>97.65</v>
      </c>
      <c r="L1134" s="9">
        <f>SalesTable[[#This Row],[Profit]]/SalesTable[[#This Row],[Sales]]</f>
        <v>0.24169595564576013</v>
      </c>
    </row>
    <row r="1135" spans="1:12" ht="14" x14ac:dyDescent="0.15">
      <c r="A1135" s="1">
        <v>11134</v>
      </c>
      <c r="B1135" s="2">
        <v>45695</v>
      </c>
      <c r="C1135" s="1" t="s">
        <v>9</v>
      </c>
      <c r="D1135" s="1" t="s">
        <v>15</v>
      </c>
      <c r="E1135" s="1" t="s">
        <v>17</v>
      </c>
      <c r="F1135" s="1" t="s">
        <v>25</v>
      </c>
      <c r="G1135" s="4">
        <v>384.12</v>
      </c>
      <c r="H1135" s="1">
        <v>4</v>
      </c>
      <c r="I1135" s="1" t="str">
        <f>TEXT(SalesTable[[#This Row],[Order_Date]],"mmm")</f>
        <v>Feb</v>
      </c>
      <c r="J1135" s="1">
        <f>YEAR(SalesTable[[#This Row],[Order_Date]])</f>
        <v>2025</v>
      </c>
      <c r="K1135" s="4">
        <v>148.11000000000001</v>
      </c>
      <c r="L1135" s="9">
        <f>SalesTable[[#This Row],[Profit]]/SalesTable[[#This Row],[Sales]]</f>
        <v>0.38558263042799129</v>
      </c>
    </row>
    <row r="1136" spans="1:12" ht="14" x14ac:dyDescent="0.15">
      <c r="A1136" s="1">
        <v>11135</v>
      </c>
      <c r="B1136" s="2">
        <v>45696</v>
      </c>
      <c r="C1136" s="1" t="s">
        <v>9</v>
      </c>
      <c r="D1136" s="1" t="s">
        <v>15</v>
      </c>
      <c r="E1136" s="1" t="s">
        <v>16</v>
      </c>
      <c r="F1136" s="1" t="s">
        <v>22</v>
      </c>
      <c r="G1136" s="4">
        <v>566.30999999999995</v>
      </c>
      <c r="H1136" s="1">
        <v>1</v>
      </c>
      <c r="I1136" s="1" t="str">
        <f>TEXT(SalesTable[[#This Row],[Order_Date]],"mmm")</f>
        <v>Feb</v>
      </c>
      <c r="J1136" s="1">
        <f>YEAR(SalesTable[[#This Row],[Order_Date]])</f>
        <v>2025</v>
      </c>
      <c r="K1136" s="4">
        <v>117.68</v>
      </c>
      <c r="L1136" s="9">
        <f>SalesTable[[#This Row],[Profit]]/SalesTable[[#This Row],[Sales]]</f>
        <v>0.2078013808691353</v>
      </c>
    </row>
    <row r="1137" spans="1:12" ht="14" x14ac:dyDescent="0.15">
      <c r="A1137" s="1">
        <v>11136</v>
      </c>
      <c r="B1137" s="2">
        <v>45697</v>
      </c>
      <c r="C1137" s="1" t="s">
        <v>9</v>
      </c>
      <c r="D1137" s="1" t="s">
        <v>15</v>
      </c>
      <c r="E1137" s="1" t="s">
        <v>16</v>
      </c>
      <c r="F1137" s="1" t="s">
        <v>21</v>
      </c>
      <c r="G1137" s="4">
        <v>119.1</v>
      </c>
      <c r="H1137" s="1">
        <v>1</v>
      </c>
      <c r="I1137" s="1" t="str">
        <f>TEXT(SalesTable[[#This Row],[Order_Date]],"mmm")</f>
        <v>Feb</v>
      </c>
      <c r="J1137" s="1">
        <f>YEAR(SalesTable[[#This Row],[Order_Date]])</f>
        <v>2025</v>
      </c>
      <c r="K1137" s="4">
        <v>195.92</v>
      </c>
      <c r="L1137" s="9">
        <f>SalesTable[[#This Row],[Profit]]/SalesTable[[#This Row],[Sales]]</f>
        <v>1.6450041981528127</v>
      </c>
    </row>
    <row r="1138" spans="1:12" ht="14" x14ac:dyDescent="0.15">
      <c r="A1138" s="1">
        <v>11137</v>
      </c>
      <c r="B1138" s="2">
        <v>45698</v>
      </c>
      <c r="C1138" s="1" t="s">
        <v>9</v>
      </c>
      <c r="D1138" s="1" t="s">
        <v>14</v>
      </c>
      <c r="E1138" s="1" t="s">
        <v>20</v>
      </c>
      <c r="F1138" s="1" t="s">
        <v>25</v>
      </c>
      <c r="G1138" s="4">
        <v>800.62</v>
      </c>
      <c r="H1138" s="1">
        <v>7</v>
      </c>
      <c r="I1138" s="1" t="str">
        <f>TEXT(SalesTable[[#This Row],[Order_Date]],"mmm")</f>
        <v>Feb</v>
      </c>
      <c r="J1138" s="1">
        <f>YEAR(SalesTable[[#This Row],[Order_Date]])</f>
        <v>2025</v>
      </c>
      <c r="K1138" s="4">
        <v>182.37</v>
      </c>
      <c r="L1138" s="9">
        <f>SalesTable[[#This Row],[Profit]]/SalesTable[[#This Row],[Sales]]</f>
        <v>0.22778596587644576</v>
      </c>
    </row>
    <row r="1139" spans="1:12" ht="14" x14ac:dyDescent="0.15">
      <c r="A1139" s="1">
        <v>11138</v>
      </c>
      <c r="B1139" s="2">
        <v>45699</v>
      </c>
      <c r="C1139" s="1" t="s">
        <v>12</v>
      </c>
      <c r="D1139" s="1" t="s">
        <v>14</v>
      </c>
      <c r="E1139" s="1" t="s">
        <v>17</v>
      </c>
      <c r="F1139" s="1" t="s">
        <v>22</v>
      </c>
      <c r="G1139" s="4">
        <v>256.89</v>
      </c>
      <c r="H1139" s="1">
        <v>7</v>
      </c>
      <c r="I1139" s="1" t="str">
        <f>TEXT(SalesTable[[#This Row],[Order_Date]],"mmm")</f>
        <v>Feb</v>
      </c>
      <c r="J1139" s="1">
        <f>YEAR(SalesTable[[#This Row],[Order_Date]])</f>
        <v>2025</v>
      </c>
      <c r="K1139" s="4">
        <v>113.68</v>
      </c>
      <c r="L1139" s="9">
        <f>SalesTable[[#This Row],[Profit]]/SalesTable[[#This Row],[Sales]]</f>
        <v>0.44252403752578928</v>
      </c>
    </row>
    <row r="1140" spans="1:12" ht="14" x14ac:dyDescent="0.15">
      <c r="A1140" s="1">
        <v>11139</v>
      </c>
      <c r="B1140" s="2">
        <v>45700</v>
      </c>
      <c r="C1140" s="1" t="s">
        <v>10</v>
      </c>
      <c r="D1140" s="1" t="s">
        <v>15</v>
      </c>
      <c r="E1140" s="1" t="s">
        <v>20</v>
      </c>
      <c r="F1140" s="1" t="s">
        <v>21</v>
      </c>
      <c r="G1140" s="4">
        <v>693.19</v>
      </c>
      <c r="H1140" s="1">
        <v>2</v>
      </c>
      <c r="I1140" s="1" t="str">
        <f>TEXT(SalesTable[[#This Row],[Order_Date]],"mmm")</f>
        <v>Feb</v>
      </c>
      <c r="J1140" s="1">
        <f>YEAR(SalesTable[[#This Row],[Order_Date]])</f>
        <v>2025</v>
      </c>
      <c r="K1140" s="4">
        <v>171.56</v>
      </c>
      <c r="L1140" s="9">
        <f>SalesTable[[#This Row],[Profit]]/SalesTable[[#This Row],[Sales]]</f>
        <v>0.24749347220819687</v>
      </c>
    </row>
    <row r="1141" spans="1:12" ht="14" x14ac:dyDescent="0.15">
      <c r="A1141" s="1">
        <v>11140</v>
      </c>
      <c r="B1141" s="2">
        <v>45701</v>
      </c>
      <c r="C1141" s="1" t="s">
        <v>11</v>
      </c>
      <c r="D1141" s="1" t="s">
        <v>15</v>
      </c>
      <c r="E1141" s="1" t="s">
        <v>16</v>
      </c>
      <c r="F1141" s="1" t="s">
        <v>23</v>
      </c>
      <c r="G1141" s="4">
        <v>813.05</v>
      </c>
      <c r="H1141" s="1">
        <v>9</v>
      </c>
      <c r="I1141" s="1" t="str">
        <f>TEXT(SalesTable[[#This Row],[Order_Date]],"mmm")</f>
        <v>Feb</v>
      </c>
      <c r="J1141" s="1">
        <f>YEAR(SalesTable[[#This Row],[Order_Date]])</f>
        <v>2025</v>
      </c>
      <c r="K1141" s="4">
        <v>249.42</v>
      </c>
      <c r="L1141" s="9">
        <f>SalesTable[[#This Row],[Profit]]/SalesTable[[#This Row],[Sales]]</f>
        <v>0.30677080130373285</v>
      </c>
    </row>
    <row r="1142" spans="1:12" ht="14" x14ac:dyDescent="0.15">
      <c r="A1142" s="1">
        <v>11141</v>
      </c>
      <c r="B1142" s="2">
        <v>45702</v>
      </c>
      <c r="C1142" s="1" t="s">
        <v>12</v>
      </c>
      <c r="D1142" s="1" t="s">
        <v>15</v>
      </c>
      <c r="E1142" s="1" t="s">
        <v>19</v>
      </c>
      <c r="F1142" s="1" t="s">
        <v>23</v>
      </c>
      <c r="G1142" s="4">
        <v>583.78</v>
      </c>
      <c r="H1142" s="1">
        <v>9</v>
      </c>
      <c r="I1142" s="1" t="str">
        <f>TEXT(SalesTable[[#This Row],[Order_Date]],"mmm")</f>
        <v>Feb</v>
      </c>
      <c r="J1142" s="1">
        <f>YEAR(SalesTable[[#This Row],[Order_Date]])</f>
        <v>2025</v>
      </c>
      <c r="K1142" s="4">
        <v>72.91</v>
      </c>
      <c r="L1142" s="9">
        <f>SalesTable[[#This Row],[Profit]]/SalesTable[[#This Row],[Sales]]</f>
        <v>0.12489293912090171</v>
      </c>
    </row>
    <row r="1143" spans="1:12" ht="14" x14ac:dyDescent="0.15">
      <c r="A1143" s="1">
        <v>11142</v>
      </c>
      <c r="B1143" s="2">
        <v>45703</v>
      </c>
      <c r="C1143" s="1" t="s">
        <v>11</v>
      </c>
      <c r="D1143" s="1" t="s">
        <v>14</v>
      </c>
      <c r="E1143" s="1" t="s">
        <v>16</v>
      </c>
      <c r="F1143" s="1" t="s">
        <v>23</v>
      </c>
      <c r="G1143" s="4">
        <v>753.84</v>
      </c>
      <c r="H1143" s="1">
        <v>5</v>
      </c>
      <c r="I1143" s="1" t="str">
        <f>TEXT(SalesTable[[#This Row],[Order_Date]],"mmm")</f>
        <v>Feb</v>
      </c>
      <c r="J1143" s="1">
        <f>YEAR(SalesTable[[#This Row],[Order_Date]])</f>
        <v>2025</v>
      </c>
      <c r="K1143" s="4">
        <v>65.11</v>
      </c>
      <c r="L1143" s="9">
        <f>SalesTable[[#This Row],[Profit]]/SalesTable[[#This Row],[Sales]]</f>
        <v>8.6371113233577407E-2</v>
      </c>
    </row>
    <row r="1144" spans="1:12" ht="14" x14ac:dyDescent="0.15">
      <c r="A1144" s="1">
        <v>11143</v>
      </c>
      <c r="B1144" s="2">
        <v>45704</v>
      </c>
      <c r="C1144" s="1" t="s">
        <v>10</v>
      </c>
      <c r="D1144" s="1" t="s">
        <v>15</v>
      </c>
      <c r="E1144" s="1" t="s">
        <v>20</v>
      </c>
      <c r="F1144" s="1" t="s">
        <v>25</v>
      </c>
      <c r="G1144" s="4">
        <v>678.77</v>
      </c>
      <c r="H1144" s="1">
        <v>3</v>
      </c>
      <c r="I1144" s="1" t="str">
        <f>TEXT(SalesTable[[#This Row],[Order_Date]],"mmm")</f>
        <v>Feb</v>
      </c>
      <c r="J1144" s="1">
        <f>YEAR(SalesTable[[#This Row],[Order_Date]])</f>
        <v>2025</v>
      </c>
      <c r="K1144" s="4">
        <v>205.7</v>
      </c>
      <c r="L1144" s="9">
        <f>SalesTable[[#This Row],[Profit]]/SalesTable[[#This Row],[Sales]]</f>
        <v>0.30304816064351692</v>
      </c>
    </row>
    <row r="1145" spans="1:12" ht="14" x14ac:dyDescent="0.15">
      <c r="A1145" s="1">
        <v>11144</v>
      </c>
      <c r="B1145" s="2">
        <v>45705</v>
      </c>
      <c r="C1145" s="1" t="s">
        <v>9</v>
      </c>
      <c r="D1145" s="1" t="s">
        <v>15</v>
      </c>
      <c r="E1145" s="1" t="s">
        <v>17</v>
      </c>
      <c r="F1145" s="1" t="s">
        <v>23</v>
      </c>
      <c r="G1145" s="4">
        <v>387.75</v>
      </c>
      <c r="H1145" s="1">
        <v>3</v>
      </c>
      <c r="I1145" s="1" t="str">
        <f>TEXT(SalesTable[[#This Row],[Order_Date]],"mmm")</f>
        <v>Feb</v>
      </c>
      <c r="J1145" s="1">
        <f>YEAR(SalesTable[[#This Row],[Order_Date]])</f>
        <v>2025</v>
      </c>
      <c r="K1145" s="4">
        <v>133.02000000000001</v>
      </c>
      <c r="L1145" s="9">
        <f>SalesTable[[#This Row],[Profit]]/SalesTable[[#This Row],[Sales]]</f>
        <v>0.34305609284332689</v>
      </c>
    </row>
    <row r="1146" spans="1:12" ht="14" x14ac:dyDescent="0.15">
      <c r="A1146" s="1">
        <v>11145</v>
      </c>
      <c r="B1146" s="2">
        <v>45706</v>
      </c>
      <c r="C1146" s="1" t="s">
        <v>10</v>
      </c>
      <c r="D1146" s="1" t="s">
        <v>15</v>
      </c>
      <c r="E1146" s="1" t="s">
        <v>17</v>
      </c>
      <c r="F1146" s="1" t="s">
        <v>24</v>
      </c>
      <c r="G1146" s="4">
        <v>818.42</v>
      </c>
      <c r="H1146" s="1">
        <v>3</v>
      </c>
      <c r="I1146" s="1" t="str">
        <f>TEXT(SalesTable[[#This Row],[Order_Date]],"mmm")</f>
        <v>Feb</v>
      </c>
      <c r="J1146" s="1">
        <f>YEAR(SalesTable[[#This Row],[Order_Date]])</f>
        <v>2025</v>
      </c>
      <c r="K1146" s="4">
        <v>-71.599999999999994</v>
      </c>
      <c r="L1146" s="9">
        <f>SalesTable[[#This Row],[Profit]]/SalesTable[[#This Row],[Sales]]</f>
        <v>-8.7485643068351215E-2</v>
      </c>
    </row>
    <row r="1147" spans="1:12" ht="14" x14ac:dyDescent="0.15">
      <c r="A1147" s="1">
        <v>11146</v>
      </c>
      <c r="B1147" s="2">
        <v>45707</v>
      </c>
      <c r="C1147" s="1" t="s">
        <v>12</v>
      </c>
      <c r="D1147" s="1" t="s">
        <v>13</v>
      </c>
      <c r="E1147" s="1" t="s">
        <v>20</v>
      </c>
      <c r="F1147" s="1" t="s">
        <v>22</v>
      </c>
      <c r="G1147" s="4">
        <v>329.97</v>
      </c>
      <c r="H1147" s="1">
        <v>6</v>
      </c>
      <c r="I1147" s="1" t="str">
        <f>TEXT(SalesTable[[#This Row],[Order_Date]],"mmm")</f>
        <v>Feb</v>
      </c>
      <c r="J1147" s="1">
        <f>YEAR(SalesTable[[#This Row],[Order_Date]])</f>
        <v>2025</v>
      </c>
      <c r="K1147" s="4">
        <v>256.83999999999997</v>
      </c>
      <c r="L1147" s="9">
        <f>SalesTable[[#This Row],[Profit]]/SalesTable[[#This Row],[Sales]]</f>
        <v>0.77837379155680808</v>
      </c>
    </row>
    <row r="1148" spans="1:12" ht="14" x14ac:dyDescent="0.15">
      <c r="A1148" s="1">
        <v>11147</v>
      </c>
      <c r="B1148" s="2">
        <v>45708</v>
      </c>
      <c r="C1148" s="1" t="s">
        <v>9</v>
      </c>
      <c r="D1148" s="1" t="s">
        <v>15</v>
      </c>
      <c r="E1148" s="1" t="s">
        <v>17</v>
      </c>
      <c r="F1148" s="1" t="s">
        <v>25</v>
      </c>
      <c r="G1148" s="4">
        <v>592.65</v>
      </c>
      <c r="H1148" s="1">
        <v>4</v>
      </c>
      <c r="I1148" s="1" t="str">
        <f>TEXT(SalesTable[[#This Row],[Order_Date]],"mmm")</f>
        <v>Feb</v>
      </c>
      <c r="J1148" s="1">
        <f>YEAR(SalesTable[[#This Row],[Order_Date]])</f>
        <v>2025</v>
      </c>
      <c r="K1148" s="4">
        <v>-87.69</v>
      </c>
      <c r="L1148" s="9">
        <f>SalesTable[[#This Row],[Profit]]/SalesTable[[#This Row],[Sales]]</f>
        <v>-0.14796254112882815</v>
      </c>
    </row>
    <row r="1149" spans="1:12" ht="14" x14ac:dyDescent="0.15">
      <c r="A1149" s="1">
        <v>11148</v>
      </c>
      <c r="B1149" s="2">
        <v>45709</v>
      </c>
      <c r="C1149" s="1" t="s">
        <v>12</v>
      </c>
      <c r="D1149" s="1" t="s">
        <v>13</v>
      </c>
      <c r="E1149" s="1" t="s">
        <v>18</v>
      </c>
      <c r="F1149" s="1" t="s">
        <v>23</v>
      </c>
      <c r="G1149" s="4">
        <v>758.13</v>
      </c>
      <c r="H1149" s="1">
        <v>8</v>
      </c>
      <c r="I1149" s="1" t="str">
        <f>TEXT(SalesTable[[#This Row],[Order_Date]],"mmm")</f>
        <v>Feb</v>
      </c>
      <c r="J1149" s="1">
        <f>YEAR(SalesTable[[#This Row],[Order_Date]])</f>
        <v>2025</v>
      </c>
      <c r="K1149" s="4">
        <v>199.36</v>
      </c>
      <c r="L1149" s="9">
        <f>SalesTable[[#This Row],[Profit]]/SalesTable[[#This Row],[Sales]]</f>
        <v>0.26296281640351921</v>
      </c>
    </row>
    <row r="1150" spans="1:12" ht="14" x14ac:dyDescent="0.15">
      <c r="A1150" s="1">
        <v>11149</v>
      </c>
      <c r="B1150" s="2">
        <v>45710</v>
      </c>
      <c r="C1150" s="1" t="s">
        <v>9</v>
      </c>
      <c r="D1150" s="1" t="s">
        <v>13</v>
      </c>
      <c r="E1150" s="1" t="s">
        <v>19</v>
      </c>
      <c r="F1150" s="1" t="s">
        <v>22</v>
      </c>
      <c r="G1150" s="4">
        <v>410.01</v>
      </c>
      <c r="H1150" s="1">
        <v>5</v>
      </c>
      <c r="I1150" s="1" t="str">
        <f>TEXT(SalesTable[[#This Row],[Order_Date]],"mmm")</f>
        <v>Feb</v>
      </c>
      <c r="J1150" s="1">
        <f>YEAR(SalesTable[[#This Row],[Order_Date]])</f>
        <v>2025</v>
      </c>
      <c r="K1150" s="4">
        <v>203.52</v>
      </c>
      <c r="L1150" s="9">
        <f>SalesTable[[#This Row],[Profit]]/SalesTable[[#This Row],[Sales]]</f>
        <v>0.4963781371186069</v>
      </c>
    </row>
    <row r="1151" spans="1:12" ht="14" x14ac:dyDescent="0.15">
      <c r="A1151" s="1">
        <v>11150</v>
      </c>
      <c r="B1151" s="2">
        <v>45711</v>
      </c>
      <c r="C1151" s="1" t="s">
        <v>11</v>
      </c>
      <c r="D1151" s="1" t="s">
        <v>15</v>
      </c>
      <c r="E1151" s="1" t="s">
        <v>19</v>
      </c>
      <c r="F1151" s="1" t="s">
        <v>21</v>
      </c>
      <c r="G1151" s="4">
        <v>337.63</v>
      </c>
      <c r="H1151" s="1">
        <v>1</v>
      </c>
      <c r="I1151" s="1" t="str">
        <f>TEXT(SalesTable[[#This Row],[Order_Date]],"mmm")</f>
        <v>Feb</v>
      </c>
      <c r="J1151" s="1">
        <f>YEAR(SalesTable[[#This Row],[Order_Date]])</f>
        <v>2025</v>
      </c>
      <c r="K1151" s="4">
        <v>281.24</v>
      </c>
      <c r="L1151" s="9">
        <f>SalesTable[[#This Row],[Profit]]/SalesTable[[#This Row],[Sales]]</f>
        <v>0.83298285104996594</v>
      </c>
    </row>
    <row r="1152" spans="1:12" ht="14" x14ac:dyDescent="0.15">
      <c r="A1152" s="1">
        <v>11151</v>
      </c>
      <c r="B1152" s="2">
        <v>45712</v>
      </c>
      <c r="C1152" s="1" t="s">
        <v>11</v>
      </c>
      <c r="D1152" s="1" t="s">
        <v>13</v>
      </c>
      <c r="E1152" s="1" t="s">
        <v>19</v>
      </c>
      <c r="F1152" s="1" t="s">
        <v>23</v>
      </c>
      <c r="G1152" s="4">
        <v>486.38</v>
      </c>
      <c r="H1152" s="1">
        <v>9</v>
      </c>
      <c r="I1152" s="1" t="str">
        <f>TEXT(SalesTable[[#This Row],[Order_Date]],"mmm")</f>
        <v>Feb</v>
      </c>
      <c r="J1152" s="1">
        <f>YEAR(SalesTable[[#This Row],[Order_Date]])</f>
        <v>2025</v>
      </c>
      <c r="K1152" s="4">
        <v>-78.349999999999994</v>
      </c>
      <c r="L1152" s="9">
        <f>SalesTable[[#This Row],[Profit]]/SalesTable[[#This Row],[Sales]]</f>
        <v>-0.16108803815946379</v>
      </c>
    </row>
    <row r="1153" spans="1:12" ht="14" x14ac:dyDescent="0.15">
      <c r="A1153" s="1">
        <v>11152</v>
      </c>
      <c r="B1153" s="2">
        <v>45713</v>
      </c>
      <c r="C1153" s="1" t="s">
        <v>11</v>
      </c>
      <c r="D1153" s="1" t="s">
        <v>15</v>
      </c>
      <c r="E1153" s="1" t="s">
        <v>17</v>
      </c>
      <c r="F1153" s="1" t="s">
        <v>22</v>
      </c>
      <c r="G1153" s="4">
        <v>827.07</v>
      </c>
      <c r="H1153" s="1">
        <v>1</v>
      </c>
      <c r="I1153" s="1" t="str">
        <f>TEXT(SalesTable[[#This Row],[Order_Date]],"mmm")</f>
        <v>Feb</v>
      </c>
      <c r="J1153" s="1">
        <f>YEAR(SalesTable[[#This Row],[Order_Date]])</f>
        <v>2025</v>
      </c>
      <c r="K1153" s="4">
        <v>138.74</v>
      </c>
      <c r="L1153" s="9">
        <f>SalesTable[[#This Row],[Profit]]/SalesTable[[#This Row],[Sales]]</f>
        <v>0.16774879998065459</v>
      </c>
    </row>
    <row r="1154" spans="1:12" ht="14" x14ac:dyDescent="0.15">
      <c r="A1154" s="1">
        <v>11153</v>
      </c>
      <c r="B1154" s="2">
        <v>45714</v>
      </c>
      <c r="C1154" s="1" t="s">
        <v>10</v>
      </c>
      <c r="D1154" s="1" t="s">
        <v>14</v>
      </c>
      <c r="E1154" s="1" t="s">
        <v>17</v>
      </c>
      <c r="F1154" s="1" t="s">
        <v>24</v>
      </c>
      <c r="G1154" s="4">
        <v>933.43</v>
      </c>
      <c r="H1154" s="1">
        <v>6</v>
      </c>
      <c r="I1154" s="1" t="str">
        <f>TEXT(SalesTable[[#This Row],[Order_Date]],"mmm")</f>
        <v>Feb</v>
      </c>
      <c r="J1154" s="1">
        <f>YEAR(SalesTable[[#This Row],[Order_Date]])</f>
        <v>2025</v>
      </c>
      <c r="K1154" s="4">
        <v>71.14</v>
      </c>
      <c r="L1154" s="9">
        <f>SalesTable[[#This Row],[Profit]]/SalesTable[[#This Row],[Sales]]</f>
        <v>7.6213535026729382E-2</v>
      </c>
    </row>
    <row r="1155" spans="1:12" ht="14" x14ac:dyDescent="0.15">
      <c r="A1155" s="1">
        <v>11154</v>
      </c>
      <c r="B1155" s="2">
        <v>45715</v>
      </c>
      <c r="C1155" s="1" t="s">
        <v>12</v>
      </c>
      <c r="D1155" s="1" t="s">
        <v>14</v>
      </c>
      <c r="E1155" s="1" t="s">
        <v>16</v>
      </c>
      <c r="F1155" s="1" t="s">
        <v>21</v>
      </c>
      <c r="G1155" s="4">
        <v>567.83000000000004</v>
      </c>
      <c r="H1155" s="1">
        <v>1</v>
      </c>
      <c r="I1155" s="1" t="str">
        <f>TEXT(SalesTable[[#This Row],[Order_Date]],"mmm")</f>
        <v>Feb</v>
      </c>
      <c r="J1155" s="1">
        <f>YEAR(SalesTable[[#This Row],[Order_Date]])</f>
        <v>2025</v>
      </c>
      <c r="K1155" s="4">
        <v>32.25</v>
      </c>
      <c r="L1155" s="9">
        <f>SalesTable[[#This Row],[Profit]]/SalesTable[[#This Row],[Sales]]</f>
        <v>5.6795167567757952E-2</v>
      </c>
    </row>
    <row r="1156" spans="1:12" ht="14" x14ac:dyDescent="0.15">
      <c r="A1156" s="1">
        <v>11155</v>
      </c>
      <c r="B1156" s="2">
        <v>45716</v>
      </c>
      <c r="C1156" s="1" t="s">
        <v>10</v>
      </c>
      <c r="D1156" s="1" t="s">
        <v>14</v>
      </c>
      <c r="E1156" s="1" t="s">
        <v>16</v>
      </c>
      <c r="F1156" s="1" t="s">
        <v>24</v>
      </c>
      <c r="G1156" s="4">
        <v>678.39</v>
      </c>
      <c r="H1156" s="1">
        <v>3</v>
      </c>
      <c r="I1156" s="1" t="str">
        <f>TEXT(SalesTable[[#This Row],[Order_Date]],"mmm")</f>
        <v>Feb</v>
      </c>
      <c r="J1156" s="1">
        <f>YEAR(SalesTable[[#This Row],[Order_Date]])</f>
        <v>2025</v>
      </c>
      <c r="K1156" s="4">
        <v>-63.87</v>
      </c>
      <c r="L1156" s="9">
        <f>SalesTable[[#This Row],[Profit]]/SalesTable[[#This Row],[Sales]]</f>
        <v>-9.414938309821784E-2</v>
      </c>
    </row>
    <row r="1157" spans="1:12" ht="14" x14ac:dyDescent="0.15">
      <c r="A1157" s="1">
        <v>11156</v>
      </c>
      <c r="B1157" s="2">
        <v>45717</v>
      </c>
      <c r="C1157" s="1" t="s">
        <v>11</v>
      </c>
      <c r="D1157" s="1" t="s">
        <v>14</v>
      </c>
      <c r="E1157" s="1" t="s">
        <v>19</v>
      </c>
      <c r="F1157" s="1" t="s">
        <v>22</v>
      </c>
      <c r="G1157" s="4">
        <v>908.11</v>
      </c>
      <c r="H1157" s="1">
        <v>5</v>
      </c>
      <c r="I1157" s="1" t="str">
        <f>TEXT(SalesTable[[#This Row],[Order_Date]],"mmm")</f>
        <v>Mar</v>
      </c>
      <c r="J1157" s="1">
        <f>YEAR(SalesTable[[#This Row],[Order_Date]])</f>
        <v>2025</v>
      </c>
      <c r="K1157" s="4">
        <v>125.06</v>
      </c>
      <c r="L1157" s="9">
        <f>SalesTable[[#This Row],[Profit]]/SalesTable[[#This Row],[Sales]]</f>
        <v>0.1377145940469767</v>
      </c>
    </row>
    <row r="1158" spans="1:12" ht="14" x14ac:dyDescent="0.15">
      <c r="A1158" s="1">
        <v>11157</v>
      </c>
      <c r="B1158" s="2">
        <v>45718</v>
      </c>
      <c r="C1158" s="1" t="s">
        <v>12</v>
      </c>
      <c r="D1158" s="1" t="s">
        <v>13</v>
      </c>
      <c r="E1158" s="1" t="s">
        <v>18</v>
      </c>
      <c r="F1158" s="1" t="s">
        <v>24</v>
      </c>
      <c r="G1158" s="4">
        <v>143.62</v>
      </c>
      <c r="H1158" s="1">
        <v>7</v>
      </c>
      <c r="I1158" s="1" t="str">
        <f>TEXT(SalesTable[[#This Row],[Order_Date]],"mmm")</f>
        <v>Mar</v>
      </c>
      <c r="J1158" s="1">
        <f>YEAR(SalesTable[[#This Row],[Order_Date]])</f>
        <v>2025</v>
      </c>
      <c r="K1158" s="4">
        <v>91.62</v>
      </c>
      <c r="L1158" s="9">
        <f>SalesTable[[#This Row],[Profit]]/SalesTable[[#This Row],[Sales]]</f>
        <v>0.63793343545467207</v>
      </c>
    </row>
    <row r="1159" spans="1:12" ht="14" x14ac:dyDescent="0.15">
      <c r="A1159" s="1">
        <v>11158</v>
      </c>
      <c r="B1159" s="2">
        <v>45719</v>
      </c>
      <c r="C1159" s="1" t="s">
        <v>11</v>
      </c>
      <c r="D1159" s="1" t="s">
        <v>15</v>
      </c>
      <c r="E1159" s="1" t="s">
        <v>16</v>
      </c>
      <c r="F1159" s="1" t="s">
        <v>22</v>
      </c>
      <c r="G1159" s="4">
        <v>270.47000000000003</v>
      </c>
      <c r="H1159" s="1">
        <v>8</v>
      </c>
      <c r="I1159" s="1" t="str">
        <f>TEXT(SalesTable[[#This Row],[Order_Date]],"mmm")</f>
        <v>Mar</v>
      </c>
      <c r="J1159" s="1">
        <f>YEAR(SalesTable[[#This Row],[Order_Date]])</f>
        <v>2025</v>
      </c>
      <c r="K1159" s="4">
        <v>-58.18</v>
      </c>
      <c r="L1159" s="9">
        <f>SalesTable[[#This Row],[Profit]]/SalesTable[[#This Row],[Sales]]</f>
        <v>-0.21510703590046953</v>
      </c>
    </row>
    <row r="1160" spans="1:12" ht="14" x14ac:dyDescent="0.15">
      <c r="A1160" s="1">
        <v>11159</v>
      </c>
      <c r="B1160" s="2">
        <v>45720</v>
      </c>
      <c r="C1160" s="1" t="s">
        <v>10</v>
      </c>
      <c r="D1160" s="1" t="s">
        <v>15</v>
      </c>
      <c r="E1160" s="1" t="s">
        <v>16</v>
      </c>
      <c r="F1160" s="1" t="s">
        <v>22</v>
      </c>
      <c r="G1160" s="4">
        <v>723.46</v>
      </c>
      <c r="H1160" s="1">
        <v>9</v>
      </c>
      <c r="I1160" s="1" t="str">
        <f>TEXT(SalesTable[[#This Row],[Order_Date]],"mmm")</f>
        <v>Mar</v>
      </c>
      <c r="J1160" s="1">
        <f>YEAR(SalesTable[[#This Row],[Order_Date]])</f>
        <v>2025</v>
      </c>
      <c r="K1160" s="4">
        <v>145</v>
      </c>
      <c r="L1160" s="9">
        <f>SalesTable[[#This Row],[Profit]]/SalesTable[[#This Row],[Sales]]</f>
        <v>0.20042573189948304</v>
      </c>
    </row>
    <row r="1161" spans="1:12" ht="14" x14ac:dyDescent="0.15">
      <c r="A1161" s="1">
        <v>11160</v>
      </c>
      <c r="B1161" s="2">
        <v>45721</v>
      </c>
      <c r="C1161" s="1" t="s">
        <v>10</v>
      </c>
      <c r="D1161" s="1" t="s">
        <v>15</v>
      </c>
      <c r="E1161" s="1" t="s">
        <v>17</v>
      </c>
      <c r="F1161" s="1" t="s">
        <v>24</v>
      </c>
      <c r="G1161" s="4">
        <v>832.56</v>
      </c>
      <c r="H1161" s="1">
        <v>6</v>
      </c>
      <c r="I1161" s="1" t="str">
        <f>TEXT(SalesTable[[#This Row],[Order_Date]],"mmm")</f>
        <v>Mar</v>
      </c>
      <c r="J1161" s="1">
        <f>YEAR(SalesTable[[#This Row],[Order_Date]])</f>
        <v>2025</v>
      </c>
      <c r="K1161" s="4">
        <v>195.18</v>
      </c>
      <c r="L1161" s="9">
        <f>SalesTable[[#This Row],[Profit]]/SalesTable[[#This Row],[Sales]]</f>
        <v>0.23443355433842608</v>
      </c>
    </row>
    <row r="1162" spans="1:12" ht="14" x14ac:dyDescent="0.15">
      <c r="A1162" s="1">
        <v>11161</v>
      </c>
      <c r="B1162" s="2">
        <v>45722</v>
      </c>
      <c r="C1162" s="1" t="s">
        <v>10</v>
      </c>
      <c r="D1162" s="1" t="s">
        <v>14</v>
      </c>
      <c r="E1162" s="1" t="s">
        <v>18</v>
      </c>
      <c r="F1162" s="1" t="s">
        <v>22</v>
      </c>
      <c r="G1162" s="4">
        <v>864.18</v>
      </c>
      <c r="H1162" s="1">
        <v>9</v>
      </c>
      <c r="I1162" s="1" t="str">
        <f>TEXT(SalesTable[[#This Row],[Order_Date]],"mmm")</f>
        <v>Mar</v>
      </c>
      <c r="J1162" s="1">
        <f>YEAR(SalesTable[[#This Row],[Order_Date]])</f>
        <v>2025</v>
      </c>
      <c r="K1162" s="4">
        <v>206.91</v>
      </c>
      <c r="L1162" s="9">
        <f>SalesTable[[#This Row],[Profit]]/SalesTable[[#This Row],[Sales]]</f>
        <v>0.23942928556550719</v>
      </c>
    </row>
    <row r="1163" spans="1:12" ht="14" x14ac:dyDescent="0.15">
      <c r="A1163" s="1">
        <v>11162</v>
      </c>
      <c r="B1163" s="2">
        <v>45723</v>
      </c>
      <c r="C1163" s="1" t="s">
        <v>11</v>
      </c>
      <c r="D1163" s="1" t="s">
        <v>14</v>
      </c>
      <c r="E1163" s="1" t="s">
        <v>19</v>
      </c>
      <c r="F1163" s="1" t="s">
        <v>23</v>
      </c>
      <c r="G1163" s="4">
        <v>444.35</v>
      </c>
      <c r="H1163" s="1">
        <v>8</v>
      </c>
      <c r="I1163" s="1" t="str">
        <f>TEXT(SalesTable[[#This Row],[Order_Date]],"mmm")</f>
        <v>Mar</v>
      </c>
      <c r="J1163" s="1">
        <f>YEAR(SalesTable[[#This Row],[Order_Date]])</f>
        <v>2025</v>
      </c>
      <c r="K1163" s="4">
        <v>262.14999999999998</v>
      </c>
      <c r="L1163" s="9">
        <f>SalesTable[[#This Row],[Profit]]/SalesTable[[#This Row],[Sales]]</f>
        <v>0.5899628671092606</v>
      </c>
    </row>
    <row r="1164" spans="1:12" ht="14" x14ac:dyDescent="0.15">
      <c r="A1164" s="1">
        <v>11163</v>
      </c>
      <c r="B1164" s="2">
        <v>45724</v>
      </c>
      <c r="C1164" s="1" t="s">
        <v>12</v>
      </c>
      <c r="D1164" s="1" t="s">
        <v>15</v>
      </c>
      <c r="E1164" s="1" t="s">
        <v>16</v>
      </c>
      <c r="F1164" s="1" t="s">
        <v>22</v>
      </c>
      <c r="G1164" s="4">
        <v>134.87</v>
      </c>
      <c r="H1164" s="1">
        <v>9</v>
      </c>
      <c r="I1164" s="1" t="str">
        <f>TEXT(SalesTable[[#This Row],[Order_Date]],"mmm")</f>
        <v>Mar</v>
      </c>
      <c r="J1164" s="1">
        <f>YEAR(SalesTable[[#This Row],[Order_Date]])</f>
        <v>2025</v>
      </c>
      <c r="K1164" s="4">
        <v>63.79</v>
      </c>
      <c r="L1164" s="9">
        <f>SalesTable[[#This Row],[Profit]]/SalesTable[[#This Row],[Sales]]</f>
        <v>0.47297397493882998</v>
      </c>
    </row>
    <row r="1165" spans="1:12" ht="14" x14ac:dyDescent="0.15">
      <c r="A1165" s="1">
        <v>11164</v>
      </c>
      <c r="B1165" s="2">
        <v>45725</v>
      </c>
      <c r="C1165" s="1" t="s">
        <v>12</v>
      </c>
      <c r="D1165" s="1" t="s">
        <v>14</v>
      </c>
      <c r="E1165" s="1" t="s">
        <v>18</v>
      </c>
      <c r="F1165" s="1" t="s">
        <v>25</v>
      </c>
      <c r="G1165" s="4">
        <v>465.89</v>
      </c>
      <c r="H1165" s="1">
        <v>4</v>
      </c>
      <c r="I1165" s="1" t="str">
        <f>TEXT(SalesTable[[#This Row],[Order_Date]],"mmm")</f>
        <v>Mar</v>
      </c>
      <c r="J1165" s="1">
        <f>YEAR(SalesTable[[#This Row],[Order_Date]])</f>
        <v>2025</v>
      </c>
      <c r="K1165" s="4">
        <v>281.23</v>
      </c>
      <c r="L1165" s="9">
        <f>SalesTable[[#This Row],[Profit]]/SalesTable[[#This Row],[Sales]]</f>
        <v>0.6036403442872782</v>
      </c>
    </row>
    <row r="1166" spans="1:12" ht="14" x14ac:dyDescent="0.15">
      <c r="A1166" s="1">
        <v>11165</v>
      </c>
      <c r="B1166" s="2">
        <v>45726</v>
      </c>
      <c r="C1166" s="1" t="s">
        <v>11</v>
      </c>
      <c r="D1166" s="1" t="s">
        <v>15</v>
      </c>
      <c r="E1166" s="1" t="s">
        <v>18</v>
      </c>
      <c r="F1166" s="1" t="s">
        <v>22</v>
      </c>
      <c r="G1166" s="4">
        <v>269.2</v>
      </c>
      <c r="H1166" s="1">
        <v>9</v>
      </c>
      <c r="I1166" s="1" t="str">
        <f>TEXT(SalesTable[[#This Row],[Order_Date]],"mmm")</f>
        <v>Mar</v>
      </c>
      <c r="J1166" s="1">
        <f>YEAR(SalesTable[[#This Row],[Order_Date]])</f>
        <v>2025</v>
      </c>
      <c r="K1166" s="4">
        <v>246.17</v>
      </c>
      <c r="L1166" s="9">
        <f>SalesTable[[#This Row],[Profit]]/SalesTable[[#This Row],[Sales]]</f>
        <v>0.91445022288261513</v>
      </c>
    </row>
    <row r="1167" spans="1:12" ht="14" x14ac:dyDescent="0.15">
      <c r="A1167" s="1">
        <v>11166</v>
      </c>
      <c r="B1167" s="2">
        <v>45727</v>
      </c>
      <c r="C1167" s="1" t="s">
        <v>12</v>
      </c>
      <c r="D1167" s="1" t="s">
        <v>15</v>
      </c>
      <c r="E1167" s="1" t="s">
        <v>19</v>
      </c>
      <c r="F1167" s="1" t="s">
        <v>25</v>
      </c>
      <c r="G1167" s="4">
        <v>326.64</v>
      </c>
      <c r="H1167" s="1">
        <v>7</v>
      </c>
      <c r="I1167" s="1" t="str">
        <f>TEXT(SalesTable[[#This Row],[Order_Date]],"mmm")</f>
        <v>Mar</v>
      </c>
      <c r="J1167" s="1">
        <f>YEAR(SalesTable[[#This Row],[Order_Date]])</f>
        <v>2025</v>
      </c>
      <c r="K1167" s="4">
        <v>18.600000000000001</v>
      </c>
      <c r="L1167" s="9">
        <f>SalesTable[[#This Row],[Profit]]/SalesTable[[#This Row],[Sales]]</f>
        <v>5.6943423952975761E-2</v>
      </c>
    </row>
    <row r="1168" spans="1:12" ht="14" x14ac:dyDescent="0.15">
      <c r="A1168" s="1">
        <v>11167</v>
      </c>
      <c r="B1168" s="2">
        <v>45728</v>
      </c>
      <c r="C1168" s="1" t="s">
        <v>11</v>
      </c>
      <c r="D1168" s="1" t="s">
        <v>15</v>
      </c>
      <c r="E1168" s="1" t="s">
        <v>18</v>
      </c>
      <c r="F1168" s="1" t="s">
        <v>22</v>
      </c>
      <c r="G1168" s="4">
        <v>783.65</v>
      </c>
      <c r="H1168" s="1">
        <v>5</v>
      </c>
      <c r="I1168" s="1" t="str">
        <f>TEXT(SalesTable[[#This Row],[Order_Date]],"mmm")</f>
        <v>Mar</v>
      </c>
      <c r="J1168" s="1">
        <f>YEAR(SalesTable[[#This Row],[Order_Date]])</f>
        <v>2025</v>
      </c>
      <c r="K1168" s="4">
        <v>-36.29</v>
      </c>
      <c r="L1168" s="9">
        <f>SalesTable[[#This Row],[Profit]]/SalesTable[[#This Row],[Sales]]</f>
        <v>-4.6308938939577618E-2</v>
      </c>
    </row>
    <row r="1169" spans="1:12" ht="14" x14ac:dyDescent="0.15">
      <c r="A1169" s="1">
        <v>11168</v>
      </c>
      <c r="B1169" s="2">
        <v>45729</v>
      </c>
      <c r="C1169" s="1" t="s">
        <v>12</v>
      </c>
      <c r="D1169" s="1" t="s">
        <v>15</v>
      </c>
      <c r="E1169" s="1" t="s">
        <v>18</v>
      </c>
      <c r="F1169" s="1" t="s">
        <v>22</v>
      </c>
      <c r="G1169" s="4">
        <v>121.75</v>
      </c>
      <c r="H1169" s="1">
        <v>5</v>
      </c>
      <c r="I1169" s="1" t="str">
        <f>TEXT(SalesTable[[#This Row],[Order_Date]],"mmm")</f>
        <v>Mar</v>
      </c>
      <c r="J1169" s="1">
        <f>YEAR(SalesTable[[#This Row],[Order_Date]])</f>
        <v>2025</v>
      </c>
      <c r="K1169" s="4">
        <v>74.16</v>
      </c>
      <c r="L1169" s="9">
        <f>SalesTable[[#This Row],[Profit]]/SalesTable[[#This Row],[Sales]]</f>
        <v>0.60911704312114989</v>
      </c>
    </row>
    <row r="1170" spans="1:12" ht="14" x14ac:dyDescent="0.15">
      <c r="A1170" s="1">
        <v>11169</v>
      </c>
      <c r="B1170" s="2">
        <v>45730</v>
      </c>
      <c r="C1170" s="1" t="s">
        <v>9</v>
      </c>
      <c r="D1170" s="1" t="s">
        <v>15</v>
      </c>
      <c r="E1170" s="1" t="s">
        <v>18</v>
      </c>
      <c r="F1170" s="1" t="s">
        <v>24</v>
      </c>
      <c r="G1170" s="4">
        <v>836.2</v>
      </c>
      <c r="H1170" s="1">
        <v>1</v>
      </c>
      <c r="I1170" s="1" t="str">
        <f>TEXT(SalesTable[[#This Row],[Order_Date]],"mmm")</f>
        <v>Mar</v>
      </c>
      <c r="J1170" s="1">
        <f>YEAR(SalesTable[[#This Row],[Order_Date]])</f>
        <v>2025</v>
      </c>
      <c r="K1170" s="4">
        <v>60.76</v>
      </c>
      <c r="L1170" s="9">
        <f>SalesTable[[#This Row],[Profit]]/SalesTable[[#This Row],[Sales]]</f>
        <v>7.2662042573546998E-2</v>
      </c>
    </row>
    <row r="1171" spans="1:12" ht="14" x14ac:dyDescent="0.15">
      <c r="A1171" s="1">
        <v>11170</v>
      </c>
      <c r="B1171" s="2">
        <v>45731</v>
      </c>
      <c r="C1171" s="1" t="s">
        <v>9</v>
      </c>
      <c r="D1171" s="1" t="s">
        <v>15</v>
      </c>
      <c r="E1171" s="1" t="s">
        <v>16</v>
      </c>
      <c r="F1171" s="1" t="s">
        <v>23</v>
      </c>
      <c r="G1171" s="4">
        <v>456.29</v>
      </c>
      <c r="H1171" s="1">
        <v>2</v>
      </c>
      <c r="I1171" s="1" t="str">
        <f>TEXT(SalesTable[[#This Row],[Order_Date]],"mmm")</f>
        <v>Mar</v>
      </c>
      <c r="J1171" s="1">
        <f>YEAR(SalesTable[[#This Row],[Order_Date]])</f>
        <v>2025</v>
      </c>
      <c r="K1171" s="4">
        <v>130.29</v>
      </c>
      <c r="L1171" s="9">
        <f>SalesTable[[#This Row],[Profit]]/SalesTable[[#This Row],[Sales]]</f>
        <v>0.28554208946065002</v>
      </c>
    </row>
    <row r="1172" spans="1:12" ht="14" x14ac:dyDescent="0.15">
      <c r="A1172" s="1">
        <v>11171</v>
      </c>
      <c r="B1172" s="2">
        <v>45732</v>
      </c>
      <c r="C1172" s="1" t="s">
        <v>10</v>
      </c>
      <c r="D1172" s="1" t="s">
        <v>15</v>
      </c>
      <c r="E1172" s="1" t="s">
        <v>19</v>
      </c>
      <c r="F1172" s="1" t="s">
        <v>23</v>
      </c>
      <c r="G1172" s="4">
        <v>616.26</v>
      </c>
      <c r="H1172" s="1">
        <v>3</v>
      </c>
      <c r="I1172" s="1" t="str">
        <f>TEXT(SalesTable[[#This Row],[Order_Date]],"mmm")</f>
        <v>Mar</v>
      </c>
      <c r="J1172" s="1">
        <f>YEAR(SalesTable[[#This Row],[Order_Date]])</f>
        <v>2025</v>
      </c>
      <c r="K1172" s="4">
        <v>133.35</v>
      </c>
      <c r="L1172" s="9">
        <f>SalesTable[[#This Row],[Profit]]/SalesTable[[#This Row],[Sales]]</f>
        <v>0.21638594099892902</v>
      </c>
    </row>
    <row r="1173" spans="1:12" ht="14" x14ac:dyDescent="0.15">
      <c r="A1173" s="1">
        <v>11172</v>
      </c>
      <c r="B1173" s="2">
        <v>45733</v>
      </c>
      <c r="C1173" s="1" t="s">
        <v>9</v>
      </c>
      <c r="D1173" s="1" t="s">
        <v>14</v>
      </c>
      <c r="E1173" s="1" t="s">
        <v>18</v>
      </c>
      <c r="F1173" s="1" t="s">
        <v>21</v>
      </c>
      <c r="G1173" s="4">
        <v>135.16999999999999</v>
      </c>
      <c r="H1173" s="1">
        <v>8</v>
      </c>
      <c r="I1173" s="1" t="str">
        <f>TEXT(SalesTable[[#This Row],[Order_Date]],"mmm")</f>
        <v>Mar</v>
      </c>
      <c r="J1173" s="1">
        <f>YEAR(SalesTable[[#This Row],[Order_Date]])</f>
        <v>2025</v>
      </c>
      <c r="K1173" s="4">
        <v>199.99</v>
      </c>
      <c r="L1173" s="9">
        <f>SalesTable[[#This Row],[Profit]]/SalesTable[[#This Row],[Sales]]</f>
        <v>1.4795442775763854</v>
      </c>
    </row>
    <row r="1174" spans="1:12" ht="14" x14ac:dyDescent="0.15">
      <c r="A1174" s="1">
        <v>11173</v>
      </c>
      <c r="B1174" s="2">
        <v>45734</v>
      </c>
      <c r="C1174" s="1" t="s">
        <v>9</v>
      </c>
      <c r="D1174" s="1" t="s">
        <v>15</v>
      </c>
      <c r="E1174" s="1" t="s">
        <v>18</v>
      </c>
      <c r="F1174" s="1" t="s">
        <v>24</v>
      </c>
      <c r="G1174" s="4">
        <v>370.49</v>
      </c>
      <c r="H1174" s="1">
        <v>6</v>
      </c>
      <c r="I1174" s="1" t="str">
        <f>TEXT(SalesTable[[#This Row],[Order_Date]],"mmm")</f>
        <v>Mar</v>
      </c>
      <c r="J1174" s="1">
        <f>YEAR(SalesTable[[#This Row],[Order_Date]])</f>
        <v>2025</v>
      </c>
      <c r="K1174" s="4">
        <v>103.96</v>
      </c>
      <c r="L1174" s="9">
        <f>SalesTable[[#This Row],[Profit]]/SalesTable[[#This Row],[Sales]]</f>
        <v>0.28060136575885986</v>
      </c>
    </row>
    <row r="1175" spans="1:12" ht="14" x14ac:dyDescent="0.15">
      <c r="A1175" s="1">
        <v>11174</v>
      </c>
      <c r="B1175" s="2">
        <v>45735</v>
      </c>
      <c r="C1175" s="1" t="s">
        <v>9</v>
      </c>
      <c r="D1175" s="1" t="s">
        <v>15</v>
      </c>
      <c r="E1175" s="1" t="s">
        <v>16</v>
      </c>
      <c r="F1175" s="1" t="s">
        <v>24</v>
      </c>
      <c r="G1175" s="4">
        <v>135.22</v>
      </c>
      <c r="H1175" s="1">
        <v>5</v>
      </c>
      <c r="I1175" s="1" t="str">
        <f>TEXT(SalesTable[[#This Row],[Order_Date]],"mmm")</f>
        <v>Mar</v>
      </c>
      <c r="J1175" s="1">
        <f>YEAR(SalesTable[[#This Row],[Order_Date]])</f>
        <v>2025</v>
      </c>
      <c r="K1175" s="4">
        <v>-58.07</v>
      </c>
      <c r="L1175" s="9">
        <f>SalesTable[[#This Row],[Profit]]/SalesTable[[#This Row],[Sales]]</f>
        <v>-0.42944830646354093</v>
      </c>
    </row>
    <row r="1176" spans="1:12" ht="14" x14ac:dyDescent="0.15">
      <c r="A1176" s="1">
        <v>11175</v>
      </c>
      <c r="B1176" s="2">
        <v>45736</v>
      </c>
      <c r="C1176" s="1" t="s">
        <v>11</v>
      </c>
      <c r="D1176" s="1" t="s">
        <v>14</v>
      </c>
      <c r="E1176" s="1" t="s">
        <v>19</v>
      </c>
      <c r="F1176" s="1" t="s">
        <v>23</v>
      </c>
      <c r="G1176" s="4">
        <v>963.47</v>
      </c>
      <c r="H1176" s="1">
        <v>1</v>
      </c>
      <c r="I1176" s="1" t="str">
        <f>TEXT(SalesTable[[#This Row],[Order_Date]],"mmm")</f>
        <v>Mar</v>
      </c>
      <c r="J1176" s="1">
        <f>YEAR(SalesTable[[#This Row],[Order_Date]])</f>
        <v>2025</v>
      </c>
      <c r="K1176" s="4">
        <v>243.32</v>
      </c>
      <c r="L1176" s="9">
        <f>SalesTable[[#This Row],[Profit]]/SalesTable[[#This Row],[Sales]]</f>
        <v>0.25254548662646475</v>
      </c>
    </row>
    <row r="1177" spans="1:12" ht="14" x14ac:dyDescent="0.15">
      <c r="A1177" s="1">
        <v>11176</v>
      </c>
      <c r="B1177" s="2">
        <v>45737</v>
      </c>
      <c r="C1177" s="1" t="s">
        <v>9</v>
      </c>
      <c r="D1177" s="1" t="s">
        <v>14</v>
      </c>
      <c r="E1177" s="1" t="s">
        <v>17</v>
      </c>
      <c r="F1177" s="1" t="s">
        <v>24</v>
      </c>
      <c r="G1177" s="4">
        <v>816.9</v>
      </c>
      <c r="H1177" s="1">
        <v>9</v>
      </c>
      <c r="I1177" s="1" t="str">
        <f>TEXT(SalesTable[[#This Row],[Order_Date]],"mmm")</f>
        <v>Mar</v>
      </c>
      <c r="J1177" s="1">
        <f>YEAR(SalesTable[[#This Row],[Order_Date]])</f>
        <v>2025</v>
      </c>
      <c r="K1177" s="4">
        <v>23.91</v>
      </c>
      <c r="L1177" s="9">
        <f>SalesTable[[#This Row],[Profit]]/SalesTable[[#This Row],[Sales]]</f>
        <v>2.9269188395152405E-2</v>
      </c>
    </row>
    <row r="1178" spans="1:12" ht="14" x14ac:dyDescent="0.15">
      <c r="A1178" s="1">
        <v>11177</v>
      </c>
      <c r="B1178" s="2">
        <v>45738</v>
      </c>
      <c r="C1178" s="1" t="s">
        <v>9</v>
      </c>
      <c r="D1178" s="1" t="s">
        <v>14</v>
      </c>
      <c r="E1178" s="1" t="s">
        <v>16</v>
      </c>
      <c r="F1178" s="1" t="s">
        <v>23</v>
      </c>
      <c r="G1178" s="4">
        <v>486.65</v>
      </c>
      <c r="H1178" s="1">
        <v>3</v>
      </c>
      <c r="I1178" s="1" t="str">
        <f>TEXT(SalesTable[[#This Row],[Order_Date]],"mmm")</f>
        <v>Mar</v>
      </c>
      <c r="J1178" s="1">
        <f>YEAR(SalesTable[[#This Row],[Order_Date]])</f>
        <v>2025</v>
      </c>
      <c r="K1178" s="4">
        <v>288.52</v>
      </c>
      <c r="L1178" s="9">
        <f>SalesTable[[#This Row],[Profit]]/SalesTable[[#This Row],[Sales]]</f>
        <v>0.59286961882256239</v>
      </c>
    </row>
    <row r="1179" spans="1:12" ht="14" x14ac:dyDescent="0.15">
      <c r="A1179" s="1">
        <v>11178</v>
      </c>
      <c r="B1179" s="2">
        <v>45739</v>
      </c>
      <c r="C1179" s="1" t="s">
        <v>10</v>
      </c>
      <c r="D1179" s="1" t="s">
        <v>15</v>
      </c>
      <c r="E1179" s="1" t="s">
        <v>19</v>
      </c>
      <c r="F1179" s="1" t="s">
        <v>24</v>
      </c>
      <c r="G1179" s="4">
        <v>262.42</v>
      </c>
      <c r="H1179" s="1">
        <v>3</v>
      </c>
      <c r="I1179" s="1" t="str">
        <f>TEXT(SalesTable[[#This Row],[Order_Date]],"mmm")</f>
        <v>Mar</v>
      </c>
      <c r="J1179" s="1">
        <f>YEAR(SalesTable[[#This Row],[Order_Date]])</f>
        <v>2025</v>
      </c>
      <c r="K1179" s="4">
        <v>-52.86</v>
      </c>
      <c r="L1179" s="9">
        <f>SalesTable[[#This Row],[Profit]]/SalesTable[[#This Row],[Sales]]</f>
        <v>-0.20143281762060816</v>
      </c>
    </row>
    <row r="1180" spans="1:12" ht="14" x14ac:dyDescent="0.15">
      <c r="A1180" s="1">
        <v>11179</v>
      </c>
      <c r="B1180" s="2">
        <v>45740</v>
      </c>
      <c r="C1180" s="1" t="s">
        <v>9</v>
      </c>
      <c r="D1180" s="1" t="s">
        <v>13</v>
      </c>
      <c r="E1180" s="1" t="s">
        <v>18</v>
      </c>
      <c r="F1180" s="1" t="s">
        <v>22</v>
      </c>
      <c r="G1180" s="4">
        <v>936.78</v>
      </c>
      <c r="H1180" s="1">
        <v>2</v>
      </c>
      <c r="I1180" s="1" t="str">
        <f>TEXT(SalesTable[[#This Row],[Order_Date]],"mmm")</f>
        <v>Mar</v>
      </c>
      <c r="J1180" s="1">
        <f>YEAR(SalesTable[[#This Row],[Order_Date]])</f>
        <v>2025</v>
      </c>
      <c r="K1180" s="4">
        <v>283.3</v>
      </c>
      <c r="L1180" s="9">
        <f>SalesTable[[#This Row],[Profit]]/SalesTable[[#This Row],[Sales]]</f>
        <v>0.30241892440060636</v>
      </c>
    </row>
    <row r="1181" spans="1:12" ht="14" x14ac:dyDescent="0.15">
      <c r="A1181" s="1">
        <v>11180</v>
      </c>
      <c r="B1181" s="2">
        <v>45741</v>
      </c>
      <c r="C1181" s="1" t="s">
        <v>9</v>
      </c>
      <c r="D1181" s="1" t="s">
        <v>13</v>
      </c>
      <c r="E1181" s="1" t="s">
        <v>19</v>
      </c>
      <c r="F1181" s="1" t="s">
        <v>23</v>
      </c>
      <c r="G1181" s="4">
        <v>377.37</v>
      </c>
      <c r="H1181" s="1">
        <v>4</v>
      </c>
      <c r="I1181" s="1" t="str">
        <f>TEXT(SalesTable[[#This Row],[Order_Date]],"mmm")</f>
        <v>Mar</v>
      </c>
      <c r="J1181" s="1">
        <f>YEAR(SalesTable[[#This Row],[Order_Date]])</f>
        <v>2025</v>
      </c>
      <c r="K1181" s="4">
        <v>-63.6</v>
      </c>
      <c r="L1181" s="9">
        <f>SalesTable[[#This Row],[Profit]]/SalesTable[[#This Row],[Sales]]</f>
        <v>-0.16853485968677956</v>
      </c>
    </row>
    <row r="1182" spans="1:12" ht="14" x14ac:dyDescent="0.15">
      <c r="A1182" s="1">
        <v>11181</v>
      </c>
      <c r="B1182" s="2">
        <v>45742</v>
      </c>
      <c r="C1182" s="1" t="s">
        <v>12</v>
      </c>
      <c r="D1182" s="1" t="s">
        <v>14</v>
      </c>
      <c r="E1182" s="1" t="s">
        <v>19</v>
      </c>
      <c r="F1182" s="1" t="s">
        <v>23</v>
      </c>
      <c r="G1182" s="4">
        <v>202.94</v>
      </c>
      <c r="H1182" s="1">
        <v>2</v>
      </c>
      <c r="I1182" s="1" t="str">
        <f>TEXT(SalesTable[[#This Row],[Order_Date]],"mmm")</f>
        <v>Mar</v>
      </c>
      <c r="J1182" s="1">
        <f>YEAR(SalesTable[[#This Row],[Order_Date]])</f>
        <v>2025</v>
      </c>
      <c r="K1182" s="4">
        <v>-7.59</v>
      </c>
      <c r="L1182" s="9">
        <f>SalesTable[[#This Row],[Profit]]/SalesTable[[#This Row],[Sales]]</f>
        <v>-3.7400216812851092E-2</v>
      </c>
    </row>
    <row r="1183" spans="1:12" ht="14" x14ac:dyDescent="0.15">
      <c r="A1183" s="1">
        <v>11182</v>
      </c>
      <c r="B1183" s="2">
        <v>45743</v>
      </c>
      <c r="C1183" s="1" t="s">
        <v>10</v>
      </c>
      <c r="D1183" s="1" t="s">
        <v>13</v>
      </c>
      <c r="E1183" s="1" t="s">
        <v>19</v>
      </c>
      <c r="F1183" s="1" t="s">
        <v>25</v>
      </c>
      <c r="G1183" s="4">
        <v>585.01</v>
      </c>
      <c r="H1183" s="1">
        <v>9</v>
      </c>
      <c r="I1183" s="1" t="str">
        <f>TEXT(SalesTable[[#This Row],[Order_Date]],"mmm")</f>
        <v>Mar</v>
      </c>
      <c r="J1183" s="1">
        <f>YEAR(SalesTable[[#This Row],[Order_Date]])</f>
        <v>2025</v>
      </c>
      <c r="K1183" s="4">
        <v>-81.37</v>
      </c>
      <c r="L1183" s="9">
        <f>SalesTable[[#This Row],[Profit]]/SalesTable[[#This Row],[Sales]]</f>
        <v>-0.13909163945915456</v>
      </c>
    </row>
    <row r="1184" spans="1:12" ht="14" x14ac:dyDescent="0.15">
      <c r="A1184" s="1">
        <v>11183</v>
      </c>
      <c r="B1184" s="2">
        <v>45744</v>
      </c>
      <c r="C1184" s="1" t="s">
        <v>10</v>
      </c>
      <c r="D1184" s="1" t="s">
        <v>14</v>
      </c>
      <c r="E1184" s="1" t="s">
        <v>17</v>
      </c>
      <c r="F1184" s="1" t="s">
        <v>24</v>
      </c>
      <c r="G1184" s="4">
        <v>946.59</v>
      </c>
      <c r="H1184" s="1">
        <v>7</v>
      </c>
      <c r="I1184" s="1" t="str">
        <f>TEXT(SalesTable[[#This Row],[Order_Date]],"mmm")</f>
        <v>Mar</v>
      </c>
      <c r="J1184" s="1">
        <f>YEAR(SalesTable[[#This Row],[Order_Date]])</f>
        <v>2025</v>
      </c>
      <c r="K1184" s="4">
        <v>182.05</v>
      </c>
      <c r="L1184" s="9">
        <f>SalesTable[[#This Row],[Profit]]/SalesTable[[#This Row],[Sales]]</f>
        <v>0.19232191339439461</v>
      </c>
    </row>
    <row r="1185" spans="1:12" ht="14" x14ac:dyDescent="0.15">
      <c r="A1185" s="1">
        <v>11184</v>
      </c>
      <c r="B1185" s="2">
        <v>45745</v>
      </c>
      <c r="C1185" s="1" t="s">
        <v>10</v>
      </c>
      <c r="D1185" s="1" t="s">
        <v>15</v>
      </c>
      <c r="E1185" s="1" t="s">
        <v>19</v>
      </c>
      <c r="F1185" s="1" t="s">
        <v>24</v>
      </c>
      <c r="G1185" s="4">
        <v>53.64</v>
      </c>
      <c r="H1185" s="1">
        <v>8</v>
      </c>
      <c r="I1185" s="1" t="str">
        <f>TEXT(SalesTable[[#This Row],[Order_Date]],"mmm")</f>
        <v>Mar</v>
      </c>
      <c r="J1185" s="1">
        <f>YEAR(SalesTable[[#This Row],[Order_Date]])</f>
        <v>2025</v>
      </c>
      <c r="K1185" s="4">
        <v>240.12</v>
      </c>
      <c r="L1185" s="9">
        <f>SalesTable[[#This Row],[Profit]]/SalesTable[[#This Row],[Sales]]</f>
        <v>4.476510067114094</v>
      </c>
    </row>
    <row r="1186" spans="1:12" ht="14" x14ac:dyDescent="0.15">
      <c r="A1186" s="1">
        <v>11185</v>
      </c>
      <c r="B1186" s="2">
        <v>45746</v>
      </c>
      <c r="C1186" s="1" t="s">
        <v>10</v>
      </c>
      <c r="D1186" s="1" t="s">
        <v>13</v>
      </c>
      <c r="E1186" s="1" t="s">
        <v>17</v>
      </c>
      <c r="F1186" s="1" t="s">
        <v>23</v>
      </c>
      <c r="G1186" s="4">
        <v>276.22000000000003</v>
      </c>
      <c r="H1186" s="1">
        <v>3</v>
      </c>
      <c r="I1186" s="1" t="str">
        <f>TEXT(SalesTable[[#This Row],[Order_Date]],"mmm")</f>
        <v>Mar</v>
      </c>
      <c r="J1186" s="1">
        <f>YEAR(SalesTable[[#This Row],[Order_Date]])</f>
        <v>2025</v>
      </c>
      <c r="K1186" s="4">
        <v>73.63</v>
      </c>
      <c r="L1186" s="9">
        <f>SalesTable[[#This Row],[Profit]]/SalesTable[[#This Row],[Sales]]</f>
        <v>0.26656288465715727</v>
      </c>
    </row>
    <row r="1187" spans="1:12" ht="14" x14ac:dyDescent="0.15">
      <c r="A1187" s="1">
        <v>11186</v>
      </c>
      <c r="B1187" s="2">
        <v>45747</v>
      </c>
      <c r="C1187" s="1" t="s">
        <v>10</v>
      </c>
      <c r="D1187" s="1" t="s">
        <v>15</v>
      </c>
      <c r="E1187" s="1" t="s">
        <v>18</v>
      </c>
      <c r="F1187" s="1" t="s">
        <v>22</v>
      </c>
      <c r="G1187" s="4">
        <v>941.53</v>
      </c>
      <c r="H1187" s="1">
        <v>6</v>
      </c>
      <c r="I1187" s="1" t="str">
        <f>TEXT(SalesTable[[#This Row],[Order_Date]],"mmm")</f>
        <v>Mar</v>
      </c>
      <c r="J1187" s="1">
        <f>YEAR(SalesTable[[#This Row],[Order_Date]])</f>
        <v>2025</v>
      </c>
      <c r="K1187" s="4">
        <v>271.41000000000003</v>
      </c>
      <c r="L1187" s="9">
        <f>SalesTable[[#This Row],[Profit]]/SalesTable[[#This Row],[Sales]]</f>
        <v>0.28826484551740256</v>
      </c>
    </row>
    <row r="1188" spans="1:12" ht="14" x14ac:dyDescent="0.15">
      <c r="A1188" s="1">
        <v>11187</v>
      </c>
      <c r="B1188" s="2">
        <v>45748</v>
      </c>
      <c r="C1188" s="1" t="s">
        <v>10</v>
      </c>
      <c r="D1188" s="1" t="s">
        <v>13</v>
      </c>
      <c r="E1188" s="1" t="s">
        <v>17</v>
      </c>
      <c r="F1188" s="1" t="s">
        <v>22</v>
      </c>
      <c r="G1188" s="4">
        <v>212.53</v>
      </c>
      <c r="H1188" s="1">
        <v>6</v>
      </c>
      <c r="I1188" s="1" t="str">
        <f>TEXT(SalesTable[[#This Row],[Order_Date]],"mmm")</f>
        <v>Apr</v>
      </c>
      <c r="J1188" s="1">
        <f>YEAR(SalesTable[[#This Row],[Order_Date]])</f>
        <v>2025</v>
      </c>
      <c r="K1188" s="4">
        <v>136.12</v>
      </c>
      <c r="L1188" s="9">
        <f>SalesTable[[#This Row],[Profit]]/SalesTable[[#This Row],[Sales]]</f>
        <v>0.64047428598315537</v>
      </c>
    </row>
    <row r="1189" spans="1:12" ht="14" x14ac:dyDescent="0.15">
      <c r="A1189" s="1">
        <v>11188</v>
      </c>
      <c r="B1189" s="2">
        <v>45749</v>
      </c>
      <c r="C1189" s="1" t="s">
        <v>11</v>
      </c>
      <c r="D1189" s="1" t="s">
        <v>15</v>
      </c>
      <c r="E1189" s="1" t="s">
        <v>18</v>
      </c>
      <c r="F1189" s="1" t="s">
        <v>22</v>
      </c>
      <c r="G1189" s="4">
        <v>157.58000000000001</v>
      </c>
      <c r="H1189" s="1">
        <v>1</v>
      </c>
      <c r="I1189" s="1" t="str">
        <f>TEXT(SalesTable[[#This Row],[Order_Date]],"mmm")</f>
        <v>Apr</v>
      </c>
      <c r="J1189" s="1">
        <f>YEAR(SalesTable[[#This Row],[Order_Date]])</f>
        <v>2025</v>
      </c>
      <c r="K1189" s="4">
        <v>152</v>
      </c>
      <c r="L1189" s="9">
        <f>SalesTable[[#This Row],[Profit]]/SalesTable[[#This Row],[Sales]]</f>
        <v>0.96458941490036798</v>
      </c>
    </row>
    <row r="1190" spans="1:12" ht="14" x14ac:dyDescent="0.15">
      <c r="A1190" s="1">
        <v>11189</v>
      </c>
      <c r="B1190" s="2">
        <v>45750</v>
      </c>
      <c r="C1190" s="1" t="s">
        <v>9</v>
      </c>
      <c r="D1190" s="1" t="s">
        <v>13</v>
      </c>
      <c r="E1190" s="1" t="s">
        <v>18</v>
      </c>
      <c r="F1190" s="1" t="s">
        <v>24</v>
      </c>
      <c r="G1190" s="4">
        <v>591.67999999999995</v>
      </c>
      <c r="H1190" s="1">
        <v>6</v>
      </c>
      <c r="I1190" s="1" t="str">
        <f>TEXT(SalesTable[[#This Row],[Order_Date]],"mmm")</f>
        <v>Apr</v>
      </c>
      <c r="J1190" s="1">
        <f>YEAR(SalesTable[[#This Row],[Order_Date]])</f>
        <v>2025</v>
      </c>
      <c r="K1190" s="4">
        <v>238.17</v>
      </c>
      <c r="L1190" s="9">
        <f>SalesTable[[#This Row],[Profit]]/SalesTable[[#This Row],[Sales]]</f>
        <v>0.40253177393185507</v>
      </c>
    </row>
    <row r="1191" spans="1:12" ht="14" x14ac:dyDescent="0.15">
      <c r="A1191" s="1">
        <v>11190</v>
      </c>
      <c r="B1191" s="2">
        <v>45751</v>
      </c>
      <c r="C1191" s="1" t="s">
        <v>10</v>
      </c>
      <c r="D1191" s="1" t="s">
        <v>15</v>
      </c>
      <c r="E1191" s="1" t="s">
        <v>17</v>
      </c>
      <c r="F1191" s="1" t="s">
        <v>25</v>
      </c>
      <c r="G1191" s="4">
        <v>868.75</v>
      </c>
      <c r="H1191" s="1">
        <v>3</v>
      </c>
      <c r="I1191" s="1" t="str">
        <f>TEXT(SalesTable[[#This Row],[Order_Date]],"mmm")</f>
        <v>Apr</v>
      </c>
      <c r="J1191" s="1">
        <f>YEAR(SalesTable[[#This Row],[Order_Date]])</f>
        <v>2025</v>
      </c>
      <c r="K1191" s="4">
        <v>18.72</v>
      </c>
      <c r="L1191" s="9">
        <f>SalesTable[[#This Row],[Profit]]/SalesTable[[#This Row],[Sales]]</f>
        <v>2.1548201438848918E-2</v>
      </c>
    </row>
    <row r="1192" spans="1:12" ht="14" x14ac:dyDescent="0.15">
      <c r="A1192" s="1">
        <v>11191</v>
      </c>
      <c r="B1192" s="2">
        <v>45752</v>
      </c>
      <c r="C1192" s="1" t="s">
        <v>9</v>
      </c>
      <c r="D1192" s="1" t="s">
        <v>15</v>
      </c>
      <c r="E1192" s="1" t="s">
        <v>16</v>
      </c>
      <c r="F1192" s="1" t="s">
        <v>23</v>
      </c>
      <c r="G1192" s="4">
        <v>503.25</v>
      </c>
      <c r="H1192" s="1">
        <v>3</v>
      </c>
      <c r="I1192" s="1" t="str">
        <f>TEXT(SalesTable[[#This Row],[Order_Date]],"mmm")</f>
        <v>Apr</v>
      </c>
      <c r="J1192" s="1">
        <f>YEAR(SalesTable[[#This Row],[Order_Date]])</f>
        <v>2025</v>
      </c>
      <c r="K1192" s="4">
        <v>41.71</v>
      </c>
      <c r="L1192" s="9">
        <f>SalesTable[[#This Row],[Profit]]/SalesTable[[#This Row],[Sales]]</f>
        <v>8.2881271733730749E-2</v>
      </c>
    </row>
    <row r="1193" spans="1:12" ht="14" x14ac:dyDescent="0.15">
      <c r="A1193" s="1">
        <v>11192</v>
      </c>
      <c r="B1193" s="2">
        <v>45753</v>
      </c>
      <c r="C1193" s="1" t="s">
        <v>9</v>
      </c>
      <c r="D1193" s="1" t="s">
        <v>13</v>
      </c>
      <c r="E1193" s="1" t="s">
        <v>20</v>
      </c>
      <c r="F1193" s="1" t="s">
        <v>21</v>
      </c>
      <c r="G1193" s="4">
        <v>994.84</v>
      </c>
      <c r="H1193" s="1">
        <v>3</v>
      </c>
      <c r="I1193" s="1" t="str">
        <f>TEXT(SalesTable[[#This Row],[Order_Date]],"mmm")</f>
        <v>Apr</v>
      </c>
      <c r="J1193" s="1">
        <f>YEAR(SalesTable[[#This Row],[Order_Date]])</f>
        <v>2025</v>
      </c>
      <c r="K1193" s="4">
        <v>262.38</v>
      </c>
      <c r="L1193" s="9">
        <f>SalesTable[[#This Row],[Profit]]/SalesTable[[#This Row],[Sales]]</f>
        <v>0.26374090305978848</v>
      </c>
    </row>
    <row r="1194" spans="1:12" ht="14" x14ac:dyDescent="0.15">
      <c r="A1194" s="1">
        <v>11193</v>
      </c>
      <c r="B1194" s="2">
        <v>45754</v>
      </c>
      <c r="C1194" s="1" t="s">
        <v>11</v>
      </c>
      <c r="D1194" s="1" t="s">
        <v>15</v>
      </c>
      <c r="E1194" s="1" t="s">
        <v>19</v>
      </c>
      <c r="F1194" s="1" t="s">
        <v>25</v>
      </c>
      <c r="G1194" s="4">
        <v>695.21</v>
      </c>
      <c r="H1194" s="1">
        <v>8</v>
      </c>
      <c r="I1194" s="1" t="str">
        <f>TEXT(SalesTable[[#This Row],[Order_Date]],"mmm")</f>
        <v>Apr</v>
      </c>
      <c r="J1194" s="1">
        <f>YEAR(SalesTable[[#This Row],[Order_Date]])</f>
        <v>2025</v>
      </c>
      <c r="K1194" s="4">
        <v>260.39</v>
      </c>
      <c r="L1194" s="9">
        <f>SalesTable[[#This Row],[Profit]]/SalesTable[[#This Row],[Sales]]</f>
        <v>0.37454869751585845</v>
      </c>
    </row>
    <row r="1195" spans="1:12" ht="14" x14ac:dyDescent="0.15">
      <c r="A1195" s="1">
        <v>11194</v>
      </c>
      <c r="B1195" s="2">
        <v>45755</v>
      </c>
      <c r="C1195" s="1" t="s">
        <v>10</v>
      </c>
      <c r="D1195" s="1" t="s">
        <v>15</v>
      </c>
      <c r="E1195" s="1" t="s">
        <v>20</v>
      </c>
      <c r="F1195" s="1" t="s">
        <v>21</v>
      </c>
      <c r="G1195" s="4">
        <v>120.37</v>
      </c>
      <c r="H1195" s="1">
        <v>5</v>
      </c>
      <c r="I1195" s="1" t="str">
        <f>TEXT(SalesTable[[#This Row],[Order_Date]],"mmm")</f>
        <v>Apr</v>
      </c>
      <c r="J1195" s="1">
        <f>YEAR(SalesTable[[#This Row],[Order_Date]])</f>
        <v>2025</v>
      </c>
      <c r="K1195" s="4">
        <v>290.58999999999997</v>
      </c>
      <c r="L1195" s="9">
        <f>SalesTable[[#This Row],[Profit]]/SalesTable[[#This Row],[Sales]]</f>
        <v>2.4141397358145715</v>
      </c>
    </row>
    <row r="1196" spans="1:12" ht="14" x14ac:dyDescent="0.15">
      <c r="A1196" s="1">
        <v>11195</v>
      </c>
      <c r="B1196" s="2">
        <v>45756</v>
      </c>
      <c r="C1196" s="1" t="s">
        <v>12</v>
      </c>
      <c r="D1196" s="1" t="s">
        <v>15</v>
      </c>
      <c r="E1196" s="1" t="s">
        <v>19</v>
      </c>
      <c r="F1196" s="1" t="s">
        <v>25</v>
      </c>
      <c r="G1196" s="4">
        <v>993.19</v>
      </c>
      <c r="H1196" s="1">
        <v>4</v>
      </c>
      <c r="I1196" s="1" t="str">
        <f>TEXT(SalesTable[[#This Row],[Order_Date]],"mmm")</f>
        <v>Apr</v>
      </c>
      <c r="J1196" s="1">
        <f>YEAR(SalesTable[[#This Row],[Order_Date]])</f>
        <v>2025</v>
      </c>
      <c r="K1196" s="4">
        <v>260.74</v>
      </c>
      <c r="L1196" s="9">
        <f>SalesTable[[#This Row],[Profit]]/SalesTable[[#This Row],[Sales]]</f>
        <v>0.26252781441617412</v>
      </c>
    </row>
    <row r="1197" spans="1:12" ht="14" x14ac:dyDescent="0.15">
      <c r="A1197" s="1">
        <v>11196</v>
      </c>
      <c r="B1197" s="2">
        <v>45757</v>
      </c>
      <c r="C1197" s="1" t="s">
        <v>11</v>
      </c>
      <c r="D1197" s="1" t="s">
        <v>13</v>
      </c>
      <c r="E1197" s="1" t="s">
        <v>19</v>
      </c>
      <c r="F1197" s="1" t="s">
        <v>22</v>
      </c>
      <c r="G1197" s="4">
        <v>437.5</v>
      </c>
      <c r="H1197" s="1">
        <v>9</v>
      </c>
      <c r="I1197" s="1" t="str">
        <f>TEXT(SalesTable[[#This Row],[Order_Date]],"mmm")</f>
        <v>Apr</v>
      </c>
      <c r="J1197" s="1">
        <f>YEAR(SalesTable[[#This Row],[Order_Date]])</f>
        <v>2025</v>
      </c>
      <c r="K1197" s="4">
        <v>-49.05</v>
      </c>
      <c r="L1197" s="9">
        <f>SalesTable[[#This Row],[Profit]]/SalesTable[[#This Row],[Sales]]</f>
        <v>-0.11211428571428571</v>
      </c>
    </row>
    <row r="1198" spans="1:12" ht="14" x14ac:dyDescent="0.15">
      <c r="A1198" s="1">
        <v>11197</v>
      </c>
      <c r="B1198" s="2">
        <v>45758</v>
      </c>
      <c r="C1198" s="1" t="s">
        <v>12</v>
      </c>
      <c r="D1198" s="1" t="s">
        <v>13</v>
      </c>
      <c r="E1198" s="1" t="s">
        <v>18</v>
      </c>
      <c r="F1198" s="1" t="s">
        <v>24</v>
      </c>
      <c r="G1198" s="4">
        <v>323.02999999999997</v>
      </c>
      <c r="H1198" s="1">
        <v>9</v>
      </c>
      <c r="I1198" s="1" t="str">
        <f>TEXT(SalesTable[[#This Row],[Order_Date]],"mmm")</f>
        <v>Apr</v>
      </c>
      <c r="J1198" s="1">
        <f>YEAR(SalesTable[[#This Row],[Order_Date]])</f>
        <v>2025</v>
      </c>
      <c r="K1198" s="4">
        <v>229.49</v>
      </c>
      <c r="L1198" s="9">
        <f>SalesTable[[#This Row],[Profit]]/SalesTable[[#This Row],[Sales]]</f>
        <v>0.71042937188496436</v>
      </c>
    </row>
    <row r="1199" spans="1:12" ht="14" x14ac:dyDescent="0.15">
      <c r="A1199" s="1">
        <v>11198</v>
      </c>
      <c r="B1199" s="2">
        <v>45759</v>
      </c>
      <c r="C1199" s="1" t="s">
        <v>9</v>
      </c>
      <c r="D1199" s="1" t="s">
        <v>15</v>
      </c>
      <c r="E1199" s="1" t="s">
        <v>19</v>
      </c>
      <c r="F1199" s="1" t="s">
        <v>21</v>
      </c>
      <c r="G1199" s="4">
        <v>579.99</v>
      </c>
      <c r="H1199" s="1">
        <v>1</v>
      </c>
      <c r="I1199" s="1" t="str">
        <f>TEXT(SalesTable[[#This Row],[Order_Date]],"mmm")</f>
        <v>Apr</v>
      </c>
      <c r="J1199" s="1">
        <f>YEAR(SalesTable[[#This Row],[Order_Date]])</f>
        <v>2025</v>
      </c>
      <c r="K1199" s="4">
        <v>63.94</v>
      </c>
      <c r="L1199" s="9">
        <f>SalesTable[[#This Row],[Profit]]/SalesTable[[#This Row],[Sales]]</f>
        <v>0.11024328005655269</v>
      </c>
    </row>
    <row r="1200" spans="1:12" ht="14" x14ac:dyDescent="0.15">
      <c r="A1200" s="1">
        <v>11199</v>
      </c>
      <c r="B1200" s="2">
        <v>45760</v>
      </c>
      <c r="C1200" s="1" t="s">
        <v>9</v>
      </c>
      <c r="D1200" s="1" t="s">
        <v>15</v>
      </c>
      <c r="E1200" s="1" t="s">
        <v>19</v>
      </c>
      <c r="F1200" s="1" t="s">
        <v>25</v>
      </c>
      <c r="G1200" s="4">
        <v>339.09</v>
      </c>
      <c r="H1200" s="1">
        <v>2</v>
      </c>
      <c r="I1200" s="1" t="str">
        <f>TEXT(SalesTable[[#This Row],[Order_Date]],"mmm")</f>
        <v>Apr</v>
      </c>
      <c r="J1200" s="1">
        <f>YEAR(SalesTable[[#This Row],[Order_Date]])</f>
        <v>2025</v>
      </c>
      <c r="K1200" s="4">
        <v>296.32</v>
      </c>
      <c r="L1200" s="9">
        <f>SalesTable[[#This Row],[Profit]]/SalesTable[[#This Row],[Sales]]</f>
        <v>0.87386829455306858</v>
      </c>
    </row>
    <row r="1201" spans="1:12" ht="14" x14ac:dyDescent="0.15">
      <c r="A1201" s="1">
        <v>11200</v>
      </c>
      <c r="B1201" s="2">
        <v>45761</v>
      </c>
      <c r="C1201" s="1" t="s">
        <v>11</v>
      </c>
      <c r="D1201" s="1" t="s">
        <v>13</v>
      </c>
      <c r="E1201" s="1" t="s">
        <v>17</v>
      </c>
      <c r="F1201" s="1" t="s">
        <v>24</v>
      </c>
      <c r="G1201" s="4">
        <v>132.13</v>
      </c>
      <c r="H1201" s="1">
        <v>8</v>
      </c>
      <c r="I1201" s="1" t="str">
        <f>TEXT(SalesTable[[#This Row],[Order_Date]],"mmm")</f>
        <v>Apr</v>
      </c>
      <c r="J1201" s="1">
        <f>YEAR(SalesTable[[#This Row],[Order_Date]])</f>
        <v>2025</v>
      </c>
      <c r="K1201" s="4">
        <v>88.91</v>
      </c>
      <c r="L1201" s="9">
        <f>SalesTable[[#This Row],[Profit]]/SalesTable[[#This Row],[Sales]]</f>
        <v>0.67289790357980772</v>
      </c>
    </row>
    <row r="1202" spans="1:12" ht="14" x14ac:dyDescent="0.15">
      <c r="A1202" s="1">
        <v>11201</v>
      </c>
      <c r="B1202" s="2">
        <v>45762</v>
      </c>
      <c r="C1202" s="1" t="s">
        <v>11</v>
      </c>
      <c r="D1202" s="1" t="s">
        <v>13</v>
      </c>
      <c r="E1202" s="1" t="s">
        <v>20</v>
      </c>
      <c r="F1202" s="1" t="s">
        <v>21</v>
      </c>
      <c r="G1202" s="4">
        <v>51.36</v>
      </c>
      <c r="H1202" s="1">
        <v>5</v>
      </c>
      <c r="I1202" s="1" t="str">
        <f>TEXT(SalesTable[[#This Row],[Order_Date]],"mmm")</f>
        <v>Apr</v>
      </c>
      <c r="J1202" s="1">
        <f>YEAR(SalesTable[[#This Row],[Order_Date]])</f>
        <v>2025</v>
      </c>
      <c r="K1202" s="4">
        <v>121.53</v>
      </c>
      <c r="L1202" s="9">
        <f>SalesTable[[#This Row],[Profit]]/SalesTable[[#This Row],[Sales]]</f>
        <v>2.3662383177570092</v>
      </c>
    </row>
    <row r="1203" spans="1:12" ht="14" x14ac:dyDescent="0.15">
      <c r="A1203" s="1">
        <v>11202</v>
      </c>
      <c r="B1203" s="2">
        <v>45763</v>
      </c>
      <c r="C1203" s="1" t="s">
        <v>12</v>
      </c>
      <c r="D1203" s="1" t="s">
        <v>15</v>
      </c>
      <c r="E1203" s="1" t="s">
        <v>17</v>
      </c>
      <c r="F1203" s="1" t="s">
        <v>23</v>
      </c>
      <c r="G1203" s="4">
        <v>477.1</v>
      </c>
      <c r="H1203" s="1">
        <v>7</v>
      </c>
      <c r="I1203" s="1" t="str">
        <f>TEXT(SalesTable[[#This Row],[Order_Date]],"mmm")</f>
        <v>Apr</v>
      </c>
      <c r="J1203" s="1">
        <f>YEAR(SalesTable[[#This Row],[Order_Date]])</f>
        <v>2025</v>
      </c>
      <c r="K1203" s="4">
        <v>111.91</v>
      </c>
      <c r="L1203" s="9">
        <f>SalesTable[[#This Row],[Profit]]/SalesTable[[#This Row],[Sales]]</f>
        <v>0.23456298469922446</v>
      </c>
    </row>
    <row r="1204" spans="1:12" ht="14" x14ac:dyDescent="0.15">
      <c r="A1204" s="1">
        <v>11203</v>
      </c>
      <c r="B1204" s="2">
        <v>45764</v>
      </c>
      <c r="C1204" s="1" t="s">
        <v>10</v>
      </c>
      <c r="D1204" s="1" t="s">
        <v>15</v>
      </c>
      <c r="E1204" s="1" t="s">
        <v>19</v>
      </c>
      <c r="F1204" s="1" t="s">
        <v>25</v>
      </c>
      <c r="G1204" s="4">
        <v>845.02</v>
      </c>
      <c r="H1204" s="1">
        <v>1</v>
      </c>
      <c r="I1204" s="1" t="str">
        <f>TEXT(SalesTable[[#This Row],[Order_Date]],"mmm")</f>
        <v>Apr</v>
      </c>
      <c r="J1204" s="1">
        <f>YEAR(SalesTable[[#This Row],[Order_Date]])</f>
        <v>2025</v>
      </c>
      <c r="K1204" s="4">
        <v>28.69</v>
      </c>
      <c r="L1204" s="9">
        <f>SalesTable[[#This Row],[Profit]]/SalesTable[[#This Row],[Sales]]</f>
        <v>3.3951859127594616E-2</v>
      </c>
    </row>
    <row r="1205" spans="1:12" ht="14" x14ac:dyDescent="0.15">
      <c r="A1205" s="1">
        <v>11204</v>
      </c>
      <c r="B1205" s="2">
        <v>45765</v>
      </c>
      <c r="C1205" s="1" t="s">
        <v>12</v>
      </c>
      <c r="D1205" s="1" t="s">
        <v>15</v>
      </c>
      <c r="E1205" s="1" t="s">
        <v>18</v>
      </c>
      <c r="F1205" s="1" t="s">
        <v>23</v>
      </c>
      <c r="G1205" s="4">
        <v>593.70000000000005</v>
      </c>
      <c r="H1205" s="1">
        <v>5</v>
      </c>
      <c r="I1205" s="1" t="str">
        <f>TEXT(SalesTable[[#This Row],[Order_Date]],"mmm")</f>
        <v>Apr</v>
      </c>
      <c r="J1205" s="1">
        <f>YEAR(SalesTable[[#This Row],[Order_Date]])</f>
        <v>2025</v>
      </c>
      <c r="K1205" s="4">
        <v>-69.989999999999995</v>
      </c>
      <c r="L1205" s="9">
        <f>SalesTable[[#This Row],[Profit]]/SalesTable[[#This Row],[Sales]]</f>
        <v>-0.11788782213239007</v>
      </c>
    </row>
    <row r="1206" spans="1:12" ht="14" x14ac:dyDescent="0.15">
      <c r="A1206" s="1">
        <v>11205</v>
      </c>
      <c r="B1206" s="2">
        <v>45766</v>
      </c>
      <c r="C1206" s="1" t="s">
        <v>11</v>
      </c>
      <c r="D1206" s="1" t="s">
        <v>14</v>
      </c>
      <c r="E1206" s="1" t="s">
        <v>17</v>
      </c>
      <c r="F1206" s="1" t="s">
        <v>22</v>
      </c>
      <c r="G1206" s="4">
        <v>999.25</v>
      </c>
      <c r="H1206" s="1">
        <v>3</v>
      </c>
      <c r="I1206" s="1" t="str">
        <f>TEXT(SalesTable[[#This Row],[Order_Date]],"mmm")</f>
        <v>Apr</v>
      </c>
      <c r="J1206" s="1">
        <f>YEAR(SalesTable[[#This Row],[Order_Date]])</f>
        <v>2025</v>
      </c>
      <c r="K1206" s="4">
        <v>258.26</v>
      </c>
      <c r="L1206" s="9">
        <f>SalesTable[[#This Row],[Profit]]/SalesTable[[#This Row],[Sales]]</f>
        <v>0.25845384038028518</v>
      </c>
    </row>
    <row r="1207" spans="1:12" ht="14" x14ac:dyDescent="0.15">
      <c r="A1207" s="1">
        <v>11206</v>
      </c>
      <c r="B1207" s="2">
        <v>45767</v>
      </c>
      <c r="C1207" s="1" t="s">
        <v>12</v>
      </c>
      <c r="D1207" s="1" t="s">
        <v>13</v>
      </c>
      <c r="E1207" s="1" t="s">
        <v>17</v>
      </c>
      <c r="F1207" s="1" t="s">
        <v>23</v>
      </c>
      <c r="G1207" s="4">
        <v>322.5</v>
      </c>
      <c r="H1207" s="1">
        <v>2</v>
      </c>
      <c r="I1207" s="1" t="str">
        <f>TEXT(SalesTable[[#This Row],[Order_Date]],"mmm")</f>
        <v>Apr</v>
      </c>
      <c r="J1207" s="1">
        <f>YEAR(SalesTable[[#This Row],[Order_Date]])</f>
        <v>2025</v>
      </c>
      <c r="K1207" s="4">
        <v>221.07</v>
      </c>
      <c r="L1207" s="9">
        <f>SalesTable[[#This Row],[Profit]]/SalesTable[[#This Row],[Sales]]</f>
        <v>0.68548837209302327</v>
      </c>
    </row>
    <row r="1208" spans="1:12" ht="14" x14ac:dyDescent="0.15">
      <c r="A1208" s="1">
        <v>11207</v>
      </c>
      <c r="B1208" s="2">
        <v>45768</v>
      </c>
      <c r="C1208" s="1" t="s">
        <v>11</v>
      </c>
      <c r="D1208" s="1" t="s">
        <v>14</v>
      </c>
      <c r="E1208" s="1" t="s">
        <v>16</v>
      </c>
      <c r="F1208" s="1" t="s">
        <v>23</v>
      </c>
      <c r="G1208" s="4">
        <v>316.43</v>
      </c>
      <c r="H1208" s="1">
        <v>2</v>
      </c>
      <c r="I1208" s="1" t="str">
        <f>TEXT(SalesTable[[#This Row],[Order_Date]],"mmm")</f>
        <v>Apr</v>
      </c>
      <c r="J1208" s="1">
        <f>YEAR(SalesTable[[#This Row],[Order_Date]])</f>
        <v>2025</v>
      </c>
      <c r="K1208" s="4">
        <v>-44.19</v>
      </c>
      <c r="L1208" s="9">
        <f>SalesTable[[#This Row],[Profit]]/SalesTable[[#This Row],[Sales]]</f>
        <v>-0.13965173972126535</v>
      </c>
    </row>
    <row r="1209" spans="1:12" ht="14" x14ac:dyDescent="0.15">
      <c r="A1209" s="1">
        <v>11208</v>
      </c>
      <c r="B1209" s="2">
        <v>45769</v>
      </c>
      <c r="C1209" s="1" t="s">
        <v>12</v>
      </c>
      <c r="D1209" s="1" t="s">
        <v>13</v>
      </c>
      <c r="E1209" s="1" t="s">
        <v>19</v>
      </c>
      <c r="F1209" s="1" t="s">
        <v>25</v>
      </c>
      <c r="G1209" s="4">
        <v>201.76</v>
      </c>
      <c r="H1209" s="1">
        <v>9</v>
      </c>
      <c r="I1209" s="1" t="str">
        <f>TEXT(SalesTable[[#This Row],[Order_Date]],"mmm")</f>
        <v>Apr</v>
      </c>
      <c r="J1209" s="1">
        <f>YEAR(SalesTable[[#This Row],[Order_Date]])</f>
        <v>2025</v>
      </c>
      <c r="K1209" s="4">
        <v>210.71</v>
      </c>
      <c r="L1209" s="9">
        <f>SalesTable[[#This Row],[Profit]]/SalesTable[[#This Row],[Sales]]</f>
        <v>1.0443596352101507</v>
      </c>
    </row>
    <row r="1210" spans="1:12" ht="14" x14ac:dyDescent="0.15">
      <c r="A1210" s="1">
        <v>11209</v>
      </c>
      <c r="B1210" s="2">
        <v>45770</v>
      </c>
      <c r="C1210" s="1" t="s">
        <v>11</v>
      </c>
      <c r="D1210" s="1" t="s">
        <v>13</v>
      </c>
      <c r="E1210" s="1" t="s">
        <v>18</v>
      </c>
      <c r="F1210" s="1" t="s">
        <v>22</v>
      </c>
      <c r="G1210" s="4">
        <v>205.86</v>
      </c>
      <c r="H1210" s="1">
        <v>4</v>
      </c>
      <c r="I1210" s="1" t="str">
        <f>TEXT(SalesTable[[#This Row],[Order_Date]],"mmm")</f>
        <v>Apr</v>
      </c>
      <c r="J1210" s="1">
        <f>YEAR(SalesTable[[#This Row],[Order_Date]])</f>
        <v>2025</v>
      </c>
      <c r="K1210" s="4">
        <v>150.34</v>
      </c>
      <c r="L1210" s="9">
        <f>SalesTable[[#This Row],[Profit]]/SalesTable[[#This Row],[Sales]]</f>
        <v>0.73030214709025543</v>
      </c>
    </row>
    <row r="1211" spans="1:12" ht="14" x14ac:dyDescent="0.15">
      <c r="A1211" s="1">
        <v>11210</v>
      </c>
      <c r="B1211" s="2">
        <v>45771</v>
      </c>
      <c r="C1211" s="1" t="s">
        <v>11</v>
      </c>
      <c r="D1211" s="1" t="s">
        <v>13</v>
      </c>
      <c r="E1211" s="1" t="s">
        <v>17</v>
      </c>
      <c r="F1211" s="1" t="s">
        <v>23</v>
      </c>
      <c r="G1211" s="4">
        <v>320.93</v>
      </c>
      <c r="H1211" s="1">
        <v>4</v>
      </c>
      <c r="I1211" s="1" t="str">
        <f>TEXT(SalesTable[[#This Row],[Order_Date]],"mmm")</f>
        <v>Apr</v>
      </c>
      <c r="J1211" s="1">
        <f>YEAR(SalesTable[[#This Row],[Order_Date]])</f>
        <v>2025</v>
      </c>
      <c r="K1211" s="4">
        <v>63.66</v>
      </c>
      <c r="L1211" s="9">
        <f>SalesTable[[#This Row],[Profit]]/SalesTable[[#This Row],[Sales]]</f>
        <v>0.1983610133050821</v>
      </c>
    </row>
    <row r="1212" spans="1:12" ht="14" x14ac:dyDescent="0.15">
      <c r="A1212" s="1">
        <v>11211</v>
      </c>
      <c r="B1212" s="2">
        <v>45772</v>
      </c>
      <c r="C1212" s="1" t="s">
        <v>11</v>
      </c>
      <c r="D1212" s="1" t="s">
        <v>13</v>
      </c>
      <c r="E1212" s="1" t="s">
        <v>17</v>
      </c>
      <c r="F1212" s="1" t="s">
        <v>24</v>
      </c>
      <c r="G1212" s="4">
        <v>803.2</v>
      </c>
      <c r="H1212" s="1">
        <v>7</v>
      </c>
      <c r="I1212" s="1" t="str">
        <f>TEXT(SalesTable[[#This Row],[Order_Date]],"mmm")</f>
        <v>Apr</v>
      </c>
      <c r="J1212" s="1">
        <f>YEAR(SalesTable[[#This Row],[Order_Date]])</f>
        <v>2025</v>
      </c>
      <c r="K1212" s="4">
        <v>1.61</v>
      </c>
      <c r="L1212" s="9">
        <f>SalesTable[[#This Row],[Profit]]/SalesTable[[#This Row],[Sales]]</f>
        <v>2.0044820717131473E-3</v>
      </c>
    </row>
    <row r="1213" spans="1:12" ht="14" x14ac:dyDescent="0.15">
      <c r="A1213" s="1">
        <v>11212</v>
      </c>
      <c r="B1213" s="2">
        <v>45773</v>
      </c>
      <c r="C1213" s="1" t="s">
        <v>10</v>
      </c>
      <c r="D1213" s="1" t="s">
        <v>13</v>
      </c>
      <c r="E1213" s="1" t="s">
        <v>18</v>
      </c>
      <c r="F1213" s="1" t="s">
        <v>21</v>
      </c>
      <c r="G1213" s="4">
        <v>910.47</v>
      </c>
      <c r="H1213" s="1">
        <v>2</v>
      </c>
      <c r="I1213" s="1" t="str">
        <f>TEXT(SalesTable[[#This Row],[Order_Date]],"mmm")</f>
        <v>Apr</v>
      </c>
      <c r="J1213" s="1">
        <f>YEAR(SalesTable[[#This Row],[Order_Date]])</f>
        <v>2025</v>
      </c>
      <c r="K1213" s="4">
        <v>243.89</v>
      </c>
      <c r="L1213" s="9">
        <f>SalesTable[[#This Row],[Profit]]/SalesTable[[#This Row],[Sales]]</f>
        <v>0.26787263720935339</v>
      </c>
    </row>
    <row r="1214" spans="1:12" ht="14" x14ac:dyDescent="0.15">
      <c r="A1214" s="1">
        <v>11213</v>
      </c>
      <c r="B1214" s="2">
        <v>45774</v>
      </c>
      <c r="C1214" s="1" t="s">
        <v>12</v>
      </c>
      <c r="D1214" s="1" t="s">
        <v>13</v>
      </c>
      <c r="E1214" s="1" t="s">
        <v>19</v>
      </c>
      <c r="F1214" s="1" t="s">
        <v>23</v>
      </c>
      <c r="G1214" s="4">
        <v>976.33</v>
      </c>
      <c r="H1214" s="1">
        <v>3</v>
      </c>
      <c r="I1214" s="1" t="str">
        <f>TEXT(SalesTable[[#This Row],[Order_Date]],"mmm")</f>
        <v>Apr</v>
      </c>
      <c r="J1214" s="1">
        <f>YEAR(SalesTable[[#This Row],[Order_Date]])</f>
        <v>2025</v>
      </c>
      <c r="K1214" s="4">
        <v>180.08</v>
      </c>
      <c r="L1214" s="9">
        <f>SalesTable[[#This Row],[Profit]]/SalesTable[[#This Row],[Sales]]</f>
        <v>0.18444583286388824</v>
      </c>
    </row>
    <row r="1215" spans="1:12" ht="14" x14ac:dyDescent="0.15">
      <c r="A1215" s="1">
        <v>11214</v>
      </c>
      <c r="B1215" s="2">
        <v>45775</v>
      </c>
      <c r="C1215" s="1" t="s">
        <v>12</v>
      </c>
      <c r="D1215" s="1" t="s">
        <v>13</v>
      </c>
      <c r="E1215" s="1" t="s">
        <v>16</v>
      </c>
      <c r="F1215" s="1" t="s">
        <v>22</v>
      </c>
      <c r="G1215" s="4">
        <v>270.68</v>
      </c>
      <c r="H1215" s="1">
        <v>3</v>
      </c>
      <c r="I1215" s="1" t="str">
        <f>TEXT(SalesTable[[#This Row],[Order_Date]],"mmm")</f>
        <v>Apr</v>
      </c>
      <c r="J1215" s="1">
        <f>YEAR(SalesTable[[#This Row],[Order_Date]])</f>
        <v>2025</v>
      </c>
      <c r="K1215" s="4">
        <v>119.1</v>
      </c>
      <c r="L1215" s="9">
        <f>SalesTable[[#This Row],[Profit]]/SalesTable[[#This Row],[Sales]]</f>
        <v>0.44000295551943253</v>
      </c>
    </row>
    <row r="1216" spans="1:12" ht="14" x14ac:dyDescent="0.15">
      <c r="A1216" s="1">
        <v>11215</v>
      </c>
      <c r="B1216" s="2">
        <v>45776</v>
      </c>
      <c r="C1216" s="1" t="s">
        <v>12</v>
      </c>
      <c r="D1216" s="1" t="s">
        <v>14</v>
      </c>
      <c r="E1216" s="1" t="s">
        <v>17</v>
      </c>
      <c r="F1216" s="1" t="s">
        <v>23</v>
      </c>
      <c r="G1216" s="4">
        <v>887.23</v>
      </c>
      <c r="H1216" s="1">
        <v>6</v>
      </c>
      <c r="I1216" s="1" t="str">
        <f>TEXT(SalesTable[[#This Row],[Order_Date]],"mmm")</f>
        <v>Apr</v>
      </c>
      <c r="J1216" s="1">
        <f>YEAR(SalesTable[[#This Row],[Order_Date]])</f>
        <v>2025</v>
      </c>
      <c r="K1216" s="4">
        <v>143.83000000000001</v>
      </c>
      <c r="L1216" s="9">
        <f>SalesTable[[#This Row],[Profit]]/SalesTable[[#This Row],[Sales]]</f>
        <v>0.16211129019532705</v>
      </c>
    </row>
    <row r="1217" spans="1:12" ht="14" x14ac:dyDescent="0.15">
      <c r="A1217" s="1">
        <v>11216</v>
      </c>
      <c r="B1217" s="2">
        <v>45777</v>
      </c>
      <c r="C1217" s="1" t="s">
        <v>11</v>
      </c>
      <c r="D1217" s="1" t="s">
        <v>15</v>
      </c>
      <c r="E1217" s="1" t="s">
        <v>16</v>
      </c>
      <c r="F1217" s="1" t="s">
        <v>21</v>
      </c>
      <c r="G1217" s="4">
        <v>361.84</v>
      </c>
      <c r="H1217" s="1">
        <v>3</v>
      </c>
      <c r="I1217" s="1" t="str">
        <f>TEXT(SalesTable[[#This Row],[Order_Date]],"mmm")</f>
        <v>Apr</v>
      </c>
      <c r="J1217" s="1">
        <f>YEAR(SalesTable[[#This Row],[Order_Date]])</f>
        <v>2025</v>
      </c>
      <c r="K1217" s="4">
        <v>-63.57</v>
      </c>
      <c r="L1217" s="9">
        <f>SalesTable[[#This Row],[Profit]]/SalesTable[[#This Row],[Sales]]</f>
        <v>-0.17568538580588106</v>
      </c>
    </row>
    <row r="1218" spans="1:12" ht="14" x14ac:dyDescent="0.15">
      <c r="A1218" s="1">
        <v>11217</v>
      </c>
      <c r="B1218" s="2">
        <v>45778</v>
      </c>
      <c r="C1218" s="1" t="s">
        <v>12</v>
      </c>
      <c r="D1218" s="1" t="s">
        <v>15</v>
      </c>
      <c r="E1218" s="1" t="s">
        <v>20</v>
      </c>
      <c r="F1218" s="1" t="s">
        <v>22</v>
      </c>
      <c r="G1218" s="4">
        <v>157.19999999999999</v>
      </c>
      <c r="H1218" s="1">
        <v>5</v>
      </c>
      <c r="I1218" s="1" t="str">
        <f>TEXT(SalesTable[[#This Row],[Order_Date]],"mmm")</f>
        <v>May</v>
      </c>
      <c r="J1218" s="1">
        <f>YEAR(SalesTable[[#This Row],[Order_Date]])</f>
        <v>2025</v>
      </c>
      <c r="K1218" s="4">
        <v>89.57</v>
      </c>
      <c r="L1218" s="9">
        <f>SalesTable[[#This Row],[Profit]]/SalesTable[[#This Row],[Sales]]</f>
        <v>0.56978371501272262</v>
      </c>
    </row>
    <row r="1219" spans="1:12" ht="14" x14ac:dyDescent="0.15">
      <c r="A1219" s="1">
        <v>11218</v>
      </c>
      <c r="B1219" s="2">
        <v>45779</v>
      </c>
      <c r="C1219" s="1" t="s">
        <v>12</v>
      </c>
      <c r="D1219" s="1" t="s">
        <v>14</v>
      </c>
      <c r="E1219" s="1" t="s">
        <v>19</v>
      </c>
      <c r="F1219" s="1" t="s">
        <v>25</v>
      </c>
      <c r="G1219" s="4">
        <v>876.52</v>
      </c>
      <c r="H1219" s="1">
        <v>4</v>
      </c>
      <c r="I1219" s="1" t="str">
        <f>TEXT(SalesTable[[#This Row],[Order_Date]],"mmm")</f>
        <v>May</v>
      </c>
      <c r="J1219" s="1">
        <f>YEAR(SalesTable[[#This Row],[Order_Date]])</f>
        <v>2025</v>
      </c>
      <c r="K1219" s="4">
        <v>-22.52</v>
      </c>
      <c r="L1219" s="9">
        <f>SalesTable[[#This Row],[Profit]]/SalesTable[[#This Row],[Sales]]</f>
        <v>-2.5692511294665266E-2</v>
      </c>
    </row>
    <row r="1220" spans="1:12" ht="14" x14ac:dyDescent="0.15">
      <c r="A1220" s="1">
        <v>11219</v>
      </c>
      <c r="B1220" s="2">
        <v>45780</v>
      </c>
      <c r="C1220" s="1" t="s">
        <v>11</v>
      </c>
      <c r="D1220" s="1" t="s">
        <v>14</v>
      </c>
      <c r="E1220" s="1" t="s">
        <v>20</v>
      </c>
      <c r="F1220" s="1" t="s">
        <v>22</v>
      </c>
      <c r="G1220" s="4">
        <v>654.29999999999995</v>
      </c>
      <c r="H1220" s="1">
        <v>3</v>
      </c>
      <c r="I1220" s="1" t="str">
        <f>TEXT(SalesTable[[#This Row],[Order_Date]],"mmm")</f>
        <v>May</v>
      </c>
      <c r="J1220" s="1">
        <f>YEAR(SalesTable[[#This Row],[Order_Date]])</f>
        <v>2025</v>
      </c>
      <c r="K1220" s="4">
        <v>-16.649999999999999</v>
      </c>
      <c r="L1220" s="9">
        <f>SalesTable[[#This Row],[Profit]]/SalesTable[[#This Row],[Sales]]</f>
        <v>-2.5447042640990371E-2</v>
      </c>
    </row>
    <row r="1221" spans="1:12" ht="14" x14ac:dyDescent="0.15">
      <c r="A1221" s="1">
        <v>11220</v>
      </c>
      <c r="B1221" s="2">
        <v>45781</v>
      </c>
      <c r="C1221" s="1" t="s">
        <v>9</v>
      </c>
      <c r="D1221" s="1" t="s">
        <v>14</v>
      </c>
      <c r="E1221" s="1" t="s">
        <v>20</v>
      </c>
      <c r="F1221" s="1" t="s">
        <v>25</v>
      </c>
      <c r="G1221" s="4">
        <v>206.49</v>
      </c>
      <c r="H1221" s="1">
        <v>8</v>
      </c>
      <c r="I1221" s="1" t="str">
        <f>TEXT(SalesTable[[#This Row],[Order_Date]],"mmm")</f>
        <v>May</v>
      </c>
      <c r="J1221" s="1">
        <f>YEAR(SalesTable[[#This Row],[Order_Date]])</f>
        <v>2025</v>
      </c>
      <c r="K1221" s="4">
        <v>164.52</v>
      </c>
      <c r="L1221" s="9">
        <f>SalesTable[[#This Row],[Profit]]/SalesTable[[#This Row],[Sales]]</f>
        <v>0.79674560511404913</v>
      </c>
    </row>
    <row r="1222" spans="1:12" ht="14" x14ac:dyDescent="0.15">
      <c r="A1222" s="1">
        <v>11221</v>
      </c>
      <c r="B1222" s="2">
        <v>45782</v>
      </c>
      <c r="C1222" s="1" t="s">
        <v>11</v>
      </c>
      <c r="D1222" s="1" t="s">
        <v>14</v>
      </c>
      <c r="E1222" s="1" t="s">
        <v>20</v>
      </c>
      <c r="F1222" s="1" t="s">
        <v>22</v>
      </c>
      <c r="G1222" s="4">
        <v>458.34</v>
      </c>
      <c r="H1222" s="1">
        <v>3</v>
      </c>
      <c r="I1222" s="1" t="str">
        <f>TEXT(SalesTable[[#This Row],[Order_Date]],"mmm")</f>
        <v>May</v>
      </c>
      <c r="J1222" s="1">
        <f>YEAR(SalesTable[[#This Row],[Order_Date]])</f>
        <v>2025</v>
      </c>
      <c r="K1222" s="4">
        <v>264.5</v>
      </c>
      <c r="L1222" s="9">
        <f>SalesTable[[#This Row],[Profit]]/SalesTable[[#This Row],[Sales]]</f>
        <v>0.5770825151634158</v>
      </c>
    </row>
    <row r="1223" spans="1:12" ht="14" x14ac:dyDescent="0.15">
      <c r="A1223" s="1">
        <v>11222</v>
      </c>
      <c r="B1223" s="2">
        <v>45783</v>
      </c>
      <c r="C1223" s="1" t="s">
        <v>12</v>
      </c>
      <c r="D1223" s="1" t="s">
        <v>13</v>
      </c>
      <c r="E1223" s="1" t="s">
        <v>19</v>
      </c>
      <c r="F1223" s="1" t="s">
        <v>21</v>
      </c>
      <c r="G1223" s="4">
        <v>322.89</v>
      </c>
      <c r="H1223" s="1">
        <v>6</v>
      </c>
      <c r="I1223" s="1" t="str">
        <f>TEXT(SalesTable[[#This Row],[Order_Date]],"mmm")</f>
        <v>May</v>
      </c>
      <c r="J1223" s="1">
        <f>YEAR(SalesTable[[#This Row],[Order_Date]])</f>
        <v>2025</v>
      </c>
      <c r="K1223" s="4">
        <v>61.5</v>
      </c>
      <c r="L1223" s="9">
        <f>SalesTable[[#This Row],[Profit]]/SalesTable[[#This Row],[Sales]]</f>
        <v>0.19046734181919539</v>
      </c>
    </row>
    <row r="1224" spans="1:12" ht="14" x14ac:dyDescent="0.15">
      <c r="A1224" s="1">
        <v>11223</v>
      </c>
      <c r="B1224" s="2">
        <v>45784</v>
      </c>
      <c r="C1224" s="1" t="s">
        <v>11</v>
      </c>
      <c r="D1224" s="1" t="s">
        <v>15</v>
      </c>
      <c r="E1224" s="1" t="s">
        <v>19</v>
      </c>
      <c r="F1224" s="1" t="s">
        <v>21</v>
      </c>
      <c r="G1224" s="4">
        <v>749.95</v>
      </c>
      <c r="H1224" s="1">
        <v>7</v>
      </c>
      <c r="I1224" s="1" t="str">
        <f>TEXT(SalesTable[[#This Row],[Order_Date]],"mmm")</f>
        <v>May</v>
      </c>
      <c r="J1224" s="1">
        <f>YEAR(SalesTable[[#This Row],[Order_Date]])</f>
        <v>2025</v>
      </c>
      <c r="K1224" s="4">
        <v>-16.899999999999999</v>
      </c>
      <c r="L1224" s="9">
        <f>SalesTable[[#This Row],[Profit]]/SalesTable[[#This Row],[Sales]]</f>
        <v>-2.2534835655710378E-2</v>
      </c>
    </row>
    <row r="1225" spans="1:12" ht="14" x14ac:dyDescent="0.15">
      <c r="A1225" s="1">
        <v>11224</v>
      </c>
      <c r="B1225" s="2">
        <v>45785</v>
      </c>
      <c r="C1225" s="1" t="s">
        <v>9</v>
      </c>
      <c r="D1225" s="1" t="s">
        <v>13</v>
      </c>
      <c r="E1225" s="1" t="s">
        <v>18</v>
      </c>
      <c r="F1225" s="1" t="s">
        <v>22</v>
      </c>
      <c r="G1225" s="4">
        <v>480.75</v>
      </c>
      <c r="H1225" s="1">
        <v>7</v>
      </c>
      <c r="I1225" s="1" t="str">
        <f>TEXT(SalesTable[[#This Row],[Order_Date]],"mmm")</f>
        <v>May</v>
      </c>
      <c r="J1225" s="1">
        <f>YEAR(SalesTable[[#This Row],[Order_Date]])</f>
        <v>2025</v>
      </c>
      <c r="K1225" s="4">
        <v>159.5</v>
      </c>
      <c r="L1225" s="9">
        <f>SalesTable[[#This Row],[Profit]]/SalesTable[[#This Row],[Sales]]</f>
        <v>0.33177327093083725</v>
      </c>
    </row>
    <row r="1226" spans="1:12" ht="14" x14ac:dyDescent="0.15">
      <c r="A1226" s="1">
        <v>11225</v>
      </c>
      <c r="B1226" s="2">
        <v>45786</v>
      </c>
      <c r="C1226" s="1" t="s">
        <v>11</v>
      </c>
      <c r="D1226" s="1" t="s">
        <v>15</v>
      </c>
      <c r="E1226" s="1" t="s">
        <v>16</v>
      </c>
      <c r="F1226" s="1" t="s">
        <v>23</v>
      </c>
      <c r="G1226" s="4">
        <v>989.82</v>
      </c>
      <c r="H1226" s="1">
        <v>2</v>
      </c>
      <c r="I1226" s="1" t="str">
        <f>TEXT(SalesTable[[#This Row],[Order_Date]],"mmm")</f>
        <v>May</v>
      </c>
      <c r="J1226" s="1">
        <f>YEAR(SalesTable[[#This Row],[Order_Date]])</f>
        <v>2025</v>
      </c>
      <c r="K1226" s="4">
        <v>248.47</v>
      </c>
      <c r="L1226" s="9">
        <f>SalesTable[[#This Row],[Profit]]/SalesTable[[#This Row],[Sales]]</f>
        <v>0.25102543896870139</v>
      </c>
    </row>
    <row r="1227" spans="1:12" ht="14" x14ac:dyDescent="0.15">
      <c r="A1227" s="1">
        <v>11226</v>
      </c>
      <c r="B1227" s="2">
        <v>45787</v>
      </c>
      <c r="C1227" s="1" t="s">
        <v>12</v>
      </c>
      <c r="D1227" s="1" t="s">
        <v>15</v>
      </c>
      <c r="E1227" s="1" t="s">
        <v>16</v>
      </c>
      <c r="F1227" s="1" t="s">
        <v>21</v>
      </c>
      <c r="G1227" s="4">
        <v>102.01</v>
      </c>
      <c r="H1227" s="1">
        <v>3</v>
      </c>
      <c r="I1227" s="1" t="str">
        <f>TEXT(SalesTable[[#This Row],[Order_Date]],"mmm")</f>
        <v>May</v>
      </c>
      <c r="J1227" s="1">
        <f>YEAR(SalesTable[[#This Row],[Order_Date]])</f>
        <v>2025</v>
      </c>
      <c r="K1227" s="4">
        <v>199.33</v>
      </c>
      <c r="L1227" s="9">
        <f>SalesTable[[#This Row],[Profit]]/SalesTable[[#This Row],[Sales]]</f>
        <v>1.9540241152828155</v>
      </c>
    </row>
    <row r="1228" spans="1:12" ht="14" x14ac:dyDescent="0.15">
      <c r="A1228" s="1">
        <v>11227</v>
      </c>
      <c r="B1228" s="2">
        <v>45788</v>
      </c>
      <c r="C1228" s="1" t="s">
        <v>9</v>
      </c>
      <c r="D1228" s="1" t="s">
        <v>14</v>
      </c>
      <c r="E1228" s="1" t="s">
        <v>18</v>
      </c>
      <c r="F1228" s="1" t="s">
        <v>25</v>
      </c>
      <c r="G1228" s="4">
        <v>387.26</v>
      </c>
      <c r="H1228" s="1">
        <v>4</v>
      </c>
      <c r="I1228" s="1" t="str">
        <f>TEXT(SalesTable[[#This Row],[Order_Date]],"mmm")</f>
        <v>May</v>
      </c>
      <c r="J1228" s="1">
        <f>YEAR(SalesTable[[#This Row],[Order_Date]])</f>
        <v>2025</v>
      </c>
      <c r="K1228" s="4">
        <v>247.5</v>
      </c>
      <c r="L1228" s="9">
        <f>SalesTable[[#This Row],[Profit]]/SalesTable[[#This Row],[Sales]]</f>
        <v>0.63910551050973508</v>
      </c>
    </row>
    <row r="1229" spans="1:12" ht="14" x14ac:dyDescent="0.15">
      <c r="A1229" s="1">
        <v>11228</v>
      </c>
      <c r="B1229" s="2">
        <v>45789</v>
      </c>
      <c r="C1229" s="1" t="s">
        <v>10</v>
      </c>
      <c r="D1229" s="1" t="s">
        <v>13</v>
      </c>
      <c r="E1229" s="1" t="s">
        <v>18</v>
      </c>
      <c r="F1229" s="1" t="s">
        <v>25</v>
      </c>
      <c r="G1229" s="4">
        <v>507.81</v>
      </c>
      <c r="H1229" s="1">
        <v>7</v>
      </c>
      <c r="I1229" s="1" t="str">
        <f>TEXT(SalesTable[[#This Row],[Order_Date]],"mmm")</f>
        <v>May</v>
      </c>
      <c r="J1229" s="1">
        <f>YEAR(SalesTable[[#This Row],[Order_Date]])</f>
        <v>2025</v>
      </c>
      <c r="K1229" s="4">
        <v>114.62</v>
      </c>
      <c r="L1229" s="9">
        <f>SalesTable[[#This Row],[Profit]]/SalesTable[[#This Row],[Sales]]</f>
        <v>0.22571434197829898</v>
      </c>
    </row>
    <row r="1230" spans="1:12" ht="14" x14ac:dyDescent="0.15">
      <c r="A1230" s="1">
        <v>11229</v>
      </c>
      <c r="B1230" s="2">
        <v>45790</v>
      </c>
      <c r="C1230" s="1" t="s">
        <v>12</v>
      </c>
      <c r="D1230" s="1" t="s">
        <v>14</v>
      </c>
      <c r="E1230" s="1" t="s">
        <v>20</v>
      </c>
      <c r="F1230" s="1" t="s">
        <v>24</v>
      </c>
      <c r="G1230" s="4">
        <v>527.98</v>
      </c>
      <c r="H1230" s="1">
        <v>2</v>
      </c>
      <c r="I1230" s="1" t="str">
        <f>TEXT(SalesTable[[#This Row],[Order_Date]],"mmm")</f>
        <v>May</v>
      </c>
      <c r="J1230" s="1">
        <f>YEAR(SalesTable[[#This Row],[Order_Date]])</f>
        <v>2025</v>
      </c>
      <c r="K1230" s="4">
        <v>200.75</v>
      </c>
      <c r="L1230" s="9">
        <f>SalesTable[[#This Row],[Profit]]/SalesTable[[#This Row],[Sales]]</f>
        <v>0.38022273570968596</v>
      </c>
    </row>
    <row r="1231" spans="1:12" ht="14" x14ac:dyDescent="0.15">
      <c r="A1231" s="1">
        <v>11230</v>
      </c>
      <c r="B1231" s="2">
        <v>45791</v>
      </c>
      <c r="C1231" s="1" t="s">
        <v>9</v>
      </c>
      <c r="D1231" s="1" t="s">
        <v>13</v>
      </c>
      <c r="E1231" s="1" t="s">
        <v>18</v>
      </c>
      <c r="F1231" s="1" t="s">
        <v>25</v>
      </c>
      <c r="G1231" s="4">
        <v>350.14</v>
      </c>
      <c r="H1231" s="1">
        <v>3</v>
      </c>
      <c r="I1231" s="1" t="str">
        <f>TEXT(SalesTable[[#This Row],[Order_Date]],"mmm")</f>
        <v>May</v>
      </c>
      <c r="J1231" s="1">
        <f>YEAR(SalesTable[[#This Row],[Order_Date]])</f>
        <v>2025</v>
      </c>
      <c r="K1231" s="4">
        <v>-43.97</v>
      </c>
      <c r="L1231" s="9">
        <f>SalesTable[[#This Row],[Profit]]/SalesTable[[#This Row],[Sales]]</f>
        <v>-0.12557834009253441</v>
      </c>
    </row>
    <row r="1232" spans="1:12" ht="14" x14ac:dyDescent="0.15">
      <c r="A1232" s="1">
        <v>11231</v>
      </c>
      <c r="B1232" s="2">
        <v>45792</v>
      </c>
      <c r="C1232" s="1" t="s">
        <v>9</v>
      </c>
      <c r="D1232" s="1" t="s">
        <v>15</v>
      </c>
      <c r="E1232" s="1" t="s">
        <v>17</v>
      </c>
      <c r="F1232" s="1" t="s">
        <v>24</v>
      </c>
      <c r="G1232" s="4">
        <v>742.78</v>
      </c>
      <c r="H1232" s="1">
        <v>7</v>
      </c>
      <c r="I1232" s="1" t="str">
        <f>TEXT(SalesTable[[#This Row],[Order_Date]],"mmm")</f>
        <v>May</v>
      </c>
      <c r="J1232" s="1">
        <f>YEAR(SalesTable[[#This Row],[Order_Date]])</f>
        <v>2025</v>
      </c>
      <c r="K1232" s="4">
        <v>39.31</v>
      </c>
      <c r="L1232" s="9">
        <f>SalesTable[[#This Row],[Profit]]/SalesTable[[#This Row],[Sales]]</f>
        <v>5.2922803521904205E-2</v>
      </c>
    </row>
    <row r="1233" spans="1:12" ht="14" x14ac:dyDescent="0.15">
      <c r="A1233" s="1">
        <v>11232</v>
      </c>
      <c r="B1233" s="2">
        <v>45793</v>
      </c>
      <c r="C1233" s="1" t="s">
        <v>10</v>
      </c>
      <c r="D1233" s="1" t="s">
        <v>14</v>
      </c>
      <c r="E1233" s="1" t="s">
        <v>16</v>
      </c>
      <c r="F1233" s="1" t="s">
        <v>22</v>
      </c>
      <c r="G1233" s="4">
        <v>881.01</v>
      </c>
      <c r="H1233" s="1">
        <v>7</v>
      </c>
      <c r="I1233" s="1" t="str">
        <f>TEXT(SalesTable[[#This Row],[Order_Date]],"mmm")</f>
        <v>May</v>
      </c>
      <c r="J1233" s="1">
        <f>YEAR(SalesTable[[#This Row],[Order_Date]])</f>
        <v>2025</v>
      </c>
      <c r="K1233" s="4">
        <v>55.82</v>
      </c>
      <c r="L1233" s="9">
        <f>SalesTable[[#This Row],[Profit]]/SalesTable[[#This Row],[Sales]]</f>
        <v>6.3359099215672926E-2</v>
      </c>
    </row>
    <row r="1234" spans="1:12" ht="14" x14ac:dyDescent="0.15">
      <c r="A1234" s="1">
        <v>11233</v>
      </c>
      <c r="B1234" s="2">
        <v>45794</v>
      </c>
      <c r="C1234" s="1" t="s">
        <v>11</v>
      </c>
      <c r="D1234" s="1" t="s">
        <v>14</v>
      </c>
      <c r="E1234" s="1" t="s">
        <v>18</v>
      </c>
      <c r="F1234" s="1" t="s">
        <v>22</v>
      </c>
      <c r="G1234" s="4">
        <v>941.78</v>
      </c>
      <c r="H1234" s="1">
        <v>3</v>
      </c>
      <c r="I1234" s="1" t="str">
        <f>TEXT(SalesTable[[#This Row],[Order_Date]],"mmm")</f>
        <v>May</v>
      </c>
      <c r="J1234" s="1">
        <f>YEAR(SalesTable[[#This Row],[Order_Date]])</f>
        <v>2025</v>
      </c>
      <c r="K1234" s="4">
        <v>104.52</v>
      </c>
      <c r="L1234" s="9">
        <f>SalesTable[[#This Row],[Profit]]/SalesTable[[#This Row],[Sales]]</f>
        <v>0.11098133322007263</v>
      </c>
    </row>
    <row r="1235" spans="1:12" ht="14" x14ac:dyDescent="0.15">
      <c r="A1235" s="1">
        <v>11234</v>
      </c>
      <c r="B1235" s="2">
        <v>45795</v>
      </c>
      <c r="C1235" s="1" t="s">
        <v>11</v>
      </c>
      <c r="D1235" s="1" t="s">
        <v>15</v>
      </c>
      <c r="E1235" s="1" t="s">
        <v>17</v>
      </c>
      <c r="F1235" s="1" t="s">
        <v>22</v>
      </c>
      <c r="G1235" s="4">
        <v>814.84</v>
      </c>
      <c r="H1235" s="1">
        <v>1</v>
      </c>
      <c r="I1235" s="1" t="str">
        <f>TEXT(SalesTable[[#This Row],[Order_Date]],"mmm")</f>
        <v>May</v>
      </c>
      <c r="J1235" s="1">
        <f>YEAR(SalesTable[[#This Row],[Order_Date]])</f>
        <v>2025</v>
      </c>
      <c r="K1235" s="4">
        <v>271.63</v>
      </c>
      <c r="L1235" s="9">
        <f>SalesTable[[#This Row],[Profit]]/SalesTable[[#This Row],[Sales]]</f>
        <v>0.33335378724657599</v>
      </c>
    </row>
    <row r="1236" spans="1:12" ht="14" x14ac:dyDescent="0.15">
      <c r="A1236" s="1">
        <v>11235</v>
      </c>
      <c r="B1236" s="2">
        <v>45796</v>
      </c>
      <c r="C1236" s="1" t="s">
        <v>12</v>
      </c>
      <c r="D1236" s="1" t="s">
        <v>15</v>
      </c>
      <c r="E1236" s="1" t="s">
        <v>17</v>
      </c>
      <c r="F1236" s="1" t="s">
        <v>23</v>
      </c>
      <c r="G1236" s="4">
        <v>858.05</v>
      </c>
      <c r="H1236" s="1">
        <v>3</v>
      </c>
      <c r="I1236" s="1" t="str">
        <f>TEXT(SalesTable[[#This Row],[Order_Date]],"mmm")</f>
        <v>May</v>
      </c>
      <c r="J1236" s="1">
        <f>YEAR(SalesTable[[#This Row],[Order_Date]])</f>
        <v>2025</v>
      </c>
      <c r="K1236" s="4">
        <v>249.72</v>
      </c>
      <c r="L1236" s="9">
        <f>SalesTable[[#This Row],[Profit]]/SalesTable[[#This Row],[Sales]]</f>
        <v>0.29103199114270734</v>
      </c>
    </row>
    <row r="1237" spans="1:12" ht="14" x14ac:dyDescent="0.15">
      <c r="A1237" s="1">
        <v>11236</v>
      </c>
      <c r="B1237" s="2">
        <v>45797</v>
      </c>
      <c r="C1237" s="1" t="s">
        <v>10</v>
      </c>
      <c r="D1237" s="1" t="s">
        <v>15</v>
      </c>
      <c r="E1237" s="1" t="s">
        <v>17</v>
      </c>
      <c r="F1237" s="1" t="s">
        <v>23</v>
      </c>
      <c r="G1237" s="4">
        <v>573.02</v>
      </c>
      <c r="H1237" s="1">
        <v>5</v>
      </c>
      <c r="I1237" s="1" t="str">
        <f>TEXT(SalesTable[[#This Row],[Order_Date]],"mmm")</f>
        <v>May</v>
      </c>
      <c r="J1237" s="1">
        <f>YEAR(SalesTable[[#This Row],[Order_Date]])</f>
        <v>2025</v>
      </c>
      <c r="K1237" s="4">
        <v>-46.19</v>
      </c>
      <c r="L1237" s="9">
        <f>SalesTable[[#This Row],[Profit]]/SalesTable[[#This Row],[Sales]]</f>
        <v>-8.0608006701336776E-2</v>
      </c>
    </row>
    <row r="1238" spans="1:12" ht="14" x14ac:dyDescent="0.15">
      <c r="A1238" s="1">
        <v>11237</v>
      </c>
      <c r="B1238" s="2">
        <v>45798</v>
      </c>
      <c r="C1238" s="1" t="s">
        <v>11</v>
      </c>
      <c r="D1238" s="1" t="s">
        <v>14</v>
      </c>
      <c r="E1238" s="1" t="s">
        <v>17</v>
      </c>
      <c r="F1238" s="1" t="s">
        <v>24</v>
      </c>
      <c r="G1238" s="4">
        <v>834.59</v>
      </c>
      <c r="H1238" s="1">
        <v>7</v>
      </c>
      <c r="I1238" s="1" t="str">
        <f>TEXT(SalesTable[[#This Row],[Order_Date]],"mmm")</f>
        <v>May</v>
      </c>
      <c r="J1238" s="1">
        <f>YEAR(SalesTable[[#This Row],[Order_Date]])</f>
        <v>2025</v>
      </c>
      <c r="K1238" s="4">
        <v>-30.88</v>
      </c>
      <c r="L1238" s="9">
        <f>SalesTable[[#This Row],[Profit]]/SalesTable[[#This Row],[Sales]]</f>
        <v>-3.7000203692831204E-2</v>
      </c>
    </row>
    <row r="1239" spans="1:12" ht="14" x14ac:dyDescent="0.15">
      <c r="A1239" s="1">
        <v>11238</v>
      </c>
      <c r="B1239" s="2">
        <v>45799</v>
      </c>
      <c r="C1239" s="1" t="s">
        <v>10</v>
      </c>
      <c r="D1239" s="1" t="s">
        <v>13</v>
      </c>
      <c r="E1239" s="1" t="s">
        <v>20</v>
      </c>
      <c r="F1239" s="1" t="s">
        <v>25</v>
      </c>
      <c r="G1239" s="4">
        <v>338.33</v>
      </c>
      <c r="H1239" s="1">
        <v>4</v>
      </c>
      <c r="I1239" s="1" t="str">
        <f>TEXT(SalesTable[[#This Row],[Order_Date]],"mmm")</f>
        <v>May</v>
      </c>
      <c r="J1239" s="1">
        <f>YEAR(SalesTable[[#This Row],[Order_Date]])</f>
        <v>2025</v>
      </c>
      <c r="K1239" s="4">
        <v>43.06</v>
      </c>
      <c r="L1239" s="9">
        <f>SalesTable[[#This Row],[Profit]]/SalesTable[[#This Row],[Sales]]</f>
        <v>0.12727218987379188</v>
      </c>
    </row>
    <row r="1240" spans="1:12" ht="14" x14ac:dyDescent="0.15">
      <c r="A1240" s="1">
        <v>11239</v>
      </c>
      <c r="B1240" s="2">
        <v>45800</v>
      </c>
      <c r="C1240" s="1" t="s">
        <v>11</v>
      </c>
      <c r="D1240" s="1" t="s">
        <v>14</v>
      </c>
      <c r="E1240" s="1" t="s">
        <v>17</v>
      </c>
      <c r="F1240" s="1" t="s">
        <v>25</v>
      </c>
      <c r="G1240" s="4">
        <v>428.55</v>
      </c>
      <c r="H1240" s="1">
        <v>1</v>
      </c>
      <c r="I1240" s="1" t="str">
        <f>TEXT(SalesTable[[#This Row],[Order_Date]],"mmm")</f>
        <v>May</v>
      </c>
      <c r="J1240" s="1">
        <f>YEAR(SalesTable[[#This Row],[Order_Date]])</f>
        <v>2025</v>
      </c>
      <c r="K1240" s="4">
        <v>16.3</v>
      </c>
      <c r="L1240" s="9">
        <f>SalesTable[[#This Row],[Profit]]/SalesTable[[#This Row],[Sales]]</f>
        <v>3.8035235095088091E-2</v>
      </c>
    </row>
    <row r="1241" spans="1:12" ht="14" x14ac:dyDescent="0.15">
      <c r="A1241" s="1">
        <v>11240</v>
      </c>
      <c r="B1241" s="2">
        <v>45801</v>
      </c>
      <c r="C1241" s="1" t="s">
        <v>9</v>
      </c>
      <c r="D1241" s="1" t="s">
        <v>13</v>
      </c>
      <c r="E1241" s="1" t="s">
        <v>20</v>
      </c>
      <c r="F1241" s="1" t="s">
        <v>22</v>
      </c>
      <c r="G1241" s="4">
        <v>351.07</v>
      </c>
      <c r="H1241" s="1">
        <v>6</v>
      </c>
      <c r="I1241" s="1" t="str">
        <f>TEXT(SalesTable[[#This Row],[Order_Date]],"mmm")</f>
        <v>May</v>
      </c>
      <c r="J1241" s="1">
        <f>YEAR(SalesTable[[#This Row],[Order_Date]])</f>
        <v>2025</v>
      </c>
      <c r="K1241" s="4">
        <v>145.91</v>
      </c>
      <c r="L1241" s="9">
        <f>SalesTable[[#This Row],[Profit]]/SalesTable[[#This Row],[Sales]]</f>
        <v>0.41561511949183921</v>
      </c>
    </row>
    <row r="1242" spans="1:12" ht="14" x14ac:dyDescent="0.15">
      <c r="A1242" s="1">
        <v>11241</v>
      </c>
      <c r="B1242" s="2">
        <v>45802</v>
      </c>
      <c r="C1242" s="1" t="s">
        <v>11</v>
      </c>
      <c r="D1242" s="1" t="s">
        <v>14</v>
      </c>
      <c r="E1242" s="1" t="s">
        <v>20</v>
      </c>
      <c r="F1242" s="1" t="s">
        <v>21</v>
      </c>
      <c r="G1242" s="4">
        <v>494.02</v>
      </c>
      <c r="H1242" s="1">
        <v>2</v>
      </c>
      <c r="I1242" s="1" t="str">
        <f>TEXT(SalesTable[[#This Row],[Order_Date]],"mmm")</f>
        <v>May</v>
      </c>
      <c r="J1242" s="1">
        <f>YEAR(SalesTable[[#This Row],[Order_Date]])</f>
        <v>2025</v>
      </c>
      <c r="K1242" s="4">
        <v>261.11</v>
      </c>
      <c r="L1242" s="9">
        <f>SalesTable[[#This Row],[Profit]]/SalesTable[[#This Row],[Sales]]</f>
        <v>0.52854135460102836</v>
      </c>
    </row>
    <row r="1243" spans="1:12" ht="14" x14ac:dyDescent="0.15">
      <c r="A1243" s="1">
        <v>11242</v>
      </c>
      <c r="B1243" s="2">
        <v>45803</v>
      </c>
      <c r="C1243" s="1" t="s">
        <v>10</v>
      </c>
      <c r="D1243" s="1" t="s">
        <v>14</v>
      </c>
      <c r="E1243" s="1" t="s">
        <v>17</v>
      </c>
      <c r="F1243" s="1" t="s">
        <v>23</v>
      </c>
      <c r="G1243" s="4">
        <v>321.3</v>
      </c>
      <c r="H1243" s="1">
        <v>3</v>
      </c>
      <c r="I1243" s="1" t="str">
        <f>TEXT(SalesTable[[#This Row],[Order_Date]],"mmm")</f>
        <v>May</v>
      </c>
      <c r="J1243" s="1">
        <f>YEAR(SalesTable[[#This Row],[Order_Date]])</f>
        <v>2025</v>
      </c>
      <c r="K1243" s="4">
        <v>284.92</v>
      </c>
      <c r="L1243" s="9">
        <f>SalesTable[[#This Row],[Profit]]/SalesTable[[#This Row],[Sales]]</f>
        <v>0.88677248677248677</v>
      </c>
    </row>
    <row r="1244" spans="1:12" ht="14" x14ac:dyDescent="0.15">
      <c r="A1244" s="1">
        <v>11243</v>
      </c>
      <c r="B1244" s="2">
        <v>45804</v>
      </c>
      <c r="C1244" s="1" t="s">
        <v>9</v>
      </c>
      <c r="D1244" s="1" t="s">
        <v>15</v>
      </c>
      <c r="E1244" s="1" t="s">
        <v>16</v>
      </c>
      <c r="F1244" s="1" t="s">
        <v>23</v>
      </c>
      <c r="G1244" s="4">
        <v>963.53</v>
      </c>
      <c r="H1244" s="1">
        <v>4</v>
      </c>
      <c r="I1244" s="1" t="str">
        <f>TEXT(SalesTable[[#This Row],[Order_Date]],"mmm")</f>
        <v>May</v>
      </c>
      <c r="J1244" s="1">
        <f>YEAR(SalesTable[[#This Row],[Order_Date]])</f>
        <v>2025</v>
      </c>
      <c r="K1244" s="4">
        <v>161.44</v>
      </c>
      <c r="L1244" s="9">
        <f>SalesTable[[#This Row],[Profit]]/SalesTable[[#This Row],[Sales]]</f>
        <v>0.16755056926094672</v>
      </c>
    </row>
    <row r="1245" spans="1:12" ht="14" x14ac:dyDescent="0.15">
      <c r="A1245" s="1">
        <v>11244</v>
      </c>
      <c r="B1245" s="2">
        <v>45805</v>
      </c>
      <c r="C1245" s="1" t="s">
        <v>9</v>
      </c>
      <c r="D1245" s="1" t="s">
        <v>13</v>
      </c>
      <c r="E1245" s="1" t="s">
        <v>17</v>
      </c>
      <c r="F1245" s="1" t="s">
        <v>22</v>
      </c>
      <c r="G1245" s="4">
        <v>347.2</v>
      </c>
      <c r="H1245" s="1">
        <v>6</v>
      </c>
      <c r="I1245" s="1" t="str">
        <f>TEXT(SalesTable[[#This Row],[Order_Date]],"mmm")</f>
        <v>May</v>
      </c>
      <c r="J1245" s="1">
        <f>YEAR(SalesTable[[#This Row],[Order_Date]])</f>
        <v>2025</v>
      </c>
      <c r="K1245" s="4">
        <v>235.26</v>
      </c>
      <c r="L1245" s="9">
        <f>SalesTable[[#This Row],[Profit]]/SalesTable[[#This Row],[Sales]]</f>
        <v>0.67759216589861748</v>
      </c>
    </row>
    <row r="1246" spans="1:12" ht="14" x14ac:dyDescent="0.15">
      <c r="A1246" s="1">
        <v>11245</v>
      </c>
      <c r="B1246" s="2">
        <v>45806</v>
      </c>
      <c r="C1246" s="1" t="s">
        <v>9</v>
      </c>
      <c r="D1246" s="1" t="s">
        <v>14</v>
      </c>
      <c r="E1246" s="1" t="s">
        <v>17</v>
      </c>
      <c r="F1246" s="1" t="s">
        <v>23</v>
      </c>
      <c r="G1246" s="4">
        <v>143.13999999999999</v>
      </c>
      <c r="H1246" s="1">
        <v>6</v>
      </c>
      <c r="I1246" s="1" t="str">
        <f>TEXT(SalesTable[[#This Row],[Order_Date]],"mmm")</f>
        <v>May</v>
      </c>
      <c r="J1246" s="1">
        <f>YEAR(SalesTable[[#This Row],[Order_Date]])</f>
        <v>2025</v>
      </c>
      <c r="K1246" s="4">
        <v>110.08</v>
      </c>
      <c r="L1246" s="9">
        <f>SalesTable[[#This Row],[Profit]]/SalesTable[[#This Row],[Sales]]</f>
        <v>0.76903730613385501</v>
      </c>
    </row>
    <row r="1247" spans="1:12" ht="14" x14ac:dyDescent="0.15">
      <c r="A1247" s="1">
        <v>11246</v>
      </c>
      <c r="B1247" s="2">
        <v>45807</v>
      </c>
      <c r="C1247" s="1" t="s">
        <v>10</v>
      </c>
      <c r="D1247" s="1" t="s">
        <v>14</v>
      </c>
      <c r="E1247" s="1" t="s">
        <v>17</v>
      </c>
      <c r="F1247" s="1" t="s">
        <v>22</v>
      </c>
      <c r="G1247" s="4">
        <v>550.48</v>
      </c>
      <c r="H1247" s="1">
        <v>7</v>
      </c>
      <c r="I1247" s="1" t="str">
        <f>TEXT(SalesTable[[#This Row],[Order_Date]],"mmm")</f>
        <v>May</v>
      </c>
      <c r="J1247" s="1">
        <f>YEAR(SalesTable[[#This Row],[Order_Date]])</f>
        <v>2025</v>
      </c>
      <c r="K1247" s="4">
        <v>-16.670000000000002</v>
      </c>
      <c r="L1247" s="9">
        <f>SalesTable[[#This Row],[Profit]]/SalesTable[[#This Row],[Sales]]</f>
        <v>-3.0282662403720392E-2</v>
      </c>
    </row>
    <row r="1248" spans="1:12" ht="14" x14ac:dyDescent="0.15">
      <c r="A1248" s="1">
        <v>11247</v>
      </c>
      <c r="B1248" s="2">
        <v>45808</v>
      </c>
      <c r="C1248" s="1" t="s">
        <v>12</v>
      </c>
      <c r="D1248" s="1" t="s">
        <v>15</v>
      </c>
      <c r="E1248" s="1" t="s">
        <v>16</v>
      </c>
      <c r="F1248" s="1" t="s">
        <v>24</v>
      </c>
      <c r="G1248" s="4">
        <v>104.24</v>
      </c>
      <c r="H1248" s="1">
        <v>5</v>
      </c>
      <c r="I1248" s="1" t="str">
        <f>TEXT(SalesTable[[#This Row],[Order_Date]],"mmm")</f>
        <v>May</v>
      </c>
      <c r="J1248" s="1">
        <f>YEAR(SalesTable[[#This Row],[Order_Date]])</f>
        <v>2025</v>
      </c>
      <c r="K1248" s="4">
        <v>109.88</v>
      </c>
      <c r="L1248" s="9">
        <f>SalesTable[[#This Row],[Profit]]/SalesTable[[#This Row],[Sales]]</f>
        <v>1.0541059094397545</v>
      </c>
    </row>
    <row r="1249" spans="1:12" ht="14" x14ac:dyDescent="0.15">
      <c r="A1249" s="1">
        <v>11248</v>
      </c>
      <c r="B1249" s="2">
        <v>45809</v>
      </c>
      <c r="C1249" s="1" t="s">
        <v>12</v>
      </c>
      <c r="D1249" s="1" t="s">
        <v>15</v>
      </c>
      <c r="E1249" s="1" t="s">
        <v>19</v>
      </c>
      <c r="F1249" s="1" t="s">
        <v>25</v>
      </c>
      <c r="G1249" s="4">
        <v>155.02000000000001</v>
      </c>
      <c r="H1249" s="1">
        <v>7</v>
      </c>
      <c r="I1249" s="1" t="str">
        <f>TEXT(SalesTable[[#This Row],[Order_Date]],"mmm")</f>
        <v>Jun</v>
      </c>
      <c r="J1249" s="1">
        <f>YEAR(SalesTable[[#This Row],[Order_Date]])</f>
        <v>2025</v>
      </c>
      <c r="K1249" s="4">
        <v>122.03</v>
      </c>
      <c r="L1249" s="9">
        <f>SalesTable[[#This Row],[Profit]]/SalesTable[[#This Row],[Sales]]</f>
        <v>0.78718874983873044</v>
      </c>
    </row>
    <row r="1250" spans="1:12" ht="14" x14ac:dyDescent="0.15">
      <c r="A1250" s="1">
        <v>11249</v>
      </c>
      <c r="B1250" s="2">
        <v>45810</v>
      </c>
      <c r="C1250" s="1" t="s">
        <v>12</v>
      </c>
      <c r="D1250" s="1" t="s">
        <v>13</v>
      </c>
      <c r="E1250" s="1" t="s">
        <v>19</v>
      </c>
      <c r="F1250" s="1" t="s">
        <v>21</v>
      </c>
      <c r="G1250" s="4">
        <v>258.42</v>
      </c>
      <c r="H1250" s="1">
        <v>2</v>
      </c>
      <c r="I1250" s="1" t="str">
        <f>TEXT(SalesTable[[#This Row],[Order_Date]],"mmm")</f>
        <v>Jun</v>
      </c>
      <c r="J1250" s="1">
        <f>YEAR(SalesTable[[#This Row],[Order_Date]])</f>
        <v>2025</v>
      </c>
      <c r="K1250" s="4">
        <v>196.98</v>
      </c>
      <c r="L1250" s="9">
        <f>SalesTable[[#This Row],[Profit]]/SalesTable[[#This Row],[Sales]]</f>
        <v>0.76224750406315289</v>
      </c>
    </row>
    <row r="1251" spans="1:12" ht="14" x14ac:dyDescent="0.15">
      <c r="A1251" s="1">
        <v>11250</v>
      </c>
      <c r="B1251" s="2">
        <v>45811</v>
      </c>
      <c r="C1251" s="1" t="s">
        <v>10</v>
      </c>
      <c r="D1251" s="1" t="s">
        <v>14</v>
      </c>
      <c r="E1251" s="1" t="s">
        <v>20</v>
      </c>
      <c r="F1251" s="1" t="s">
        <v>25</v>
      </c>
      <c r="G1251" s="4">
        <v>491.13</v>
      </c>
      <c r="H1251" s="1">
        <v>1</v>
      </c>
      <c r="I1251" s="1" t="str">
        <f>TEXT(SalesTable[[#This Row],[Order_Date]],"mmm")</f>
        <v>Jun</v>
      </c>
      <c r="J1251" s="1">
        <f>YEAR(SalesTable[[#This Row],[Order_Date]])</f>
        <v>2025</v>
      </c>
      <c r="K1251" s="4">
        <v>-12.05</v>
      </c>
      <c r="L1251" s="9">
        <f>SalesTable[[#This Row],[Profit]]/SalesTable[[#This Row],[Sales]]</f>
        <v>-2.4535255431352189E-2</v>
      </c>
    </row>
    <row r="1252" spans="1:12" ht="14" x14ac:dyDescent="0.15">
      <c r="A1252" s="1">
        <v>11251</v>
      </c>
      <c r="B1252" s="2">
        <v>45812</v>
      </c>
      <c r="C1252" s="1" t="s">
        <v>9</v>
      </c>
      <c r="D1252" s="1" t="s">
        <v>13</v>
      </c>
      <c r="E1252" s="1" t="s">
        <v>20</v>
      </c>
      <c r="F1252" s="1" t="s">
        <v>25</v>
      </c>
      <c r="G1252" s="4">
        <v>461.59</v>
      </c>
      <c r="H1252" s="1">
        <v>8</v>
      </c>
      <c r="I1252" s="1" t="str">
        <f>TEXT(SalesTable[[#This Row],[Order_Date]],"mmm")</f>
        <v>Jun</v>
      </c>
      <c r="J1252" s="1">
        <f>YEAR(SalesTable[[#This Row],[Order_Date]])</f>
        <v>2025</v>
      </c>
      <c r="K1252" s="4">
        <v>47.32</v>
      </c>
      <c r="L1252" s="9">
        <f>SalesTable[[#This Row],[Profit]]/SalesTable[[#This Row],[Sales]]</f>
        <v>0.1025152191338634</v>
      </c>
    </row>
    <row r="1253" spans="1:12" ht="14" x14ac:dyDescent="0.15">
      <c r="A1253" s="1">
        <v>11252</v>
      </c>
      <c r="B1253" s="2">
        <v>45813</v>
      </c>
      <c r="C1253" s="1" t="s">
        <v>12</v>
      </c>
      <c r="D1253" s="1" t="s">
        <v>14</v>
      </c>
      <c r="E1253" s="1" t="s">
        <v>16</v>
      </c>
      <c r="F1253" s="1" t="s">
        <v>24</v>
      </c>
      <c r="G1253" s="4">
        <v>809.71</v>
      </c>
      <c r="H1253" s="1">
        <v>1</v>
      </c>
      <c r="I1253" s="1" t="str">
        <f>TEXT(SalesTable[[#This Row],[Order_Date]],"mmm")</f>
        <v>Jun</v>
      </c>
      <c r="J1253" s="1">
        <f>YEAR(SalesTable[[#This Row],[Order_Date]])</f>
        <v>2025</v>
      </c>
      <c r="K1253" s="4">
        <v>45.61</v>
      </c>
      <c r="L1253" s="9">
        <f>SalesTable[[#This Row],[Profit]]/SalesTable[[#This Row],[Sales]]</f>
        <v>5.6328809079793998E-2</v>
      </c>
    </row>
    <row r="1254" spans="1:12" ht="14" x14ac:dyDescent="0.15">
      <c r="A1254" s="1">
        <v>11253</v>
      </c>
      <c r="B1254" s="2">
        <v>45814</v>
      </c>
      <c r="C1254" s="1" t="s">
        <v>10</v>
      </c>
      <c r="D1254" s="1" t="s">
        <v>13</v>
      </c>
      <c r="E1254" s="1" t="s">
        <v>18</v>
      </c>
      <c r="F1254" s="1" t="s">
        <v>23</v>
      </c>
      <c r="G1254" s="4">
        <v>752.5</v>
      </c>
      <c r="H1254" s="1">
        <v>2</v>
      </c>
      <c r="I1254" s="1" t="str">
        <f>TEXT(SalesTable[[#This Row],[Order_Date]],"mmm")</f>
        <v>Jun</v>
      </c>
      <c r="J1254" s="1">
        <f>YEAR(SalesTable[[#This Row],[Order_Date]])</f>
        <v>2025</v>
      </c>
      <c r="K1254" s="4">
        <v>283.77999999999997</v>
      </c>
      <c r="L1254" s="9">
        <f>SalesTable[[#This Row],[Profit]]/SalesTable[[#This Row],[Sales]]</f>
        <v>0.37711627906976741</v>
      </c>
    </row>
    <row r="1255" spans="1:12" ht="14" x14ac:dyDescent="0.15">
      <c r="A1255" s="1">
        <v>11254</v>
      </c>
      <c r="B1255" s="2">
        <v>45815</v>
      </c>
      <c r="C1255" s="1" t="s">
        <v>12</v>
      </c>
      <c r="D1255" s="1" t="s">
        <v>15</v>
      </c>
      <c r="E1255" s="1" t="s">
        <v>19</v>
      </c>
      <c r="F1255" s="1" t="s">
        <v>21</v>
      </c>
      <c r="G1255" s="4">
        <v>455</v>
      </c>
      <c r="H1255" s="1">
        <v>6</v>
      </c>
      <c r="I1255" s="1" t="str">
        <f>TEXT(SalesTable[[#This Row],[Order_Date]],"mmm")</f>
        <v>Jun</v>
      </c>
      <c r="J1255" s="1">
        <f>YEAR(SalesTable[[#This Row],[Order_Date]])</f>
        <v>2025</v>
      </c>
      <c r="K1255" s="4">
        <v>77.58</v>
      </c>
      <c r="L1255" s="9">
        <f>SalesTable[[#This Row],[Profit]]/SalesTable[[#This Row],[Sales]]</f>
        <v>0.17050549450549451</v>
      </c>
    </row>
    <row r="1256" spans="1:12" ht="14" x14ac:dyDescent="0.15">
      <c r="A1256" s="1">
        <v>11255</v>
      </c>
      <c r="B1256" s="2">
        <v>45816</v>
      </c>
      <c r="C1256" s="1" t="s">
        <v>11</v>
      </c>
      <c r="D1256" s="1" t="s">
        <v>14</v>
      </c>
      <c r="E1256" s="1" t="s">
        <v>20</v>
      </c>
      <c r="F1256" s="1" t="s">
        <v>23</v>
      </c>
      <c r="G1256" s="4">
        <v>367.02</v>
      </c>
      <c r="H1256" s="1">
        <v>1</v>
      </c>
      <c r="I1256" s="1" t="str">
        <f>TEXT(SalesTable[[#This Row],[Order_Date]],"mmm")</f>
        <v>Jun</v>
      </c>
      <c r="J1256" s="1">
        <f>YEAR(SalesTable[[#This Row],[Order_Date]])</f>
        <v>2025</v>
      </c>
      <c r="K1256" s="4">
        <v>202.04</v>
      </c>
      <c r="L1256" s="9">
        <f>SalesTable[[#This Row],[Profit]]/SalesTable[[#This Row],[Sales]]</f>
        <v>0.55048771184131651</v>
      </c>
    </row>
    <row r="1257" spans="1:12" ht="14" x14ac:dyDescent="0.15">
      <c r="A1257" s="1">
        <v>11256</v>
      </c>
      <c r="B1257" s="2">
        <v>45817</v>
      </c>
      <c r="C1257" s="1" t="s">
        <v>12</v>
      </c>
      <c r="D1257" s="1" t="s">
        <v>13</v>
      </c>
      <c r="E1257" s="1" t="s">
        <v>19</v>
      </c>
      <c r="F1257" s="1" t="s">
        <v>25</v>
      </c>
      <c r="G1257" s="4">
        <v>350.65</v>
      </c>
      <c r="H1257" s="1">
        <v>3</v>
      </c>
      <c r="I1257" s="1" t="str">
        <f>TEXT(SalesTable[[#This Row],[Order_Date]],"mmm")</f>
        <v>Jun</v>
      </c>
      <c r="J1257" s="1">
        <f>YEAR(SalesTable[[#This Row],[Order_Date]])</f>
        <v>2025</v>
      </c>
      <c r="K1257" s="4">
        <v>200.32</v>
      </c>
      <c r="L1257" s="9">
        <f>SalesTable[[#This Row],[Profit]]/SalesTable[[#This Row],[Sales]]</f>
        <v>0.57128190503350917</v>
      </c>
    </row>
    <row r="1258" spans="1:12" ht="14" x14ac:dyDescent="0.15">
      <c r="A1258" s="1">
        <v>11257</v>
      </c>
      <c r="B1258" s="2">
        <v>45818</v>
      </c>
      <c r="C1258" s="1" t="s">
        <v>12</v>
      </c>
      <c r="D1258" s="1" t="s">
        <v>15</v>
      </c>
      <c r="E1258" s="1" t="s">
        <v>16</v>
      </c>
      <c r="F1258" s="1" t="s">
        <v>22</v>
      </c>
      <c r="G1258" s="4">
        <v>785.3</v>
      </c>
      <c r="H1258" s="1">
        <v>7</v>
      </c>
      <c r="I1258" s="1" t="str">
        <f>TEXT(SalesTable[[#This Row],[Order_Date]],"mmm")</f>
        <v>Jun</v>
      </c>
      <c r="J1258" s="1">
        <f>YEAR(SalesTable[[#This Row],[Order_Date]])</f>
        <v>2025</v>
      </c>
      <c r="K1258" s="4">
        <v>6.22</v>
      </c>
      <c r="L1258" s="9">
        <f>SalesTable[[#This Row],[Profit]]/SalesTable[[#This Row],[Sales]]</f>
        <v>7.920539921049281E-3</v>
      </c>
    </row>
    <row r="1259" spans="1:12" ht="14" x14ac:dyDescent="0.15">
      <c r="A1259" s="1">
        <v>11258</v>
      </c>
      <c r="B1259" s="2">
        <v>45819</v>
      </c>
      <c r="C1259" s="1" t="s">
        <v>9</v>
      </c>
      <c r="D1259" s="1" t="s">
        <v>15</v>
      </c>
      <c r="E1259" s="1" t="s">
        <v>16</v>
      </c>
      <c r="F1259" s="1" t="s">
        <v>25</v>
      </c>
      <c r="G1259" s="4">
        <v>99.47</v>
      </c>
      <c r="H1259" s="1">
        <v>8</v>
      </c>
      <c r="I1259" s="1" t="str">
        <f>TEXT(SalesTable[[#This Row],[Order_Date]],"mmm")</f>
        <v>Jun</v>
      </c>
      <c r="J1259" s="1">
        <f>YEAR(SalesTable[[#This Row],[Order_Date]])</f>
        <v>2025</v>
      </c>
      <c r="K1259" s="4">
        <v>128.75</v>
      </c>
      <c r="L1259" s="9">
        <f>SalesTable[[#This Row],[Profit]]/SalesTable[[#This Row],[Sales]]</f>
        <v>1.2943601085754499</v>
      </c>
    </row>
    <row r="1260" spans="1:12" ht="14" x14ac:dyDescent="0.15">
      <c r="A1260" s="1">
        <v>11259</v>
      </c>
      <c r="B1260" s="2">
        <v>45820</v>
      </c>
      <c r="C1260" s="1" t="s">
        <v>10</v>
      </c>
      <c r="D1260" s="1" t="s">
        <v>13</v>
      </c>
      <c r="E1260" s="1" t="s">
        <v>18</v>
      </c>
      <c r="F1260" s="1" t="s">
        <v>23</v>
      </c>
      <c r="G1260" s="4">
        <v>62.18</v>
      </c>
      <c r="H1260" s="1">
        <v>4</v>
      </c>
      <c r="I1260" s="1" t="str">
        <f>TEXT(SalesTable[[#This Row],[Order_Date]],"mmm")</f>
        <v>Jun</v>
      </c>
      <c r="J1260" s="1">
        <f>YEAR(SalesTable[[#This Row],[Order_Date]])</f>
        <v>2025</v>
      </c>
      <c r="K1260" s="4">
        <v>257.72000000000003</v>
      </c>
      <c r="L1260" s="9">
        <f>SalesTable[[#This Row],[Profit]]/SalesTable[[#This Row],[Sales]]</f>
        <v>4.1447410743004189</v>
      </c>
    </row>
    <row r="1261" spans="1:12" ht="14" x14ac:dyDescent="0.15">
      <c r="A1261" s="1">
        <v>11260</v>
      </c>
      <c r="B1261" s="2">
        <v>45821</v>
      </c>
      <c r="C1261" s="1" t="s">
        <v>9</v>
      </c>
      <c r="D1261" s="1" t="s">
        <v>14</v>
      </c>
      <c r="E1261" s="1" t="s">
        <v>18</v>
      </c>
      <c r="F1261" s="1" t="s">
        <v>25</v>
      </c>
      <c r="G1261" s="4">
        <v>805.77</v>
      </c>
      <c r="H1261" s="1">
        <v>3</v>
      </c>
      <c r="I1261" s="1" t="str">
        <f>TEXT(SalesTable[[#This Row],[Order_Date]],"mmm")</f>
        <v>Jun</v>
      </c>
      <c r="J1261" s="1">
        <f>YEAR(SalesTable[[#This Row],[Order_Date]])</f>
        <v>2025</v>
      </c>
      <c r="K1261" s="4">
        <v>90.08</v>
      </c>
      <c r="L1261" s="9">
        <f>SalesTable[[#This Row],[Profit]]/SalesTable[[#This Row],[Sales]]</f>
        <v>0.11179368802511883</v>
      </c>
    </row>
    <row r="1262" spans="1:12" ht="14" x14ac:dyDescent="0.15">
      <c r="A1262" s="1">
        <v>11261</v>
      </c>
      <c r="B1262" s="2">
        <v>45822</v>
      </c>
      <c r="C1262" s="1" t="s">
        <v>9</v>
      </c>
      <c r="D1262" s="1" t="s">
        <v>14</v>
      </c>
      <c r="E1262" s="1" t="s">
        <v>16</v>
      </c>
      <c r="F1262" s="1" t="s">
        <v>22</v>
      </c>
      <c r="G1262" s="4">
        <v>503.29</v>
      </c>
      <c r="H1262" s="1">
        <v>1</v>
      </c>
      <c r="I1262" s="1" t="str">
        <f>TEXT(SalesTable[[#This Row],[Order_Date]],"mmm")</f>
        <v>Jun</v>
      </c>
      <c r="J1262" s="1">
        <f>YEAR(SalesTable[[#This Row],[Order_Date]])</f>
        <v>2025</v>
      </c>
      <c r="K1262" s="4">
        <v>278.05</v>
      </c>
      <c r="L1262" s="9">
        <f>SalesTable[[#This Row],[Profit]]/SalesTable[[#This Row],[Sales]]</f>
        <v>0.55246478173617597</v>
      </c>
    </row>
    <row r="1263" spans="1:12" ht="14" x14ac:dyDescent="0.15">
      <c r="A1263" s="1">
        <v>11262</v>
      </c>
      <c r="B1263" s="2">
        <v>45823</v>
      </c>
      <c r="C1263" s="1" t="s">
        <v>9</v>
      </c>
      <c r="D1263" s="1" t="s">
        <v>15</v>
      </c>
      <c r="E1263" s="1" t="s">
        <v>20</v>
      </c>
      <c r="F1263" s="1" t="s">
        <v>24</v>
      </c>
      <c r="G1263" s="4">
        <v>174.34</v>
      </c>
      <c r="H1263" s="1">
        <v>9</v>
      </c>
      <c r="I1263" s="1" t="str">
        <f>TEXT(SalesTable[[#This Row],[Order_Date]],"mmm")</f>
        <v>Jun</v>
      </c>
      <c r="J1263" s="1">
        <f>YEAR(SalesTable[[#This Row],[Order_Date]])</f>
        <v>2025</v>
      </c>
      <c r="K1263" s="4">
        <v>-14.22</v>
      </c>
      <c r="L1263" s="9">
        <f>SalesTable[[#This Row],[Profit]]/SalesTable[[#This Row],[Sales]]</f>
        <v>-8.1564758517838704E-2</v>
      </c>
    </row>
    <row r="1264" spans="1:12" ht="14" x14ac:dyDescent="0.15">
      <c r="A1264" s="1">
        <v>11263</v>
      </c>
      <c r="B1264" s="2">
        <v>45824</v>
      </c>
      <c r="C1264" s="1" t="s">
        <v>9</v>
      </c>
      <c r="D1264" s="1" t="s">
        <v>14</v>
      </c>
      <c r="E1264" s="1" t="s">
        <v>19</v>
      </c>
      <c r="F1264" s="1" t="s">
        <v>23</v>
      </c>
      <c r="G1264" s="4">
        <v>273.79000000000002</v>
      </c>
      <c r="H1264" s="1">
        <v>6</v>
      </c>
      <c r="I1264" s="1" t="str">
        <f>TEXT(SalesTable[[#This Row],[Order_Date]],"mmm")</f>
        <v>Jun</v>
      </c>
      <c r="J1264" s="1">
        <f>YEAR(SalesTable[[#This Row],[Order_Date]])</f>
        <v>2025</v>
      </c>
      <c r="K1264" s="4">
        <v>-70.34</v>
      </c>
      <c r="L1264" s="9">
        <f>SalesTable[[#This Row],[Profit]]/SalesTable[[#This Row],[Sales]]</f>
        <v>-0.25691223200262975</v>
      </c>
    </row>
    <row r="1265" spans="1:12" ht="14" x14ac:dyDescent="0.15">
      <c r="A1265" s="1">
        <v>11264</v>
      </c>
      <c r="B1265" s="2">
        <v>45825</v>
      </c>
      <c r="C1265" s="1" t="s">
        <v>9</v>
      </c>
      <c r="D1265" s="1" t="s">
        <v>14</v>
      </c>
      <c r="E1265" s="1" t="s">
        <v>17</v>
      </c>
      <c r="F1265" s="1" t="s">
        <v>25</v>
      </c>
      <c r="G1265" s="4">
        <v>935.88</v>
      </c>
      <c r="H1265" s="1">
        <v>6</v>
      </c>
      <c r="I1265" s="1" t="str">
        <f>TEXT(SalesTable[[#This Row],[Order_Date]],"mmm")</f>
        <v>Jun</v>
      </c>
      <c r="J1265" s="1">
        <f>YEAR(SalesTable[[#This Row],[Order_Date]])</f>
        <v>2025</v>
      </c>
      <c r="K1265" s="4">
        <v>256.58</v>
      </c>
      <c r="L1265" s="9">
        <f>SalesTable[[#This Row],[Profit]]/SalesTable[[#This Row],[Sales]]</f>
        <v>0.27415908022396029</v>
      </c>
    </row>
    <row r="1266" spans="1:12" ht="14" x14ac:dyDescent="0.15">
      <c r="A1266" s="1">
        <v>11265</v>
      </c>
      <c r="B1266" s="2">
        <v>45826</v>
      </c>
      <c r="C1266" s="1" t="s">
        <v>12</v>
      </c>
      <c r="D1266" s="1" t="s">
        <v>14</v>
      </c>
      <c r="E1266" s="1" t="s">
        <v>18</v>
      </c>
      <c r="F1266" s="1" t="s">
        <v>23</v>
      </c>
      <c r="G1266" s="4">
        <v>866.53</v>
      </c>
      <c r="H1266" s="1">
        <v>9</v>
      </c>
      <c r="I1266" s="1" t="str">
        <f>TEXT(SalesTable[[#This Row],[Order_Date]],"mmm")</f>
        <v>Jun</v>
      </c>
      <c r="J1266" s="1">
        <f>YEAR(SalesTable[[#This Row],[Order_Date]])</f>
        <v>2025</v>
      </c>
      <c r="K1266" s="4">
        <v>239.07</v>
      </c>
      <c r="L1266" s="9">
        <f>SalesTable[[#This Row],[Profit]]/SalesTable[[#This Row],[Sales]]</f>
        <v>0.2758935062836832</v>
      </c>
    </row>
    <row r="1267" spans="1:12" ht="14" x14ac:dyDescent="0.15">
      <c r="A1267" s="1">
        <v>11266</v>
      </c>
      <c r="B1267" s="2">
        <v>45827</v>
      </c>
      <c r="C1267" s="1" t="s">
        <v>9</v>
      </c>
      <c r="D1267" s="1" t="s">
        <v>15</v>
      </c>
      <c r="E1267" s="1" t="s">
        <v>17</v>
      </c>
      <c r="F1267" s="1" t="s">
        <v>24</v>
      </c>
      <c r="G1267" s="4">
        <v>724.3</v>
      </c>
      <c r="H1267" s="1">
        <v>1</v>
      </c>
      <c r="I1267" s="1" t="str">
        <f>TEXT(SalesTable[[#This Row],[Order_Date]],"mmm")</f>
        <v>Jun</v>
      </c>
      <c r="J1267" s="1">
        <f>YEAR(SalesTable[[#This Row],[Order_Date]])</f>
        <v>2025</v>
      </c>
      <c r="K1267" s="4">
        <v>297.04000000000002</v>
      </c>
      <c r="L1267" s="9">
        <f>SalesTable[[#This Row],[Profit]]/SalesTable[[#This Row],[Sales]]</f>
        <v>0.41010630954024579</v>
      </c>
    </row>
    <row r="1268" spans="1:12" ht="14" x14ac:dyDescent="0.15">
      <c r="A1268" s="1">
        <v>11267</v>
      </c>
      <c r="B1268" s="2">
        <v>45828</v>
      </c>
      <c r="C1268" s="1" t="s">
        <v>9</v>
      </c>
      <c r="D1268" s="1" t="s">
        <v>13</v>
      </c>
      <c r="E1268" s="1" t="s">
        <v>20</v>
      </c>
      <c r="F1268" s="1" t="s">
        <v>25</v>
      </c>
      <c r="G1268" s="4">
        <v>508.11</v>
      </c>
      <c r="H1268" s="1">
        <v>6</v>
      </c>
      <c r="I1268" s="1" t="str">
        <f>TEXT(SalesTable[[#This Row],[Order_Date]],"mmm")</f>
        <v>Jun</v>
      </c>
      <c r="J1268" s="1">
        <f>YEAR(SalesTable[[#This Row],[Order_Date]])</f>
        <v>2025</v>
      </c>
      <c r="K1268" s="4">
        <v>171.76</v>
      </c>
      <c r="L1268" s="9">
        <f>SalesTable[[#This Row],[Profit]]/SalesTable[[#This Row],[Sales]]</f>
        <v>0.33803703922379008</v>
      </c>
    </row>
    <row r="1269" spans="1:12" ht="14" x14ac:dyDescent="0.15">
      <c r="A1269" s="1">
        <v>11268</v>
      </c>
      <c r="B1269" s="2">
        <v>45829</v>
      </c>
      <c r="C1269" s="1" t="s">
        <v>10</v>
      </c>
      <c r="D1269" s="1" t="s">
        <v>14</v>
      </c>
      <c r="E1269" s="1" t="s">
        <v>18</v>
      </c>
      <c r="F1269" s="1" t="s">
        <v>25</v>
      </c>
      <c r="G1269" s="4">
        <v>544.30999999999995</v>
      </c>
      <c r="H1269" s="1">
        <v>5</v>
      </c>
      <c r="I1269" s="1" t="str">
        <f>TEXT(SalesTable[[#This Row],[Order_Date]],"mmm")</f>
        <v>Jun</v>
      </c>
      <c r="J1269" s="1">
        <f>YEAR(SalesTable[[#This Row],[Order_Date]])</f>
        <v>2025</v>
      </c>
      <c r="K1269" s="4">
        <v>274.68</v>
      </c>
      <c r="L1269" s="9">
        <f>SalesTable[[#This Row],[Profit]]/SalesTable[[#This Row],[Sales]]</f>
        <v>0.50463890062648131</v>
      </c>
    </row>
    <row r="1270" spans="1:12" ht="14" x14ac:dyDescent="0.15">
      <c r="A1270" s="1">
        <v>11269</v>
      </c>
      <c r="B1270" s="2">
        <v>45830</v>
      </c>
      <c r="C1270" s="1" t="s">
        <v>11</v>
      </c>
      <c r="D1270" s="1" t="s">
        <v>15</v>
      </c>
      <c r="E1270" s="1" t="s">
        <v>17</v>
      </c>
      <c r="F1270" s="1" t="s">
        <v>23</v>
      </c>
      <c r="G1270" s="4">
        <v>976.48</v>
      </c>
      <c r="H1270" s="1">
        <v>6</v>
      </c>
      <c r="I1270" s="1" t="str">
        <f>TEXT(SalesTable[[#This Row],[Order_Date]],"mmm")</f>
        <v>Jun</v>
      </c>
      <c r="J1270" s="1">
        <f>YEAR(SalesTable[[#This Row],[Order_Date]])</f>
        <v>2025</v>
      </c>
      <c r="K1270" s="4">
        <v>230.78</v>
      </c>
      <c r="L1270" s="9">
        <f>SalesTable[[#This Row],[Profit]]/SalesTable[[#This Row],[Sales]]</f>
        <v>0.23633868589218418</v>
      </c>
    </row>
    <row r="1271" spans="1:12" ht="14" x14ac:dyDescent="0.15">
      <c r="A1271" s="1">
        <v>11270</v>
      </c>
      <c r="B1271" s="2">
        <v>45831</v>
      </c>
      <c r="C1271" s="1" t="s">
        <v>12</v>
      </c>
      <c r="D1271" s="1" t="s">
        <v>15</v>
      </c>
      <c r="E1271" s="1" t="s">
        <v>20</v>
      </c>
      <c r="F1271" s="1" t="s">
        <v>23</v>
      </c>
      <c r="G1271" s="4">
        <v>967.48</v>
      </c>
      <c r="H1271" s="1">
        <v>8</v>
      </c>
      <c r="I1271" s="1" t="str">
        <f>TEXT(SalesTable[[#This Row],[Order_Date]],"mmm")</f>
        <v>Jun</v>
      </c>
      <c r="J1271" s="1">
        <f>YEAR(SalesTable[[#This Row],[Order_Date]])</f>
        <v>2025</v>
      </c>
      <c r="K1271" s="4">
        <v>237.77</v>
      </c>
      <c r="L1271" s="9">
        <f>SalesTable[[#This Row],[Profit]]/SalesTable[[#This Row],[Sales]]</f>
        <v>0.24576218629842478</v>
      </c>
    </row>
    <row r="1272" spans="1:12" ht="14" x14ac:dyDescent="0.15">
      <c r="A1272" s="1">
        <v>11271</v>
      </c>
      <c r="B1272" s="2">
        <v>45832</v>
      </c>
      <c r="C1272" s="1" t="s">
        <v>12</v>
      </c>
      <c r="D1272" s="1" t="s">
        <v>13</v>
      </c>
      <c r="E1272" s="1" t="s">
        <v>19</v>
      </c>
      <c r="F1272" s="1" t="s">
        <v>22</v>
      </c>
      <c r="G1272" s="4">
        <v>254.51</v>
      </c>
      <c r="H1272" s="1">
        <v>5</v>
      </c>
      <c r="I1272" s="1" t="str">
        <f>TEXT(SalesTable[[#This Row],[Order_Date]],"mmm")</f>
        <v>Jun</v>
      </c>
      <c r="J1272" s="1">
        <f>YEAR(SalesTable[[#This Row],[Order_Date]])</f>
        <v>2025</v>
      </c>
      <c r="K1272" s="4">
        <v>127.66</v>
      </c>
      <c r="L1272" s="9">
        <f>SalesTable[[#This Row],[Profit]]/SalesTable[[#This Row],[Sales]]</f>
        <v>0.50159129307296368</v>
      </c>
    </row>
    <row r="1273" spans="1:12" ht="14" x14ac:dyDescent="0.15">
      <c r="A1273" s="1">
        <v>11272</v>
      </c>
      <c r="B1273" s="2">
        <v>45833</v>
      </c>
      <c r="C1273" s="1" t="s">
        <v>12</v>
      </c>
      <c r="D1273" s="1" t="s">
        <v>14</v>
      </c>
      <c r="E1273" s="1" t="s">
        <v>20</v>
      </c>
      <c r="F1273" s="1" t="s">
        <v>24</v>
      </c>
      <c r="G1273" s="4">
        <v>820.55</v>
      </c>
      <c r="H1273" s="1">
        <v>2</v>
      </c>
      <c r="I1273" s="1" t="str">
        <f>TEXT(SalesTable[[#This Row],[Order_Date]],"mmm")</f>
        <v>Jun</v>
      </c>
      <c r="J1273" s="1">
        <f>YEAR(SalesTable[[#This Row],[Order_Date]])</f>
        <v>2025</v>
      </c>
      <c r="K1273" s="4">
        <v>52.95</v>
      </c>
      <c r="L1273" s="9">
        <f>SalesTable[[#This Row],[Profit]]/SalesTable[[#This Row],[Sales]]</f>
        <v>6.4529888489427825E-2</v>
      </c>
    </row>
    <row r="1274" spans="1:12" ht="14" x14ac:dyDescent="0.15">
      <c r="A1274" s="1">
        <v>11273</v>
      </c>
      <c r="B1274" s="2">
        <v>45834</v>
      </c>
      <c r="C1274" s="1" t="s">
        <v>9</v>
      </c>
      <c r="D1274" s="1" t="s">
        <v>14</v>
      </c>
      <c r="E1274" s="1" t="s">
        <v>18</v>
      </c>
      <c r="F1274" s="1" t="s">
        <v>22</v>
      </c>
      <c r="G1274" s="4">
        <v>237.38</v>
      </c>
      <c r="H1274" s="1">
        <v>2</v>
      </c>
      <c r="I1274" s="1" t="str">
        <f>TEXT(SalesTable[[#This Row],[Order_Date]],"mmm")</f>
        <v>Jun</v>
      </c>
      <c r="J1274" s="1">
        <f>YEAR(SalesTable[[#This Row],[Order_Date]])</f>
        <v>2025</v>
      </c>
      <c r="K1274" s="4">
        <v>273.82</v>
      </c>
      <c r="L1274" s="9">
        <f>SalesTable[[#This Row],[Profit]]/SalesTable[[#This Row],[Sales]]</f>
        <v>1.1535091414609486</v>
      </c>
    </row>
    <row r="1275" spans="1:12" ht="14" x14ac:dyDescent="0.15">
      <c r="A1275" s="1">
        <v>11274</v>
      </c>
      <c r="B1275" s="2">
        <v>45835</v>
      </c>
      <c r="C1275" s="1" t="s">
        <v>9</v>
      </c>
      <c r="D1275" s="1" t="s">
        <v>13</v>
      </c>
      <c r="E1275" s="1" t="s">
        <v>16</v>
      </c>
      <c r="F1275" s="1" t="s">
        <v>25</v>
      </c>
      <c r="G1275" s="4">
        <v>252.86</v>
      </c>
      <c r="H1275" s="1">
        <v>5</v>
      </c>
      <c r="I1275" s="1" t="str">
        <f>TEXT(SalesTable[[#This Row],[Order_Date]],"mmm")</f>
        <v>Jun</v>
      </c>
      <c r="J1275" s="1">
        <f>YEAR(SalesTable[[#This Row],[Order_Date]])</f>
        <v>2025</v>
      </c>
      <c r="K1275" s="4">
        <v>72.849999999999994</v>
      </c>
      <c r="L1275" s="9">
        <f>SalesTable[[#This Row],[Profit]]/SalesTable[[#This Row],[Sales]]</f>
        <v>0.28810408921933084</v>
      </c>
    </row>
    <row r="1276" spans="1:12" ht="14" x14ac:dyDescent="0.15">
      <c r="A1276" s="1">
        <v>11275</v>
      </c>
      <c r="B1276" s="2">
        <v>45836</v>
      </c>
      <c r="C1276" s="1" t="s">
        <v>9</v>
      </c>
      <c r="D1276" s="1" t="s">
        <v>13</v>
      </c>
      <c r="E1276" s="1" t="s">
        <v>19</v>
      </c>
      <c r="F1276" s="1" t="s">
        <v>23</v>
      </c>
      <c r="G1276" s="4">
        <v>692.29</v>
      </c>
      <c r="H1276" s="1">
        <v>3</v>
      </c>
      <c r="I1276" s="1" t="str">
        <f>TEXT(SalesTable[[#This Row],[Order_Date]],"mmm")</f>
        <v>Jun</v>
      </c>
      <c r="J1276" s="1">
        <f>YEAR(SalesTable[[#This Row],[Order_Date]])</f>
        <v>2025</v>
      </c>
      <c r="K1276" s="4">
        <v>115.53</v>
      </c>
      <c r="L1276" s="9">
        <f>SalesTable[[#This Row],[Profit]]/SalesTable[[#This Row],[Sales]]</f>
        <v>0.16688093140158028</v>
      </c>
    </row>
    <row r="1277" spans="1:12" ht="14" x14ac:dyDescent="0.15">
      <c r="A1277" s="1">
        <v>11276</v>
      </c>
      <c r="B1277" s="2">
        <v>45837</v>
      </c>
      <c r="C1277" s="1" t="s">
        <v>10</v>
      </c>
      <c r="D1277" s="1" t="s">
        <v>15</v>
      </c>
      <c r="E1277" s="1" t="s">
        <v>17</v>
      </c>
      <c r="F1277" s="1" t="s">
        <v>25</v>
      </c>
      <c r="G1277" s="4">
        <v>434.75</v>
      </c>
      <c r="H1277" s="1">
        <v>3</v>
      </c>
      <c r="I1277" s="1" t="str">
        <f>TEXT(SalesTable[[#This Row],[Order_Date]],"mmm")</f>
        <v>Jun</v>
      </c>
      <c r="J1277" s="1">
        <f>YEAR(SalesTable[[#This Row],[Order_Date]])</f>
        <v>2025</v>
      </c>
      <c r="K1277" s="4">
        <v>78.45</v>
      </c>
      <c r="L1277" s="9">
        <f>SalesTable[[#This Row],[Profit]]/SalesTable[[#This Row],[Sales]]</f>
        <v>0.180448533640023</v>
      </c>
    </row>
    <row r="1278" spans="1:12" ht="14" x14ac:dyDescent="0.15">
      <c r="A1278" s="1">
        <v>11277</v>
      </c>
      <c r="B1278" s="2">
        <v>45838</v>
      </c>
      <c r="C1278" s="1" t="s">
        <v>11</v>
      </c>
      <c r="D1278" s="1" t="s">
        <v>15</v>
      </c>
      <c r="E1278" s="1" t="s">
        <v>18</v>
      </c>
      <c r="F1278" s="1" t="s">
        <v>25</v>
      </c>
      <c r="G1278" s="4">
        <v>934.97</v>
      </c>
      <c r="H1278" s="1">
        <v>8</v>
      </c>
      <c r="I1278" s="1" t="str">
        <f>TEXT(SalesTable[[#This Row],[Order_Date]],"mmm")</f>
        <v>Jun</v>
      </c>
      <c r="J1278" s="1">
        <f>YEAR(SalesTable[[#This Row],[Order_Date]])</f>
        <v>2025</v>
      </c>
      <c r="K1278" s="4">
        <v>125.93</v>
      </c>
      <c r="L1278" s="9">
        <f>SalesTable[[#This Row],[Profit]]/SalesTable[[#This Row],[Sales]]</f>
        <v>0.13468881354481962</v>
      </c>
    </row>
    <row r="1279" spans="1:12" ht="14" x14ac:dyDescent="0.15">
      <c r="A1279" s="1">
        <v>11278</v>
      </c>
      <c r="B1279" s="2">
        <v>45839</v>
      </c>
      <c r="C1279" s="1" t="s">
        <v>9</v>
      </c>
      <c r="D1279" s="1" t="s">
        <v>13</v>
      </c>
      <c r="E1279" s="1" t="s">
        <v>16</v>
      </c>
      <c r="F1279" s="1" t="s">
        <v>21</v>
      </c>
      <c r="G1279" s="4">
        <v>134.56</v>
      </c>
      <c r="H1279" s="1">
        <v>7</v>
      </c>
      <c r="I1279" s="1" t="str">
        <f>TEXT(SalesTable[[#This Row],[Order_Date]],"mmm")</f>
        <v>Jul</v>
      </c>
      <c r="J1279" s="1">
        <f>YEAR(SalesTable[[#This Row],[Order_Date]])</f>
        <v>2025</v>
      </c>
      <c r="K1279" s="4">
        <v>88.2</v>
      </c>
      <c r="L1279" s="9">
        <f>SalesTable[[#This Row],[Profit]]/SalesTable[[#This Row],[Sales]]</f>
        <v>0.65546967895362662</v>
      </c>
    </row>
    <row r="1280" spans="1:12" ht="14" x14ac:dyDescent="0.15">
      <c r="A1280" s="1">
        <v>11279</v>
      </c>
      <c r="B1280" s="2">
        <v>45840</v>
      </c>
      <c r="C1280" s="1" t="s">
        <v>11</v>
      </c>
      <c r="D1280" s="1" t="s">
        <v>14</v>
      </c>
      <c r="E1280" s="1" t="s">
        <v>20</v>
      </c>
      <c r="F1280" s="1" t="s">
        <v>21</v>
      </c>
      <c r="G1280" s="4">
        <v>535.95000000000005</v>
      </c>
      <c r="H1280" s="1">
        <v>1</v>
      </c>
      <c r="I1280" s="1" t="str">
        <f>TEXT(SalesTable[[#This Row],[Order_Date]],"mmm")</f>
        <v>Jul</v>
      </c>
      <c r="J1280" s="1">
        <f>YEAR(SalesTable[[#This Row],[Order_Date]])</f>
        <v>2025</v>
      </c>
      <c r="K1280" s="4">
        <v>-80.81</v>
      </c>
      <c r="L1280" s="9">
        <f>SalesTable[[#This Row],[Profit]]/SalesTable[[#This Row],[Sales]]</f>
        <v>-0.15077899057747923</v>
      </c>
    </row>
    <row r="1281" spans="1:12" ht="14" x14ac:dyDescent="0.15">
      <c r="A1281" s="1">
        <v>11280</v>
      </c>
      <c r="B1281" s="2">
        <v>45841</v>
      </c>
      <c r="C1281" s="1" t="s">
        <v>10</v>
      </c>
      <c r="D1281" s="1" t="s">
        <v>15</v>
      </c>
      <c r="E1281" s="1" t="s">
        <v>16</v>
      </c>
      <c r="F1281" s="1" t="s">
        <v>25</v>
      </c>
      <c r="G1281" s="4">
        <v>922.6</v>
      </c>
      <c r="H1281" s="1">
        <v>5</v>
      </c>
      <c r="I1281" s="1" t="str">
        <f>TEXT(SalesTable[[#This Row],[Order_Date]],"mmm")</f>
        <v>Jul</v>
      </c>
      <c r="J1281" s="1">
        <f>YEAR(SalesTable[[#This Row],[Order_Date]])</f>
        <v>2025</v>
      </c>
      <c r="K1281" s="4">
        <v>252.82</v>
      </c>
      <c r="L1281" s="9">
        <f>SalesTable[[#This Row],[Profit]]/SalesTable[[#This Row],[Sales]]</f>
        <v>0.27402991545631911</v>
      </c>
    </row>
    <row r="1282" spans="1:12" ht="14" x14ac:dyDescent="0.15">
      <c r="A1282" s="1">
        <v>11281</v>
      </c>
      <c r="B1282" s="2">
        <v>45842</v>
      </c>
      <c r="C1282" s="1" t="s">
        <v>12</v>
      </c>
      <c r="D1282" s="1" t="s">
        <v>15</v>
      </c>
      <c r="E1282" s="1" t="s">
        <v>18</v>
      </c>
      <c r="F1282" s="1" t="s">
        <v>23</v>
      </c>
      <c r="G1282" s="4">
        <v>908.91</v>
      </c>
      <c r="H1282" s="1">
        <v>9</v>
      </c>
      <c r="I1282" s="1" t="str">
        <f>TEXT(SalesTable[[#This Row],[Order_Date]],"mmm")</f>
        <v>Jul</v>
      </c>
      <c r="J1282" s="1">
        <f>YEAR(SalesTable[[#This Row],[Order_Date]])</f>
        <v>2025</v>
      </c>
      <c r="K1282" s="4">
        <v>77.760000000000005</v>
      </c>
      <c r="L1282" s="9">
        <f>SalesTable[[#This Row],[Profit]]/SalesTable[[#This Row],[Sales]]</f>
        <v>8.5553025051985351E-2</v>
      </c>
    </row>
    <row r="1283" spans="1:12" ht="14" x14ac:dyDescent="0.15">
      <c r="A1283" s="1">
        <v>11282</v>
      </c>
      <c r="B1283" s="2">
        <v>45843</v>
      </c>
      <c r="C1283" s="1" t="s">
        <v>9</v>
      </c>
      <c r="D1283" s="1" t="s">
        <v>14</v>
      </c>
      <c r="E1283" s="1" t="s">
        <v>18</v>
      </c>
      <c r="F1283" s="1" t="s">
        <v>25</v>
      </c>
      <c r="G1283" s="4">
        <v>198.7</v>
      </c>
      <c r="H1283" s="1">
        <v>4</v>
      </c>
      <c r="I1283" s="1" t="str">
        <f>TEXT(SalesTable[[#This Row],[Order_Date]],"mmm")</f>
        <v>Jul</v>
      </c>
      <c r="J1283" s="1">
        <f>YEAR(SalesTable[[#This Row],[Order_Date]])</f>
        <v>2025</v>
      </c>
      <c r="K1283" s="4">
        <v>135.58000000000001</v>
      </c>
      <c r="L1283" s="9">
        <f>SalesTable[[#This Row],[Profit]]/SalesTable[[#This Row],[Sales]]</f>
        <v>0.68233517866129856</v>
      </c>
    </row>
    <row r="1284" spans="1:12" ht="14" x14ac:dyDescent="0.15">
      <c r="A1284" s="1">
        <v>11283</v>
      </c>
      <c r="B1284" s="2">
        <v>45844</v>
      </c>
      <c r="C1284" s="1" t="s">
        <v>11</v>
      </c>
      <c r="D1284" s="1" t="s">
        <v>15</v>
      </c>
      <c r="E1284" s="1" t="s">
        <v>16</v>
      </c>
      <c r="F1284" s="1" t="s">
        <v>21</v>
      </c>
      <c r="G1284" s="4">
        <v>398.31</v>
      </c>
      <c r="H1284" s="1">
        <v>1</v>
      </c>
      <c r="I1284" s="1" t="str">
        <f>TEXT(SalesTable[[#This Row],[Order_Date]],"mmm")</f>
        <v>Jul</v>
      </c>
      <c r="J1284" s="1">
        <f>YEAR(SalesTable[[#This Row],[Order_Date]])</f>
        <v>2025</v>
      </c>
      <c r="K1284" s="4">
        <v>-44.32</v>
      </c>
      <c r="L1284" s="9">
        <f>SalesTable[[#This Row],[Profit]]/SalesTable[[#This Row],[Sales]]</f>
        <v>-0.11127011624111872</v>
      </c>
    </row>
    <row r="1285" spans="1:12" ht="14" x14ac:dyDescent="0.15">
      <c r="A1285" s="1">
        <v>11284</v>
      </c>
      <c r="B1285" s="2">
        <v>45845</v>
      </c>
      <c r="C1285" s="1" t="s">
        <v>11</v>
      </c>
      <c r="D1285" s="1" t="s">
        <v>14</v>
      </c>
      <c r="E1285" s="1" t="s">
        <v>20</v>
      </c>
      <c r="F1285" s="1" t="s">
        <v>23</v>
      </c>
      <c r="G1285" s="4">
        <v>638.16999999999996</v>
      </c>
      <c r="H1285" s="1">
        <v>8</v>
      </c>
      <c r="I1285" s="1" t="str">
        <f>TEXT(SalesTable[[#This Row],[Order_Date]],"mmm")</f>
        <v>Jul</v>
      </c>
      <c r="J1285" s="1">
        <f>YEAR(SalesTable[[#This Row],[Order_Date]])</f>
        <v>2025</v>
      </c>
      <c r="K1285" s="4">
        <v>-98.64</v>
      </c>
      <c r="L1285" s="9">
        <f>SalesTable[[#This Row],[Profit]]/SalesTable[[#This Row],[Sales]]</f>
        <v>-0.15456696491530472</v>
      </c>
    </row>
    <row r="1286" spans="1:12" ht="14" x14ac:dyDescent="0.15">
      <c r="A1286" s="1">
        <v>11285</v>
      </c>
      <c r="B1286" s="2">
        <v>45846</v>
      </c>
      <c r="C1286" s="1" t="s">
        <v>9</v>
      </c>
      <c r="D1286" s="1" t="s">
        <v>14</v>
      </c>
      <c r="E1286" s="1" t="s">
        <v>16</v>
      </c>
      <c r="F1286" s="1" t="s">
        <v>25</v>
      </c>
      <c r="G1286" s="4">
        <v>201.43</v>
      </c>
      <c r="H1286" s="1">
        <v>5</v>
      </c>
      <c r="I1286" s="1" t="str">
        <f>TEXT(SalesTable[[#This Row],[Order_Date]],"mmm")</f>
        <v>Jul</v>
      </c>
      <c r="J1286" s="1">
        <f>YEAR(SalesTable[[#This Row],[Order_Date]])</f>
        <v>2025</v>
      </c>
      <c r="K1286" s="4">
        <v>-1.88</v>
      </c>
      <c r="L1286" s="9">
        <f>SalesTable[[#This Row],[Profit]]/SalesTable[[#This Row],[Sales]]</f>
        <v>-9.3332671399493604E-3</v>
      </c>
    </row>
    <row r="1287" spans="1:12" ht="14" x14ac:dyDescent="0.15">
      <c r="A1287" s="1">
        <v>11286</v>
      </c>
      <c r="B1287" s="2">
        <v>45847</v>
      </c>
      <c r="C1287" s="1" t="s">
        <v>12</v>
      </c>
      <c r="D1287" s="1" t="s">
        <v>14</v>
      </c>
      <c r="E1287" s="1" t="s">
        <v>18</v>
      </c>
      <c r="F1287" s="1" t="s">
        <v>24</v>
      </c>
      <c r="G1287" s="4">
        <v>969.62</v>
      </c>
      <c r="H1287" s="1">
        <v>2</v>
      </c>
      <c r="I1287" s="1" t="str">
        <f>TEXT(SalesTable[[#This Row],[Order_Date]],"mmm")</f>
        <v>Jul</v>
      </c>
      <c r="J1287" s="1">
        <f>YEAR(SalesTable[[#This Row],[Order_Date]])</f>
        <v>2025</v>
      </c>
      <c r="K1287" s="4">
        <v>181.83</v>
      </c>
      <c r="L1287" s="9">
        <f>SalesTable[[#This Row],[Profit]]/SalesTable[[#This Row],[Sales]]</f>
        <v>0.18752707246137662</v>
      </c>
    </row>
    <row r="1288" spans="1:12" ht="14" x14ac:dyDescent="0.15">
      <c r="A1288" s="1">
        <v>11287</v>
      </c>
      <c r="B1288" s="2">
        <v>45848</v>
      </c>
      <c r="C1288" s="1" t="s">
        <v>12</v>
      </c>
      <c r="D1288" s="1" t="s">
        <v>13</v>
      </c>
      <c r="E1288" s="1" t="s">
        <v>18</v>
      </c>
      <c r="F1288" s="1" t="s">
        <v>24</v>
      </c>
      <c r="G1288" s="4">
        <v>919.01</v>
      </c>
      <c r="H1288" s="1">
        <v>1</v>
      </c>
      <c r="I1288" s="1" t="str">
        <f>TEXT(SalesTable[[#This Row],[Order_Date]],"mmm")</f>
        <v>Jul</v>
      </c>
      <c r="J1288" s="1">
        <f>YEAR(SalesTable[[#This Row],[Order_Date]])</f>
        <v>2025</v>
      </c>
      <c r="K1288" s="4">
        <v>-60.32</v>
      </c>
      <c r="L1288" s="9">
        <f>SalesTable[[#This Row],[Profit]]/SalesTable[[#This Row],[Sales]]</f>
        <v>-6.5635847270432313E-2</v>
      </c>
    </row>
    <row r="1289" spans="1:12" ht="14" x14ac:dyDescent="0.15">
      <c r="A1289" s="1">
        <v>11288</v>
      </c>
      <c r="B1289" s="2">
        <v>45849</v>
      </c>
      <c r="C1289" s="1" t="s">
        <v>12</v>
      </c>
      <c r="D1289" s="1" t="s">
        <v>13</v>
      </c>
      <c r="E1289" s="1" t="s">
        <v>17</v>
      </c>
      <c r="F1289" s="1" t="s">
        <v>25</v>
      </c>
      <c r="G1289" s="4">
        <v>208.6</v>
      </c>
      <c r="H1289" s="1">
        <v>3</v>
      </c>
      <c r="I1289" s="1" t="str">
        <f>TEXT(SalesTable[[#This Row],[Order_Date]],"mmm")</f>
        <v>Jul</v>
      </c>
      <c r="J1289" s="1">
        <f>YEAR(SalesTable[[#This Row],[Order_Date]])</f>
        <v>2025</v>
      </c>
      <c r="K1289" s="4">
        <v>263.55</v>
      </c>
      <c r="L1289" s="9">
        <f>SalesTable[[#This Row],[Profit]]/SalesTable[[#This Row],[Sales]]</f>
        <v>1.2634228187919463</v>
      </c>
    </row>
    <row r="1290" spans="1:12" ht="14" x14ac:dyDescent="0.15">
      <c r="A1290" s="1">
        <v>11289</v>
      </c>
      <c r="B1290" s="2">
        <v>45850</v>
      </c>
      <c r="C1290" s="1" t="s">
        <v>10</v>
      </c>
      <c r="D1290" s="1" t="s">
        <v>13</v>
      </c>
      <c r="E1290" s="1" t="s">
        <v>17</v>
      </c>
      <c r="F1290" s="1" t="s">
        <v>23</v>
      </c>
      <c r="G1290" s="4">
        <v>165.1</v>
      </c>
      <c r="H1290" s="1">
        <v>9</v>
      </c>
      <c r="I1290" s="1" t="str">
        <f>TEXT(SalesTable[[#This Row],[Order_Date]],"mmm")</f>
        <v>Jul</v>
      </c>
      <c r="J1290" s="1">
        <f>YEAR(SalesTable[[#This Row],[Order_Date]])</f>
        <v>2025</v>
      </c>
      <c r="K1290" s="4">
        <v>-13.99</v>
      </c>
      <c r="L1290" s="9">
        <f>SalesTable[[#This Row],[Profit]]/SalesTable[[#This Row],[Sales]]</f>
        <v>-8.4736523319200494E-2</v>
      </c>
    </row>
    <row r="1291" spans="1:12" ht="14" x14ac:dyDescent="0.15">
      <c r="A1291" s="1">
        <v>11290</v>
      </c>
      <c r="B1291" s="2">
        <v>45851</v>
      </c>
      <c r="C1291" s="1" t="s">
        <v>11</v>
      </c>
      <c r="D1291" s="1" t="s">
        <v>14</v>
      </c>
      <c r="E1291" s="1" t="s">
        <v>19</v>
      </c>
      <c r="F1291" s="1" t="s">
        <v>25</v>
      </c>
      <c r="G1291" s="4">
        <v>131.13999999999999</v>
      </c>
      <c r="H1291" s="1">
        <v>1</v>
      </c>
      <c r="I1291" s="1" t="str">
        <f>TEXT(SalesTable[[#This Row],[Order_Date]],"mmm")</f>
        <v>Jul</v>
      </c>
      <c r="J1291" s="1">
        <f>YEAR(SalesTable[[#This Row],[Order_Date]])</f>
        <v>2025</v>
      </c>
      <c r="K1291" s="4">
        <v>-18.16</v>
      </c>
      <c r="L1291" s="9">
        <f>SalesTable[[#This Row],[Profit]]/SalesTable[[#This Row],[Sales]]</f>
        <v>-0.13847796248284278</v>
      </c>
    </row>
    <row r="1292" spans="1:12" ht="14" x14ac:dyDescent="0.15">
      <c r="A1292" s="1">
        <v>11291</v>
      </c>
      <c r="B1292" s="2">
        <v>45852</v>
      </c>
      <c r="C1292" s="1" t="s">
        <v>11</v>
      </c>
      <c r="D1292" s="1" t="s">
        <v>14</v>
      </c>
      <c r="E1292" s="1" t="s">
        <v>18</v>
      </c>
      <c r="F1292" s="1" t="s">
        <v>25</v>
      </c>
      <c r="G1292" s="4">
        <v>913.97</v>
      </c>
      <c r="H1292" s="1">
        <v>4</v>
      </c>
      <c r="I1292" s="1" t="str">
        <f>TEXT(SalesTable[[#This Row],[Order_Date]],"mmm")</f>
        <v>Jul</v>
      </c>
      <c r="J1292" s="1">
        <f>YEAR(SalesTable[[#This Row],[Order_Date]])</f>
        <v>2025</v>
      </c>
      <c r="K1292" s="4">
        <v>-27.4</v>
      </c>
      <c r="L1292" s="9">
        <f>SalesTable[[#This Row],[Profit]]/SalesTable[[#This Row],[Sales]]</f>
        <v>-2.9979102158714178E-2</v>
      </c>
    </row>
    <row r="1293" spans="1:12" ht="14" x14ac:dyDescent="0.15">
      <c r="A1293" s="1">
        <v>11292</v>
      </c>
      <c r="B1293" s="2">
        <v>45853</v>
      </c>
      <c r="C1293" s="1" t="s">
        <v>11</v>
      </c>
      <c r="D1293" s="1" t="s">
        <v>13</v>
      </c>
      <c r="E1293" s="1" t="s">
        <v>17</v>
      </c>
      <c r="F1293" s="1" t="s">
        <v>21</v>
      </c>
      <c r="G1293" s="4">
        <v>233.94</v>
      </c>
      <c r="H1293" s="1">
        <v>8</v>
      </c>
      <c r="I1293" s="1" t="str">
        <f>TEXT(SalesTable[[#This Row],[Order_Date]],"mmm")</f>
        <v>Jul</v>
      </c>
      <c r="J1293" s="1">
        <f>YEAR(SalesTable[[#This Row],[Order_Date]])</f>
        <v>2025</v>
      </c>
      <c r="K1293" s="4">
        <v>-94.41</v>
      </c>
      <c r="L1293" s="9">
        <f>SalesTable[[#This Row],[Profit]]/SalesTable[[#This Row],[Sales]]</f>
        <v>-0.40356501667094125</v>
      </c>
    </row>
    <row r="1294" spans="1:12" ht="14" x14ac:dyDescent="0.15">
      <c r="A1294" s="1">
        <v>11293</v>
      </c>
      <c r="B1294" s="2">
        <v>45854</v>
      </c>
      <c r="C1294" s="1" t="s">
        <v>10</v>
      </c>
      <c r="D1294" s="1" t="s">
        <v>15</v>
      </c>
      <c r="E1294" s="1" t="s">
        <v>16</v>
      </c>
      <c r="F1294" s="1" t="s">
        <v>24</v>
      </c>
      <c r="G1294" s="4">
        <v>445.47</v>
      </c>
      <c r="H1294" s="1">
        <v>8</v>
      </c>
      <c r="I1294" s="1" t="str">
        <f>TEXT(SalesTable[[#This Row],[Order_Date]],"mmm")</f>
        <v>Jul</v>
      </c>
      <c r="J1294" s="1">
        <f>YEAR(SalesTable[[#This Row],[Order_Date]])</f>
        <v>2025</v>
      </c>
      <c r="K1294" s="4">
        <v>208.72</v>
      </c>
      <c r="L1294" s="9">
        <f>SalesTable[[#This Row],[Profit]]/SalesTable[[#This Row],[Sales]]</f>
        <v>0.46853884661144407</v>
      </c>
    </row>
    <row r="1295" spans="1:12" ht="14" x14ac:dyDescent="0.15">
      <c r="A1295" s="1">
        <v>11294</v>
      </c>
      <c r="B1295" s="2">
        <v>45855</v>
      </c>
      <c r="C1295" s="1" t="s">
        <v>11</v>
      </c>
      <c r="D1295" s="1" t="s">
        <v>14</v>
      </c>
      <c r="E1295" s="1" t="s">
        <v>20</v>
      </c>
      <c r="F1295" s="1" t="s">
        <v>21</v>
      </c>
      <c r="G1295" s="4">
        <v>476.41</v>
      </c>
      <c r="H1295" s="1">
        <v>8</v>
      </c>
      <c r="I1295" s="1" t="str">
        <f>TEXT(SalesTable[[#This Row],[Order_Date]],"mmm")</f>
        <v>Jul</v>
      </c>
      <c r="J1295" s="1">
        <f>YEAR(SalesTable[[#This Row],[Order_Date]])</f>
        <v>2025</v>
      </c>
      <c r="K1295" s="4">
        <v>250.01</v>
      </c>
      <c r="L1295" s="9">
        <f>SalesTable[[#This Row],[Profit]]/SalesTable[[#This Row],[Sales]]</f>
        <v>0.52477907684557412</v>
      </c>
    </row>
    <row r="1296" spans="1:12" ht="14" x14ac:dyDescent="0.15">
      <c r="A1296" s="1">
        <v>11295</v>
      </c>
      <c r="B1296" s="2">
        <v>45856</v>
      </c>
      <c r="C1296" s="1" t="s">
        <v>10</v>
      </c>
      <c r="D1296" s="1" t="s">
        <v>15</v>
      </c>
      <c r="E1296" s="1" t="s">
        <v>16</v>
      </c>
      <c r="F1296" s="1" t="s">
        <v>21</v>
      </c>
      <c r="G1296" s="4">
        <v>619.05999999999995</v>
      </c>
      <c r="H1296" s="1">
        <v>8</v>
      </c>
      <c r="I1296" s="1" t="str">
        <f>TEXT(SalesTable[[#This Row],[Order_Date]],"mmm")</f>
        <v>Jul</v>
      </c>
      <c r="J1296" s="1">
        <f>YEAR(SalesTable[[#This Row],[Order_Date]])</f>
        <v>2025</v>
      </c>
      <c r="K1296" s="4">
        <v>145.66999999999999</v>
      </c>
      <c r="L1296" s="9">
        <f>SalesTable[[#This Row],[Profit]]/SalesTable[[#This Row],[Sales]]</f>
        <v>0.2353083707556618</v>
      </c>
    </row>
    <row r="1297" spans="1:12" ht="14" x14ac:dyDescent="0.15">
      <c r="A1297" s="1">
        <v>11296</v>
      </c>
      <c r="B1297" s="2">
        <v>45857</v>
      </c>
      <c r="C1297" s="1" t="s">
        <v>12</v>
      </c>
      <c r="D1297" s="1" t="s">
        <v>15</v>
      </c>
      <c r="E1297" s="1" t="s">
        <v>20</v>
      </c>
      <c r="F1297" s="1" t="s">
        <v>25</v>
      </c>
      <c r="G1297" s="4">
        <v>118.15</v>
      </c>
      <c r="H1297" s="1">
        <v>4</v>
      </c>
      <c r="I1297" s="1" t="str">
        <f>TEXT(SalesTable[[#This Row],[Order_Date]],"mmm")</f>
        <v>Jul</v>
      </c>
      <c r="J1297" s="1">
        <f>YEAR(SalesTable[[#This Row],[Order_Date]])</f>
        <v>2025</v>
      </c>
      <c r="K1297" s="4">
        <v>-24.72</v>
      </c>
      <c r="L1297" s="9">
        <f>SalesTable[[#This Row],[Profit]]/SalesTable[[#This Row],[Sales]]</f>
        <v>-0.20922556072788825</v>
      </c>
    </row>
    <row r="1298" spans="1:12" ht="14" x14ac:dyDescent="0.15">
      <c r="A1298" s="1">
        <v>11297</v>
      </c>
      <c r="B1298" s="2">
        <v>45858</v>
      </c>
      <c r="C1298" s="1" t="s">
        <v>9</v>
      </c>
      <c r="D1298" s="1" t="s">
        <v>14</v>
      </c>
      <c r="E1298" s="1" t="s">
        <v>17</v>
      </c>
      <c r="F1298" s="1" t="s">
        <v>21</v>
      </c>
      <c r="G1298" s="4">
        <v>265.42</v>
      </c>
      <c r="H1298" s="1">
        <v>8</v>
      </c>
      <c r="I1298" s="1" t="str">
        <f>TEXT(SalesTable[[#This Row],[Order_Date]],"mmm")</f>
        <v>Jul</v>
      </c>
      <c r="J1298" s="1">
        <f>YEAR(SalesTable[[#This Row],[Order_Date]])</f>
        <v>2025</v>
      </c>
      <c r="K1298" s="4">
        <v>14.11</v>
      </c>
      <c r="L1298" s="9">
        <f>SalesTable[[#This Row],[Profit]]/SalesTable[[#This Row],[Sales]]</f>
        <v>5.3161027804988312E-2</v>
      </c>
    </row>
    <row r="1299" spans="1:12" ht="14" x14ac:dyDescent="0.15">
      <c r="A1299" s="1">
        <v>11298</v>
      </c>
      <c r="B1299" s="2">
        <v>45859</v>
      </c>
      <c r="C1299" s="1" t="s">
        <v>11</v>
      </c>
      <c r="D1299" s="1" t="s">
        <v>14</v>
      </c>
      <c r="E1299" s="1" t="s">
        <v>19</v>
      </c>
      <c r="F1299" s="1" t="s">
        <v>24</v>
      </c>
      <c r="G1299" s="4">
        <v>934.92</v>
      </c>
      <c r="H1299" s="1">
        <v>9</v>
      </c>
      <c r="I1299" s="1" t="str">
        <f>TEXT(SalesTable[[#This Row],[Order_Date]],"mmm")</f>
        <v>Jul</v>
      </c>
      <c r="J1299" s="1">
        <f>YEAR(SalesTable[[#This Row],[Order_Date]])</f>
        <v>2025</v>
      </c>
      <c r="K1299" s="4">
        <v>90.37</v>
      </c>
      <c r="L1299" s="9">
        <f>SalesTable[[#This Row],[Profit]]/SalesTable[[#This Row],[Sales]]</f>
        <v>9.66606768493561E-2</v>
      </c>
    </row>
    <row r="1300" spans="1:12" ht="14" x14ac:dyDescent="0.15">
      <c r="A1300" s="1">
        <v>11299</v>
      </c>
      <c r="B1300" s="2">
        <v>45860</v>
      </c>
      <c r="C1300" s="1" t="s">
        <v>11</v>
      </c>
      <c r="D1300" s="1" t="s">
        <v>15</v>
      </c>
      <c r="E1300" s="1" t="s">
        <v>16</v>
      </c>
      <c r="F1300" s="1" t="s">
        <v>21</v>
      </c>
      <c r="G1300" s="4">
        <v>912.99</v>
      </c>
      <c r="H1300" s="1">
        <v>7</v>
      </c>
      <c r="I1300" s="1" t="str">
        <f>TEXT(SalesTable[[#This Row],[Order_Date]],"mmm")</f>
        <v>Jul</v>
      </c>
      <c r="J1300" s="1">
        <f>YEAR(SalesTable[[#This Row],[Order_Date]])</f>
        <v>2025</v>
      </c>
      <c r="K1300" s="4">
        <v>281.74</v>
      </c>
      <c r="L1300" s="9">
        <f>SalesTable[[#This Row],[Profit]]/SalesTable[[#This Row],[Sales]]</f>
        <v>0.30859045553620523</v>
      </c>
    </row>
    <row r="1301" spans="1:12" ht="14" x14ac:dyDescent="0.15">
      <c r="A1301" s="1">
        <v>11300</v>
      </c>
      <c r="B1301" s="2">
        <v>45861</v>
      </c>
      <c r="C1301" s="1" t="s">
        <v>12</v>
      </c>
      <c r="D1301" s="1" t="s">
        <v>15</v>
      </c>
      <c r="E1301" s="1" t="s">
        <v>16</v>
      </c>
      <c r="F1301" s="1" t="s">
        <v>24</v>
      </c>
      <c r="G1301" s="4">
        <v>792.23</v>
      </c>
      <c r="H1301" s="1">
        <v>2</v>
      </c>
      <c r="I1301" s="1" t="str">
        <f>TEXT(SalesTable[[#This Row],[Order_Date]],"mmm")</f>
        <v>Jul</v>
      </c>
      <c r="J1301" s="1">
        <f>YEAR(SalesTable[[#This Row],[Order_Date]])</f>
        <v>2025</v>
      </c>
      <c r="K1301" s="4">
        <v>-1.06</v>
      </c>
      <c r="L1301" s="9">
        <f>SalesTable[[#This Row],[Profit]]/SalesTable[[#This Row],[Sales]]</f>
        <v>-1.3379952791487322E-3</v>
      </c>
    </row>
    <row r="1302" spans="1:12" ht="14" x14ac:dyDescent="0.15">
      <c r="A1302" s="1">
        <v>11301</v>
      </c>
      <c r="B1302" s="2">
        <v>45862</v>
      </c>
      <c r="C1302" s="1" t="s">
        <v>9</v>
      </c>
      <c r="D1302" s="1" t="s">
        <v>13</v>
      </c>
      <c r="E1302" s="1" t="s">
        <v>16</v>
      </c>
      <c r="F1302" s="1" t="s">
        <v>21</v>
      </c>
      <c r="G1302" s="4">
        <v>68.430000000000007</v>
      </c>
      <c r="H1302" s="1">
        <v>9</v>
      </c>
      <c r="I1302" s="1" t="str">
        <f>TEXT(SalesTable[[#This Row],[Order_Date]],"mmm")</f>
        <v>Jul</v>
      </c>
      <c r="J1302" s="1">
        <f>YEAR(SalesTable[[#This Row],[Order_Date]])</f>
        <v>2025</v>
      </c>
      <c r="K1302" s="4">
        <v>192.66</v>
      </c>
      <c r="L1302" s="9">
        <f>SalesTable[[#This Row],[Profit]]/SalesTable[[#This Row],[Sales]]</f>
        <v>2.8154318281455497</v>
      </c>
    </row>
    <row r="1303" spans="1:12" ht="14" x14ac:dyDescent="0.15">
      <c r="A1303" s="1">
        <v>11302</v>
      </c>
      <c r="B1303" s="2">
        <v>45863</v>
      </c>
      <c r="C1303" s="1" t="s">
        <v>10</v>
      </c>
      <c r="D1303" s="1" t="s">
        <v>13</v>
      </c>
      <c r="E1303" s="1" t="s">
        <v>20</v>
      </c>
      <c r="F1303" s="1" t="s">
        <v>24</v>
      </c>
      <c r="G1303" s="4">
        <v>360.66</v>
      </c>
      <c r="H1303" s="1">
        <v>8</v>
      </c>
      <c r="I1303" s="1" t="str">
        <f>TEXT(SalesTable[[#This Row],[Order_Date]],"mmm")</f>
        <v>Jul</v>
      </c>
      <c r="J1303" s="1">
        <f>YEAR(SalesTable[[#This Row],[Order_Date]])</f>
        <v>2025</v>
      </c>
      <c r="K1303" s="4">
        <v>75.78</v>
      </c>
      <c r="L1303" s="9">
        <f>SalesTable[[#This Row],[Profit]]/SalesTable[[#This Row],[Sales]]</f>
        <v>0.21011478955248711</v>
      </c>
    </row>
    <row r="1304" spans="1:12" ht="14" x14ac:dyDescent="0.15">
      <c r="A1304" s="1">
        <v>11303</v>
      </c>
      <c r="B1304" s="2">
        <v>45864</v>
      </c>
      <c r="C1304" s="1" t="s">
        <v>9</v>
      </c>
      <c r="D1304" s="1" t="s">
        <v>14</v>
      </c>
      <c r="E1304" s="1" t="s">
        <v>17</v>
      </c>
      <c r="F1304" s="1" t="s">
        <v>21</v>
      </c>
      <c r="G1304" s="4">
        <v>646.55999999999995</v>
      </c>
      <c r="H1304" s="1">
        <v>5</v>
      </c>
      <c r="I1304" s="1" t="str">
        <f>TEXT(SalesTable[[#This Row],[Order_Date]],"mmm")</f>
        <v>Jul</v>
      </c>
      <c r="J1304" s="1">
        <f>YEAR(SalesTable[[#This Row],[Order_Date]])</f>
        <v>2025</v>
      </c>
      <c r="K1304" s="4">
        <v>19.14</v>
      </c>
      <c r="L1304" s="9">
        <f>SalesTable[[#This Row],[Profit]]/SalesTable[[#This Row],[Sales]]</f>
        <v>2.9602821083890129E-2</v>
      </c>
    </row>
    <row r="1305" spans="1:12" ht="14" x14ac:dyDescent="0.15">
      <c r="A1305" s="1">
        <v>11304</v>
      </c>
      <c r="B1305" s="2">
        <v>45865</v>
      </c>
      <c r="C1305" s="1" t="s">
        <v>12</v>
      </c>
      <c r="D1305" s="1" t="s">
        <v>13</v>
      </c>
      <c r="E1305" s="1" t="s">
        <v>16</v>
      </c>
      <c r="F1305" s="1" t="s">
        <v>21</v>
      </c>
      <c r="G1305" s="4">
        <v>311.43</v>
      </c>
      <c r="H1305" s="1">
        <v>3</v>
      </c>
      <c r="I1305" s="1" t="str">
        <f>TEXT(SalesTable[[#This Row],[Order_Date]],"mmm")</f>
        <v>Jul</v>
      </c>
      <c r="J1305" s="1">
        <f>YEAR(SalesTable[[#This Row],[Order_Date]])</f>
        <v>2025</v>
      </c>
      <c r="K1305" s="4">
        <v>82.37</v>
      </c>
      <c r="L1305" s="9">
        <f>SalesTable[[#This Row],[Profit]]/SalesTable[[#This Row],[Sales]]</f>
        <v>0.26448961243297048</v>
      </c>
    </row>
    <row r="1306" spans="1:12" ht="14" x14ac:dyDescent="0.15">
      <c r="A1306" s="1">
        <v>11305</v>
      </c>
      <c r="B1306" s="2">
        <v>45866</v>
      </c>
      <c r="C1306" s="1" t="s">
        <v>12</v>
      </c>
      <c r="D1306" s="1" t="s">
        <v>13</v>
      </c>
      <c r="E1306" s="1" t="s">
        <v>16</v>
      </c>
      <c r="F1306" s="1" t="s">
        <v>23</v>
      </c>
      <c r="G1306" s="4">
        <v>914.11</v>
      </c>
      <c r="H1306" s="1">
        <v>7</v>
      </c>
      <c r="I1306" s="1" t="str">
        <f>TEXT(SalesTable[[#This Row],[Order_Date]],"mmm")</f>
        <v>Jul</v>
      </c>
      <c r="J1306" s="1">
        <f>YEAR(SalesTable[[#This Row],[Order_Date]])</f>
        <v>2025</v>
      </c>
      <c r="K1306" s="4">
        <v>-71.52</v>
      </c>
      <c r="L1306" s="9">
        <f>SalesTable[[#This Row],[Profit]]/SalesTable[[#This Row],[Sales]]</f>
        <v>-7.8240036757064244E-2</v>
      </c>
    </row>
    <row r="1307" spans="1:12" ht="14" x14ac:dyDescent="0.15">
      <c r="A1307" s="1">
        <v>11306</v>
      </c>
      <c r="B1307" s="2">
        <v>45867</v>
      </c>
      <c r="C1307" s="1" t="s">
        <v>9</v>
      </c>
      <c r="D1307" s="1" t="s">
        <v>13</v>
      </c>
      <c r="E1307" s="1" t="s">
        <v>19</v>
      </c>
      <c r="F1307" s="1" t="s">
        <v>24</v>
      </c>
      <c r="G1307" s="4">
        <v>652.19000000000005</v>
      </c>
      <c r="H1307" s="1">
        <v>2</v>
      </c>
      <c r="I1307" s="1" t="str">
        <f>TEXT(SalesTable[[#This Row],[Order_Date]],"mmm")</f>
        <v>Jul</v>
      </c>
      <c r="J1307" s="1">
        <f>YEAR(SalesTable[[#This Row],[Order_Date]])</f>
        <v>2025</v>
      </c>
      <c r="K1307" s="4">
        <v>219.47</v>
      </c>
      <c r="L1307" s="9">
        <f>SalesTable[[#This Row],[Profit]]/SalesTable[[#This Row],[Sales]]</f>
        <v>0.33651236602830459</v>
      </c>
    </row>
    <row r="1308" spans="1:12" ht="14" x14ac:dyDescent="0.15">
      <c r="A1308" s="1">
        <v>11307</v>
      </c>
      <c r="B1308" s="2">
        <v>45868</v>
      </c>
      <c r="C1308" s="1" t="s">
        <v>10</v>
      </c>
      <c r="D1308" s="1" t="s">
        <v>13</v>
      </c>
      <c r="E1308" s="1" t="s">
        <v>19</v>
      </c>
      <c r="F1308" s="1" t="s">
        <v>24</v>
      </c>
      <c r="G1308" s="4">
        <v>118.31</v>
      </c>
      <c r="H1308" s="1">
        <v>3</v>
      </c>
      <c r="I1308" s="1" t="str">
        <f>TEXT(SalesTable[[#This Row],[Order_Date]],"mmm")</f>
        <v>Jul</v>
      </c>
      <c r="J1308" s="1">
        <f>YEAR(SalesTable[[#This Row],[Order_Date]])</f>
        <v>2025</v>
      </c>
      <c r="K1308" s="4">
        <v>-2.68</v>
      </c>
      <c r="L1308" s="9">
        <f>SalesTable[[#This Row],[Profit]]/SalesTable[[#This Row],[Sales]]</f>
        <v>-2.2652353985292875E-2</v>
      </c>
    </row>
    <row r="1309" spans="1:12" ht="14" x14ac:dyDescent="0.15">
      <c r="A1309" s="1">
        <v>11308</v>
      </c>
      <c r="B1309" s="2">
        <v>45869</v>
      </c>
      <c r="C1309" s="1" t="s">
        <v>10</v>
      </c>
      <c r="D1309" s="1" t="s">
        <v>15</v>
      </c>
      <c r="E1309" s="1" t="s">
        <v>17</v>
      </c>
      <c r="F1309" s="1" t="s">
        <v>24</v>
      </c>
      <c r="G1309" s="4">
        <v>913.56</v>
      </c>
      <c r="H1309" s="1">
        <v>9</v>
      </c>
      <c r="I1309" s="1" t="str">
        <f>TEXT(SalesTable[[#This Row],[Order_Date]],"mmm")</f>
        <v>Jul</v>
      </c>
      <c r="J1309" s="1">
        <f>YEAR(SalesTable[[#This Row],[Order_Date]])</f>
        <v>2025</v>
      </c>
      <c r="K1309" s="4">
        <v>190.16</v>
      </c>
      <c r="L1309" s="9">
        <f>SalesTable[[#This Row],[Profit]]/SalesTable[[#This Row],[Sales]]</f>
        <v>0.20815272122247033</v>
      </c>
    </row>
    <row r="1310" spans="1:12" ht="14" x14ac:dyDescent="0.15">
      <c r="A1310" s="1">
        <v>11309</v>
      </c>
      <c r="B1310" s="2">
        <v>45870</v>
      </c>
      <c r="C1310" s="1" t="s">
        <v>11</v>
      </c>
      <c r="D1310" s="1" t="s">
        <v>14</v>
      </c>
      <c r="E1310" s="1" t="s">
        <v>17</v>
      </c>
      <c r="F1310" s="1" t="s">
        <v>22</v>
      </c>
      <c r="G1310" s="4">
        <v>959.88</v>
      </c>
      <c r="H1310" s="1">
        <v>4</v>
      </c>
      <c r="I1310" s="1" t="str">
        <f>TEXT(SalesTable[[#This Row],[Order_Date]],"mmm")</f>
        <v>Aug</v>
      </c>
      <c r="J1310" s="1">
        <f>YEAR(SalesTable[[#This Row],[Order_Date]])</f>
        <v>2025</v>
      </c>
      <c r="K1310" s="4">
        <v>-72.66</v>
      </c>
      <c r="L1310" s="9">
        <f>SalesTable[[#This Row],[Profit]]/SalesTable[[#This Row],[Sales]]</f>
        <v>-7.5696962120265027E-2</v>
      </c>
    </row>
    <row r="1311" spans="1:12" ht="14" x14ac:dyDescent="0.15">
      <c r="A1311" s="1">
        <v>11310</v>
      </c>
      <c r="B1311" s="2">
        <v>45871</v>
      </c>
      <c r="C1311" s="1" t="s">
        <v>10</v>
      </c>
      <c r="D1311" s="1" t="s">
        <v>13</v>
      </c>
      <c r="E1311" s="1" t="s">
        <v>18</v>
      </c>
      <c r="F1311" s="1" t="s">
        <v>21</v>
      </c>
      <c r="G1311" s="4">
        <v>123.83</v>
      </c>
      <c r="H1311" s="1">
        <v>4</v>
      </c>
      <c r="I1311" s="1" t="str">
        <f>TEXT(SalesTable[[#This Row],[Order_Date]],"mmm")</f>
        <v>Aug</v>
      </c>
      <c r="J1311" s="1">
        <f>YEAR(SalesTable[[#This Row],[Order_Date]])</f>
        <v>2025</v>
      </c>
      <c r="K1311" s="4">
        <v>282.04000000000002</v>
      </c>
      <c r="L1311" s="9">
        <f>SalesTable[[#This Row],[Profit]]/SalesTable[[#This Row],[Sales]]</f>
        <v>2.2776386982152954</v>
      </c>
    </row>
    <row r="1312" spans="1:12" ht="14" x14ac:dyDescent="0.15">
      <c r="A1312" s="1">
        <v>11311</v>
      </c>
      <c r="B1312" s="2">
        <v>45872</v>
      </c>
      <c r="C1312" s="1" t="s">
        <v>9</v>
      </c>
      <c r="D1312" s="1" t="s">
        <v>15</v>
      </c>
      <c r="E1312" s="1" t="s">
        <v>19</v>
      </c>
      <c r="F1312" s="1" t="s">
        <v>24</v>
      </c>
      <c r="G1312" s="4">
        <v>555.74</v>
      </c>
      <c r="H1312" s="1">
        <v>3</v>
      </c>
      <c r="I1312" s="1" t="str">
        <f>TEXT(SalesTable[[#This Row],[Order_Date]],"mmm")</f>
        <v>Aug</v>
      </c>
      <c r="J1312" s="1">
        <f>YEAR(SalesTable[[#This Row],[Order_Date]])</f>
        <v>2025</v>
      </c>
      <c r="K1312" s="4">
        <v>-22.79</v>
      </c>
      <c r="L1312" s="9">
        <f>SalesTable[[#This Row],[Profit]]/SalesTable[[#This Row],[Sales]]</f>
        <v>-4.1008385216108251E-2</v>
      </c>
    </row>
    <row r="1313" spans="1:12" ht="14" x14ac:dyDescent="0.15">
      <c r="A1313" s="1">
        <v>11312</v>
      </c>
      <c r="B1313" s="2">
        <v>45873</v>
      </c>
      <c r="C1313" s="1" t="s">
        <v>12</v>
      </c>
      <c r="D1313" s="1" t="s">
        <v>15</v>
      </c>
      <c r="E1313" s="1" t="s">
        <v>18</v>
      </c>
      <c r="F1313" s="1" t="s">
        <v>22</v>
      </c>
      <c r="G1313" s="4">
        <v>338.2</v>
      </c>
      <c r="H1313" s="1">
        <v>5</v>
      </c>
      <c r="I1313" s="1" t="str">
        <f>TEXT(SalesTable[[#This Row],[Order_Date]],"mmm")</f>
        <v>Aug</v>
      </c>
      <c r="J1313" s="1">
        <f>YEAR(SalesTable[[#This Row],[Order_Date]])</f>
        <v>2025</v>
      </c>
      <c r="K1313" s="4">
        <v>253.1</v>
      </c>
      <c r="L1313" s="9">
        <f>SalesTable[[#This Row],[Profit]]/SalesTable[[#This Row],[Sales]]</f>
        <v>0.74837374334713191</v>
      </c>
    </row>
    <row r="1314" spans="1:12" ht="14" x14ac:dyDescent="0.15">
      <c r="A1314" s="1">
        <v>11313</v>
      </c>
      <c r="B1314" s="2">
        <v>45874</v>
      </c>
      <c r="C1314" s="1" t="s">
        <v>11</v>
      </c>
      <c r="D1314" s="1" t="s">
        <v>15</v>
      </c>
      <c r="E1314" s="1" t="s">
        <v>20</v>
      </c>
      <c r="F1314" s="1" t="s">
        <v>23</v>
      </c>
      <c r="G1314" s="4">
        <v>423.2</v>
      </c>
      <c r="H1314" s="1">
        <v>3</v>
      </c>
      <c r="I1314" s="1" t="str">
        <f>TEXT(SalesTable[[#This Row],[Order_Date]],"mmm")</f>
        <v>Aug</v>
      </c>
      <c r="J1314" s="1">
        <f>YEAR(SalesTable[[#This Row],[Order_Date]])</f>
        <v>2025</v>
      </c>
      <c r="K1314" s="4">
        <v>223.79</v>
      </c>
      <c r="L1314" s="9">
        <f>SalesTable[[#This Row],[Profit]]/SalesTable[[#This Row],[Sales]]</f>
        <v>0.52880434782608698</v>
      </c>
    </row>
    <row r="1315" spans="1:12" ht="14" x14ac:dyDescent="0.15">
      <c r="A1315" s="1">
        <v>11314</v>
      </c>
      <c r="B1315" s="2">
        <v>45875</v>
      </c>
      <c r="C1315" s="1" t="s">
        <v>11</v>
      </c>
      <c r="D1315" s="1" t="s">
        <v>13</v>
      </c>
      <c r="E1315" s="1" t="s">
        <v>18</v>
      </c>
      <c r="F1315" s="1" t="s">
        <v>24</v>
      </c>
      <c r="G1315" s="4">
        <v>220.67</v>
      </c>
      <c r="H1315" s="1">
        <v>9</v>
      </c>
      <c r="I1315" s="1" t="str">
        <f>TEXT(SalesTable[[#This Row],[Order_Date]],"mmm")</f>
        <v>Aug</v>
      </c>
      <c r="J1315" s="1">
        <f>YEAR(SalesTable[[#This Row],[Order_Date]])</f>
        <v>2025</v>
      </c>
      <c r="K1315" s="4">
        <v>287.14</v>
      </c>
      <c r="L1315" s="9">
        <f>SalesTable[[#This Row],[Profit]]/SalesTable[[#This Row],[Sales]]</f>
        <v>1.3012190148185072</v>
      </c>
    </row>
    <row r="1316" spans="1:12" ht="14" x14ac:dyDescent="0.15">
      <c r="A1316" s="1">
        <v>11315</v>
      </c>
      <c r="B1316" s="2">
        <v>45876</v>
      </c>
      <c r="C1316" s="1" t="s">
        <v>12</v>
      </c>
      <c r="D1316" s="1" t="s">
        <v>13</v>
      </c>
      <c r="E1316" s="1" t="s">
        <v>16</v>
      </c>
      <c r="F1316" s="1" t="s">
        <v>24</v>
      </c>
      <c r="G1316" s="4">
        <v>599.16999999999996</v>
      </c>
      <c r="H1316" s="1">
        <v>3</v>
      </c>
      <c r="I1316" s="1" t="str">
        <f>TEXT(SalesTable[[#This Row],[Order_Date]],"mmm")</f>
        <v>Aug</v>
      </c>
      <c r="J1316" s="1">
        <f>YEAR(SalesTable[[#This Row],[Order_Date]])</f>
        <v>2025</v>
      </c>
      <c r="K1316" s="4">
        <v>91.16</v>
      </c>
      <c r="L1316" s="9">
        <f>SalesTable[[#This Row],[Profit]]/SalesTable[[#This Row],[Sales]]</f>
        <v>0.15214379892184188</v>
      </c>
    </row>
    <row r="1317" spans="1:12" ht="14" x14ac:dyDescent="0.15">
      <c r="A1317" s="1">
        <v>11316</v>
      </c>
      <c r="B1317" s="2">
        <v>45877</v>
      </c>
      <c r="C1317" s="1" t="s">
        <v>10</v>
      </c>
      <c r="D1317" s="1" t="s">
        <v>14</v>
      </c>
      <c r="E1317" s="1" t="s">
        <v>18</v>
      </c>
      <c r="F1317" s="1" t="s">
        <v>22</v>
      </c>
      <c r="G1317" s="4">
        <v>960.08</v>
      </c>
      <c r="H1317" s="1">
        <v>2</v>
      </c>
      <c r="I1317" s="1" t="str">
        <f>TEXT(SalesTable[[#This Row],[Order_Date]],"mmm")</f>
        <v>Aug</v>
      </c>
      <c r="J1317" s="1">
        <f>YEAR(SalesTable[[#This Row],[Order_Date]])</f>
        <v>2025</v>
      </c>
      <c r="K1317" s="4">
        <v>190.96</v>
      </c>
      <c r="L1317" s="9">
        <f>SalesTable[[#This Row],[Profit]]/SalesTable[[#This Row],[Sales]]</f>
        <v>0.19890009165902842</v>
      </c>
    </row>
    <row r="1318" spans="1:12" ht="14" x14ac:dyDescent="0.15">
      <c r="A1318" s="1">
        <v>11317</v>
      </c>
      <c r="B1318" s="2">
        <v>45878</v>
      </c>
      <c r="C1318" s="1" t="s">
        <v>12</v>
      </c>
      <c r="D1318" s="1" t="s">
        <v>13</v>
      </c>
      <c r="E1318" s="1" t="s">
        <v>17</v>
      </c>
      <c r="F1318" s="1" t="s">
        <v>21</v>
      </c>
      <c r="G1318" s="4">
        <v>527.91999999999996</v>
      </c>
      <c r="H1318" s="1">
        <v>5</v>
      </c>
      <c r="I1318" s="1" t="str">
        <f>TEXT(SalesTable[[#This Row],[Order_Date]],"mmm")</f>
        <v>Aug</v>
      </c>
      <c r="J1318" s="1">
        <f>YEAR(SalesTable[[#This Row],[Order_Date]])</f>
        <v>2025</v>
      </c>
      <c r="K1318" s="4">
        <v>48.28</v>
      </c>
      <c r="L1318" s="9">
        <f>SalesTable[[#This Row],[Profit]]/SalesTable[[#This Row],[Sales]]</f>
        <v>9.1453250492498875E-2</v>
      </c>
    </row>
    <row r="1319" spans="1:12" ht="14" x14ac:dyDescent="0.15">
      <c r="A1319" s="1">
        <v>11318</v>
      </c>
      <c r="B1319" s="2">
        <v>45879</v>
      </c>
      <c r="C1319" s="1" t="s">
        <v>10</v>
      </c>
      <c r="D1319" s="1" t="s">
        <v>13</v>
      </c>
      <c r="E1319" s="1" t="s">
        <v>20</v>
      </c>
      <c r="F1319" s="1" t="s">
        <v>23</v>
      </c>
      <c r="G1319" s="4">
        <v>128.77000000000001</v>
      </c>
      <c r="H1319" s="1">
        <v>6</v>
      </c>
      <c r="I1319" s="1" t="str">
        <f>TEXT(SalesTable[[#This Row],[Order_Date]],"mmm")</f>
        <v>Aug</v>
      </c>
      <c r="J1319" s="1">
        <f>YEAR(SalesTable[[#This Row],[Order_Date]])</f>
        <v>2025</v>
      </c>
      <c r="K1319" s="4">
        <v>-26.25</v>
      </c>
      <c r="L1319" s="9">
        <f>SalesTable[[#This Row],[Profit]]/SalesTable[[#This Row],[Sales]]</f>
        <v>-0.20385182884212161</v>
      </c>
    </row>
    <row r="1320" spans="1:12" ht="14" x14ac:dyDescent="0.15">
      <c r="A1320" s="1">
        <v>11319</v>
      </c>
      <c r="B1320" s="2">
        <v>45880</v>
      </c>
      <c r="C1320" s="1" t="s">
        <v>12</v>
      </c>
      <c r="D1320" s="1" t="s">
        <v>15</v>
      </c>
      <c r="E1320" s="1" t="s">
        <v>16</v>
      </c>
      <c r="F1320" s="1" t="s">
        <v>24</v>
      </c>
      <c r="G1320" s="4">
        <v>639</v>
      </c>
      <c r="H1320" s="1">
        <v>1</v>
      </c>
      <c r="I1320" s="1" t="str">
        <f>TEXT(SalesTable[[#This Row],[Order_Date]],"mmm")</f>
        <v>Aug</v>
      </c>
      <c r="J1320" s="1">
        <f>YEAR(SalesTable[[#This Row],[Order_Date]])</f>
        <v>2025</v>
      </c>
      <c r="K1320" s="4">
        <v>77.23</v>
      </c>
      <c r="L1320" s="9">
        <f>SalesTable[[#This Row],[Profit]]/SalesTable[[#This Row],[Sales]]</f>
        <v>0.12086071987480439</v>
      </c>
    </row>
    <row r="1321" spans="1:12" ht="14" x14ac:dyDescent="0.15">
      <c r="A1321" s="1">
        <v>11320</v>
      </c>
      <c r="B1321" s="2">
        <v>45881</v>
      </c>
      <c r="C1321" s="1" t="s">
        <v>9</v>
      </c>
      <c r="D1321" s="1" t="s">
        <v>14</v>
      </c>
      <c r="E1321" s="1" t="s">
        <v>18</v>
      </c>
      <c r="F1321" s="1" t="s">
        <v>21</v>
      </c>
      <c r="G1321" s="4">
        <v>373.21</v>
      </c>
      <c r="H1321" s="1">
        <v>6</v>
      </c>
      <c r="I1321" s="1" t="str">
        <f>TEXT(SalesTable[[#This Row],[Order_Date]],"mmm")</f>
        <v>Aug</v>
      </c>
      <c r="J1321" s="1">
        <f>YEAR(SalesTable[[#This Row],[Order_Date]])</f>
        <v>2025</v>
      </c>
      <c r="K1321" s="4">
        <v>-33.700000000000003</v>
      </c>
      <c r="L1321" s="9">
        <f>SalesTable[[#This Row],[Profit]]/SalesTable[[#This Row],[Sales]]</f>
        <v>-9.0297687628948867E-2</v>
      </c>
    </row>
    <row r="1322" spans="1:12" ht="14" x14ac:dyDescent="0.15">
      <c r="A1322" s="1">
        <v>11321</v>
      </c>
      <c r="B1322" s="2">
        <v>45882</v>
      </c>
      <c r="C1322" s="1" t="s">
        <v>10</v>
      </c>
      <c r="D1322" s="1" t="s">
        <v>13</v>
      </c>
      <c r="E1322" s="1" t="s">
        <v>20</v>
      </c>
      <c r="F1322" s="1" t="s">
        <v>23</v>
      </c>
      <c r="G1322" s="4">
        <v>863.13</v>
      </c>
      <c r="H1322" s="1">
        <v>3</v>
      </c>
      <c r="I1322" s="1" t="str">
        <f>TEXT(SalesTable[[#This Row],[Order_Date]],"mmm")</f>
        <v>Aug</v>
      </c>
      <c r="J1322" s="1">
        <f>YEAR(SalesTable[[#This Row],[Order_Date]])</f>
        <v>2025</v>
      </c>
      <c r="K1322" s="4">
        <v>292.82</v>
      </c>
      <c r="L1322" s="9">
        <f>SalesTable[[#This Row],[Profit]]/SalesTable[[#This Row],[Sales]]</f>
        <v>0.33925364661175023</v>
      </c>
    </row>
    <row r="1323" spans="1:12" ht="14" x14ac:dyDescent="0.15">
      <c r="A1323" s="1">
        <v>11322</v>
      </c>
      <c r="B1323" s="2">
        <v>45883</v>
      </c>
      <c r="C1323" s="1" t="s">
        <v>9</v>
      </c>
      <c r="D1323" s="1" t="s">
        <v>13</v>
      </c>
      <c r="E1323" s="1" t="s">
        <v>20</v>
      </c>
      <c r="F1323" s="1" t="s">
        <v>25</v>
      </c>
      <c r="G1323" s="4">
        <v>462.94</v>
      </c>
      <c r="H1323" s="1">
        <v>4</v>
      </c>
      <c r="I1323" s="1" t="str">
        <f>TEXT(SalesTable[[#This Row],[Order_Date]],"mmm")</f>
        <v>Aug</v>
      </c>
      <c r="J1323" s="1">
        <f>YEAR(SalesTable[[#This Row],[Order_Date]])</f>
        <v>2025</v>
      </c>
      <c r="K1323" s="4">
        <v>-61.5</v>
      </c>
      <c r="L1323" s="9">
        <f>SalesTable[[#This Row],[Profit]]/SalesTable[[#This Row],[Sales]]</f>
        <v>-0.13284658919082387</v>
      </c>
    </row>
    <row r="1324" spans="1:12" ht="14" x14ac:dyDescent="0.15">
      <c r="A1324" s="1">
        <v>11323</v>
      </c>
      <c r="B1324" s="2">
        <v>45884</v>
      </c>
      <c r="C1324" s="1" t="s">
        <v>11</v>
      </c>
      <c r="D1324" s="1" t="s">
        <v>15</v>
      </c>
      <c r="E1324" s="1" t="s">
        <v>16</v>
      </c>
      <c r="F1324" s="1" t="s">
        <v>25</v>
      </c>
      <c r="G1324" s="4">
        <v>233.2</v>
      </c>
      <c r="H1324" s="1">
        <v>6</v>
      </c>
      <c r="I1324" s="1" t="str">
        <f>TEXT(SalesTable[[#This Row],[Order_Date]],"mmm")</f>
        <v>Aug</v>
      </c>
      <c r="J1324" s="1">
        <f>YEAR(SalesTable[[#This Row],[Order_Date]])</f>
        <v>2025</v>
      </c>
      <c r="K1324" s="4">
        <v>135.68</v>
      </c>
      <c r="L1324" s="9">
        <f>SalesTable[[#This Row],[Profit]]/SalesTable[[#This Row],[Sales]]</f>
        <v>0.5818181818181819</v>
      </c>
    </row>
    <row r="1325" spans="1:12" ht="14" x14ac:dyDescent="0.15">
      <c r="A1325" s="1">
        <v>11324</v>
      </c>
      <c r="B1325" s="2">
        <v>45885</v>
      </c>
      <c r="C1325" s="1" t="s">
        <v>12</v>
      </c>
      <c r="D1325" s="1" t="s">
        <v>15</v>
      </c>
      <c r="E1325" s="1" t="s">
        <v>18</v>
      </c>
      <c r="F1325" s="1" t="s">
        <v>23</v>
      </c>
      <c r="G1325" s="4">
        <v>231.55</v>
      </c>
      <c r="H1325" s="1">
        <v>8</v>
      </c>
      <c r="I1325" s="1" t="str">
        <f>TEXT(SalesTable[[#This Row],[Order_Date]],"mmm")</f>
        <v>Aug</v>
      </c>
      <c r="J1325" s="1">
        <f>YEAR(SalesTable[[#This Row],[Order_Date]])</f>
        <v>2025</v>
      </c>
      <c r="K1325" s="4">
        <v>150.59</v>
      </c>
      <c r="L1325" s="9">
        <f>SalesTable[[#This Row],[Profit]]/SalesTable[[#This Row],[Sales]]</f>
        <v>0.65035629453681709</v>
      </c>
    </row>
    <row r="1326" spans="1:12" ht="14" x14ac:dyDescent="0.15">
      <c r="A1326" s="1">
        <v>11325</v>
      </c>
      <c r="B1326" s="2">
        <v>45886</v>
      </c>
      <c r="C1326" s="1" t="s">
        <v>11</v>
      </c>
      <c r="D1326" s="1" t="s">
        <v>13</v>
      </c>
      <c r="E1326" s="1" t="s">
        <v>20</v>
      </c>
      <c r="F1326" s="1" t="s">
        <v>22</v>
      </c>
      <c r="G1326" s="4">
        <v>780.33</v>
      </c>
      <c r="H1326" s="1">
        <v>9</v>
      </c>
      <c r="I1326" s="1" t="str">
        <f>TEXT(SalesTable[[#This Row],[Order_Date]],"mmm")</f>
        <v>Aug</v>
      </c>
      <c r="J1326" s="1">
        <f>YEAR(SalesTable[[#This Row],[Order_Date]])</f>
        <v>2025</v>
      </c>
      <c r="K1326" s="4">
        <v>115.23</v>
      </c>
      <c r="L1326" s="9">
        <f>SalesTable[[#This Row],[Profit]]/SalesTable[[#This Row],[Sales]]</f>
        <v>0.14766829418323016</v>
      </c>
    </row>
    <row r="1327" spans="1:12" ht="14" x14ac:dyDescent="0.15">
      <c r="A1327" s="1">
        <v>11326</v>
      </c>
      <c r="B1327" s="2">
        <v>45887</v>
      </c>
      <c r="C1327" s="1" t="s">
        <v>11</v>
      </c>
      <c r="D1327" s="1" t="s">
        <v>14</v>
      </c>
      <c r="E1327" s="1" t="s">
        <v>20</v>
      </c>
      <c r="F1327" s="1" t="s">
        <v>23</v>
      </c>
      <c r="G1327" s="4">
        <v>302.31</v>
      </c>
      <c r="H1327" s="1">
        <v>6</v>
      </c>
      <c r="I1327" s="1" t="str">
        <f>TEXT(SalesTable[[#This Row],[Order_Date]],"mmm")</f>
        <v>Aug</v>
      </c>
      <c r="J1327" s="1">
        <f>YEAR(SalesTable[[#This Row],[Order_Date]])</f>
        <v>2025</v>
      </c>
      <c r="K1327" s="4">
        <v>164.87</v>
      </c>
      <c r="L1327" s="9">
        <f>SalesTable[[#This Row],[Profit]]/SalesTable[[#This Row],[Sales]]</f>
        <v>0.54536733816281302</v>
      </c>
    </row>
    <row r="1328" spans="1:12" ht="14" x14ac:dyDescent="0.15">
      <c r="A1328" s="1">
        <v>11327</v>
      </c>
      <c r="B1328" s="2">
        <v>45888</v>
      </c>
      <c r="C1328" s="1" t="s">
        <v>11</v>
      </c>
      <c r="D1328" s="1" t="s">
        <v>14</v>
      </c>
      <c r="E1328" s="1" t="s">
        <v>19</v>
      </c>
      <c r="F1328" s="1" t="s">
        <v>23</v>
      </c>
      <c r="G1328" s="4">
        <v>778.87</v>
      </c>
      <c r="H1328" s="1">
        <v>7</v>
      </c>
      <c r="I1328" s="1" t="str">
        <f>TEXT(SalesTable[[#This Row],[Order_Date]],"mmm")</f>
        <v>Aug</v>
      </c>
      <c r="J1328" s="1">
        <f>YEAR(SalesTable[[#This Row],[Order_Date]])</f>
        <v>2025</v>
      </c>
      <c r="K1328" s="4">
        <v>-53.53</v>
      </c>
      <c r="L1328" s="9">
        <f>SalesTable[[#This Row],[Profit]]/SalesTable[[#This Row],[Sales]]</f>
        <v>-6.8727772285490513E-2</v>
      </c>
    </row>
    <row r="1329" spans="1:12" ht="14" x14ac:dyDescent="0.15">
      <c r="A1329" s="1">
        <v>11328</v>
      </c>
      <c r="B1329" s="2">
        <v>45889</v>
      </c>
      <c r="C1329" s="1" t="s">
        <v>11</v>
      </c>
      <c r="D1329" s="1" t="s">
        <v>15</v>
      </c>
      <c r="E1329" s="1" t="s">
        <v>20</v>
      </c>
      <c r="F1329" s="1" t="s">
        <v>22</v>
      </c>
      <c r="G1329" s="4">
        <v>245.59</v>
      </c>
      <c r="H1329" s="1">
        <v>5</v>
      </c>
      <c r="I1329" s="1" t="str">
        <f>TEXT(SalesTable[[#This Row],[Order_Date]],"mmm")</f>
        <v>Aug</v>
      </c>
      <c r="J1329" s="1">
        <f>YEAR(SalesTable[[#This Row],[Order_Date]])</f>
        <v>2025</v>
      </c>
      <c r="K1329" s="4">
        <v>122.01</v>
      </c>
      <c r="L1329" s="9">
        <f>SalesTable[[#This Row],[Profit]]/SalesTable[[#This Row],[Sales]]</f>
        <v>0.49680361578240156</v>
      </c>
    </row>
    <row r="1330" spans="1:12" ht="14" x14ac:dyDescent="0.15">
      <c r="A1330" s="1">
        <v>11329</v>
      </c>
      <c r="B1330" s="2">
        <v>45890</v>
      </c>
      <c r="C1330" s="1" t="s">
        <v>12</v>
      </c>
      <c r="D1330" s="1" t="s">
        <v>15</v>
      </c>
      <c r="E1330" s="1" t="s">
        <v>19</v>
      </c>
      <c r="F1330" s="1" t="s">
        <v>22</v>
      </c>
      <c r="G1330" s="4">
        <v>355.6</v>
      </c>
      <c r="H1330" s="1">
        <v>9</v>
      </c>
      <c r="I1330" s="1" t="str">
        <f>TEXT(SalesTable[[#This Row],[Order_Date]],"mmm")</f>
        <v>Aug</v>
      </c>
      <c r="J1330" s="1">
        <f>YEAR(SalesTable[[#This Row],[Order_Date]])</f>
        <v>2025</v>
      </c>
      <c r="K1330" s="4">
        <v>14.89</v>
      </c>
      <c r="L1330" s="9">
        <f>SalesTable[[#This Row],[Profit]]/SalesTable[[#This Row],[Sales]]</f>
        <v>4.1872890888638922E-2</v>
      </c>
    </row>
    <row r="1331" spans="1:12" ht="14" x14ac:dyDescent="0.15">
      <c r="A1331" s="1">
        <v>11330</v>
      </c>
      <c r="B1331" s="2">
        <v>45891</v>
      </c>
      <c r="C1331" s="1" t="s">
        <v>11</v>
      </c>
      <c r="D1331" s="1" t="s">
        <v>13</v>
      </c>
      <c r="E1331" s="1" t="s">
        <v>18</v>
      </c>
      <c r="F1331" s="1" t="s">
        <v>21</v>
      </c>
      <c r="G1331" s="4">
        <v>492.21</v>
      </c>
      <c r="H1331" s="1">
        <v>4</v>
      </c>
      <c r="I1331" s="1" t="str">
        <f>TEXT(SalesTable[[#This Row],[Order_Date]],"mmm")</f>
        <v>Aug</v>
      </c>
      <c r="J1331" s="1">
        <f>YEAR(SalesTable[[#This Row],[Order_Date]])</f>
        <v>2025</v>
      </c>
      <c r="K1331" s="4">
        <v>276.07</v>
      </c>
      <c r="L1331" s="9">
        <f>SalesTable[[#This Row],[Profit]]/SalesTable[[#This Row],[Sales]]</f>
        <v>0.56087848682472929</v>
      </c>
    </row>
    <row r="1332" spans="1:12" ht="14" x14ac:dyDescent="0.15">
      <c r="A1332" s="1">
        <v>11331</v>
      </c>
      <c r="B1332" s="2">
        <v>45892</v>
      </c>
      <c r="C1332" s="1" t="s">
        <v>12</v>
      </c>
      <c r="D1332" s="1" t="s">
        <v>15</v>
      </c>
      <c r="E1332" s="1" t="s">
        <v>18</v>
      </c>
      <c r="F1332" s="1" t="s">
        <v>21</v>
      </c>
      <c r="G1332" s="4">
        <v>946.04</v>
      </c>
      <c r="H1332" s="1">
        <v>6</v>
      </c>
      <c r="I1332" s="1" t="str">
        <f>TEXT(SalesTable[[#This Row],[Order_Date]],"mmm")</f>
        <v>Aug</v>
      </c>
      <c r="J1332" s="1">
        <f>YEAR(SalesTable[[#This Row],[Order_Date]])</f>
        <v>2025</v>
      </c>
      <c r="K1332" s="4">
        <v>204.83</v>
      </c>
      <c r="L1332" s="9">
        <f>SalesTable[[#This Row],[Profit]]/SalesTable[[#This Row],[Sales]]</f>
        <v>0.21651304384592621</v>
      </c>
    </row>
    <row r="1333" spans="1:12" ht="14" x14ac:dyDescent="0.15">
      <c r="A1333" s="1">
        <v>11332</v>
      </c>
      <c r="B1333" s="2">
        <v>45893</v>
      </c>
      <c r="C1333" s="1" t="s">
        <v>12</v>
      </c>
      <c r="D1333" s="1" t="s">
        <v>13</v>
      </c>
      <c r="E1333" s="1" t="s">
        <v>18</v>
      </c>
      <c r="F1333" s="1" t="s">
        <v>22</v>
      </c>
      <c r="G1333" s="4">
        <v>935.14</v>
      </c>
      <c r="H1333" s="1">
        <v>5</v>
      </c>
      <c r="I1333" s="1" t="str">
        <f>TEXT(SalesTable[[#This Row],[Order_Date]],"mmm")</f>
        <v>Aug</v>
      </c>
      <c r="J1333" s="1">
        <f>YEAR(SalesTable[[#This Row],[Order_Date]])</f>
        <v>2025</v>
      </c>
      <c r="K1333" s="4">
        <v>289.01</v>
      </c>
      <c r="L1333" s="9">
        <f>SalesTable[[#This Row],[Profit]]/SalesTable[[#This Row],[Sales]]</f>
        <v>0.3090553286138974</v>
      </c>
    </row>
    <row r="1334" spans="1:12" ht="14" x14ac:dyDescent="0.15">
      <c r="A1334" s="1">
        <v>11333</v>
      </c>
      <c r="B1334" s="2">
        <v>45894</v>
      </c>
      <c r="C1334" s="1" t="s">
        <v>9</v>
      </c>
      <c r="D1334" s="1" t="s">
        <v>14</v>
      </c>
      <c r="E1334" s="1" t="s">
        <v>17</v>
      </c>
      <c r="F1334" s="1" t="s">
        <v>25</v>
      </c>
      <c r="G1334" s="4">
        <v>246.53</v>
      </c>
      <c r="H1334" s="1">
        <v>1</v>
      </c>
      <c r="I1334" s="1" t="str">
        <f>TEXT(SalesTable[[#This Row],[Order_Date]],"mmm")</f>
        <v>Aug</v>
      </c>
      <c r="J1334" s="1">
        <f>YEAR(SalesTable[[#This Row],[Order_Date]])</f>
        <v>2025</v>
      </c>
      <c r="K1334" s="4">
        <v>-84.98</v>
      </c>
      <c r="L1334" s="9">
        <f>SalesTable[[#This Row],[Profit]]/SalesTable[[#This Row],[Sales]]</f>
        <v>-0.34470449843832396</v>
      </c>
    </row>
    <row r="1335" spans="1:12" ht="14" x14ac:dyDescent="0.15">
      <c r="A1335" s="1">
        <v>11334</v>
      </c>
      <c r="B1335" s="2">
        <v>45895</v>
      </c>
      <c r="C1335" s="1" t="s">
        <v>10</v>
      </c>
      <c r="D1335" s="1" t="s">
        <v>14</v>
      </c>
      <c r="E1335" s="1" t="s">
        <v>18</v>
      </c>
      <c r="F1335" s="1" t="s">
        <v>25</v>
      </c>
      <c r="G1335" s="4">
        <v>390.31</v>
      </c>
      <c r="H1335" s="1">
        <v>5</v>
      </c>
      <c r="I1335" s="1" t="str">
        <f>TEXT(SalesTable[[#This Row],[Order_Date]],"mmm")</f>
        <v>Aug</v>
      </c>
      <c r="J1335" s="1">
        <f>YEAR(SalesTable[[#This Row],[Order_Date]])</f>
        <v>2025</v>
      </c>
      <c r="K1335" s="4">
        <v>14.05</v>
      </c>
      <c r="L1335" s="9">
        <f>SalesTable[[#This Row],[Profit]]/SalesTable[[#This Row],[Sales]]</f>
        <v>3.5997028003381927E-2</v>
      </c>
    </row>
    <row r="1336" spans="1:12" ht="14" x14ac:dyDescent="0.15">
      <c r="A1336" s="1">
        <v>11335</v>
      </c>
      <c r="B1336" s="2">
        <v>45896</v>
      </c>
      <c r="C1336" s="1" t="s">
        <v>10</v>
      </c>
      <c r="D1336" s="1" t="s">
        <v>13</v>
      </c>
      <c r="E1336" s="1" t="s">
        <v>20</v>
      </c>
      <c r="F1336" s="1" t="s">
        <v>23</v>
      </c>
      <c r="G1336" s="4">
        <v>191.93</v>
      </c>
      <c r="H1336" s="1">
        <v>5</v>
      </c>
      <c r="I1336" s="1" t="str">
        <f>TEXT(SalesTable[[#This Row],[Order_Date]],"mmm")</f>
        <v>Aug</v>
      </c>
      <c r="J1336" s="1">
        <f>YEAR(SalesTable[[#This Row],[Order_Date]])</f>
        <v>2025</v>
      </c>
      <c r="K1336" s="4">
        <v>-21.83</v>
      </c>
      <c r="L1336" s="9">
        <f>SalesTable[[#This Row],[Profit]]/SalesTable[[#This Row],[Sales]]</f>
        <v>-0.11373938415047151</v>
      </c>
    </row>
    <row r="1337" spans="1:12" ht="14" x14ac:dyDescent="0.15">
      <c r="A1337" s="1">
        <v>11336</v>
      </c>
      <c r="B1337" s="2">
        <v>45897</v>
      </c>
      <c r="C1337" s="1" t="s">
        <v>12</v>
      </c>
      <c r="D1337" s="1" t="s">
        <v>15</v>
      </c>
      <c r="E1337" s="1" t="s">
        <v>16</v>
      </c>
      <c r="F1337" s="1" t="s">
        <v>24</v>
      </c>
      <c r="G1337" s="4">
        <v>534.49</v>
      </c>
      <c r="H1337" s="1">
        <v>9</v>
      </c>
      <c r="I1337" s="1" t="str">
        <f>TEXT(SalesTable[[#This Row],[Order_Date]],"mmm")</f>
        <v>Aug</v>
      </c>
      <c r="J1337" s="1">
        <f>YEAR(SalesTable[[#This Row],[Order_Date]])</f>
        <v>2025</v>
      </c>
      <c r="K1337" s="4">
        <v>-95.54</v>
      </c>
      <c r="L1337" s="9">
        <f>SalesTable[[#This Row],[Profit]]/SalesTable[[#This Row],[Sales]]</f>
        <v>-0.17874983629254057</v>
      </c>
    </row>
    <row r="1338" spans="1:12" ht="14" x14ac:dyDescent="0.15">
      <c r="A1338" s="1">
        <v>11337</v>
      </c>
      <c r="B1338" s="2">
        <v>45898</v>
      </c>
      <c r="C1338" s="1" t="s">
        <v>9</v>
      </c>
      <c r="D1338" s="1" t="s">
        <v>14</v>
      </c>
      <c r="E1338" s="1" t="s">
        <v>19</v>
      </c>
      <c r="F1338" s="1" t="s">
        <v>23</v>
      </c>
      <c r="G1338" s="4">
        <v>487.55</v>
      </c>
      <c r="H1338" s="1">
        <v>1</v>
      </c>
      <c r="I1338" s="1" t="str">
        <f>TEXT(SalesTable[[#This Row],[Order_Date]],"mmm")</f>
        <v>Aug</v>
      </c>
      <c r="J1338" s="1">
        <f>YEAR(SalesTable[[#This Row],[Order_Date]])</f>
        <v>2025</v>
      </c>
      <c r="K1338" s="4">
        <v>-3.07</v>
      </c>
      <c r="L1338" s="9">
        <f>SalesTable[[#This Row],[Profit]]/SalesTable[[#This Row],[Sales]]</f>
        <v>-6.2967900728130447E-3</v>
      </c>
    </row>
    <row r="1339" spans="1:12" ht="14" x14ac:dyDescent="0.15">
      <c r="A1339" s="1">
        <v>11338</v>
      </c>
      <c r="B1339" s="2">
        <v>45899</v>
      </c>
      <c r="C1339" s="1" t="s">
        <v>12</v>
      </c>
      <c r="D1339" s="1" t="s">
        <v>15</v>
      </c>
      <c r="E1339" s="1" t="s">
        <v>17</v>
      </c>
      <c r="F1339" s="1" t="s">
        <v>23</v>
      </c>
      <c r="G1339" s="4">
        <v>905.72</v>
      </c>
      <c r="H1339" s="1">
        <v>5</v>
      </c>
      <c r="I1339" s="1" t="str">
        <f>TEXT(SalesTable[[#This Row],[Order_Date]],"mmm")</f>
        <v>Aug</v>
      </c>
      <c r="J1339" s="1">
        <f>YEAR(SalesTable[[#This Row],[Order_Date]])</f>
        <v>2025</v>
      </c>
      <c r="K1339" s="4">
        <v>171.51</v>
      </c>
      <c r="L1339" s="9">
        <f>SalesTable[[#This Row],[Profit]]/SalesTable[[#This Row],[Sales]]</f>
        <v>0.18936315859205935</v>
      </c>
    </row>
    <row r="1340" spans="1:12" ht="14" x14ac:dyDescent="0.15">
      <c r="A1340" s="1">
        <v>11339</v>
      </c>
      <c r="B1340" s="2">
        <v>45900</v>
      </c>
      <c r="C1340" s="1" t="s">
        <v>12</v>
      </c>
      <c r="D1340" s="1" t="s">
        <v>14</v>
      </c>
      <c r="E1340" s="1" t="s">
        <v>18</v>
      </c>
      <c r="F1340" s="1" t="s">
        <v>24</v>
      </c>
      <c r="G1340" s="4">
        <v>933.51</v>
      </c>
      <c r="H1340" s="1">
        <v>7</v>
      </c>
      <c r="I1340" s="1" t="str">
        <f>TEXT(SalesTable[[#This Row],[Order_Date]],"mmm")</f>
        <v>Aug</v>
      </c>
      <c r="J1340" s="1">
        <f>YEAR(SalesTable[[#This Row],[Order_Date]])</f>
        <v>2025</v>
      </c>
      <c r="K1340" s="4">
        <v>-7.56</v>
      </c>
      <c r="L1340" s="9">
        <f>SalesTable[[#This Row],[Profit]]/SalesTable[[#This Row],[Sales]]</f>
        <v>-8.0984670758749225E-3</v>
      </c>
    </row>
    <row r="1341" spans="1:12" ht="14" x14ac:dyDescent="0.15">
      <c r="A1341" s="1">
        <v>11340</v>
      </c>
      <c r="B1341" s="2">
        <v>45901</v>
      </c>
      <c r="C1341" s="1" t="s">
        <v>12</v>
      </c>
      <c r="D1341" s="1" t="s">
        <v>13</v>
      </c>
      <c r="E1341" s="1" t="s">
        <v>18</v>
      </c>
      <c r="F1341" s="1" t="s">
        <v>22</v>
      </c>
      <c r="G1341" s="4">
        <v>414.39</v>
      </c>
      <c r="H1341" s="1">
        <v>6</v>
      </c>
      <c r="I1341" s="1" t="str">
        <f>TEXT(SalesTable[[#This Row],[Order_Date]],"mmm")</f>
        <v>Sep</v>
      </c>
      <c r="J1341" s="1">
        <f>YEAR(SalesTable[[#This Row],[Order_Date]])</f>
        <v>2025</v>
      </c>
      <c r="K1341" s="4">
        <v>103.6</v>
      </c>
      <c r="L1341" s="9">
        <f>SalesTable[[#This Row],[Profit]]/SalesTable[[#This Row],[Sales]]</f>
        <v>0.25000603296411594</v>
      </c>
    </row>
    <row r="1342" spans="1:12" ht="14" x14ac:dyDescent="0.15">
      <c r="A1342" s="1">
        <v>11341</v>
      </c>
      <c r="B1342" s="2">
        <v>45902</v>
      </c>
      <c r="C1342" s="1" t="s">
        <v>9</v>
      </c>
      <c r="D1342" s="1" t="s">
        <v>13</v>
      </c>
      <c r="E1342" s="1" t="s">
        <v>16</v>
      </c>
      <c r="F1342" s="1" t="s">
        <v>25</v>
      </c>
      <c r="G1342" s="4">
        <v>517.15</v>
      </c>
      <c r="H1342" s="1">
        <v>6</v>
      </c>
      <c r="I1342" s="1" t="str">
        <f>TEXT(SalesTable[[#This Row],[Order_Date]],"mmm")</f>
        <v>Sep</v>
      </c>
      <c r="J1342" s="1">
        <f>YEAR(SalesTable[[#This Row],[Order_Date]])</f>
        <v>2025</v>
      </c>
      <c r="K1342" s="4">
        <v>255.13</v>
      </c>
      <c r="L1342" s="9">
        <f>SalesTable[[#This Row],[Profit]]/SalesTable[[#This Row],[Sales]]</f>
        <v>0.49333848979986467</v>
      </c>
    </row>
    <row r="1343" spans="1:12" ht="14" x14ac:dyDescent="0.15">
      <c r="A1343" s="1">
        <v>11342</v>
      </c>
      <c r="B1343" s="2">
        <v>45903</v>
      </c>
      <c r="C1343" s="1" t="s">
        <v>10</v>
      </c>
      <c r="D1343" s="1" t="s">
        <v>13</v>
      </c>
      <c r="E1343" s="1" t="s">
        <v>16</v>
      </c>
      <c r="F1343" s="1" t="s">
        <v>23</v>
      </c>
      <c r="G1343" s="4">
        <v>901.42</v>
      </c>
      <c r="H1343" s="1">
        <v>7</v>
      </c>
      <c r="I1343" s="1" t="str">
        <f>TEXT(SalesTable[[#This Row],[Order_Date]],"mmm")</f>
        <v>Sep</v>
      </c>
      <c r="J1343" s="1">
        <f>YEAR(SalesTable[[#This Row],[Order_Date]])</f>
        <v>2025</v>
      </c>
      <c r="K1343" s="4">
        <v>177.5</v>
      </c>
      <c r="L1343" s="9">
        <f>SalesTable[[#This Row],[Profit]]/SalesTable[[#This Row],[Sales]]</f>
        <v>0.19691153957089927</v>
      </c>
    </row>
    <row r="1344" spans="1:12" ht="14" x14ac:dyDescent="0.15">
      <c r="A1344" s="1">
        <v>11343</v>
      </c>
      <c r="B1344" s="2">
        <v>45904</v>
      </c>
      <c r="C1344" s="1" t="s">
        <v>9</v>
      </c>
      <c r="D1344" s="1" t="s">
        <v>14</v>
      </c>
      <c r="E1344" s="1" t="s">
        <v>17</v>
      </c>
      <c r="F1344" s="1" t="s">
        <v>24</v>
      </c>
      <c r="G1344" s="4">
        <v>816.37</v>
      </c>
      <c r="H1344" s="1">
        <v>6</v>
      </c>
      <c r="I1344" s="1" t="str">
        <f>TEXT(SalesTable[[#This Row],[Order_Date]],"mmm")</f>
        <v>Sep</v>
      </c>
      <c r="J1344" s="1">
        <f>YEAR(SalesTable[[#This Row],[Order_Date]])</f>
        <v>2025</v>
      </c>
      <c r="K1344" s="4">
        <v>57.85</v>
      </c>
      <c r="L1344" s="9">
        <f>SalesTable[[#This Row],[Profit]]/SalesTable[[#This Row],[Sales]]</f>
        <v>7.0862476573122488E-2</v>
      </c>
    </row>
    <row r="1345" spans="1:12" ht="14" x14ac:dyDescent="0.15">
      <c r="A1345" s="1">
        <v>11344</v>
      </c>
      <c r="B1345" s="2">
        <v>45905</v>
      </c>
      <c r="C1345" s="1" t="s">
        <v>11</v>
      </c>
      <c r="D1345" s="1" t="s">
        <v>15</v>
      </c>
      <c r="E1345" s="1" t="s">
        <v>19</v>
      </c>
      <c r="F1345" s="1" t="s">
        <v>21</v>
      </c>
      <c r="G1345" s="4">
        <v>53.47</v>
      </c>
      <c r="H1345" s="1">
        <v>5</v>
      </c>
      <c r="I1345" s="1" t="str">
        <f>TEXT(SalesTable[[#This Row],[Order_Date]],"mmm")</f>
        <v>Sep</v>
      </c>
      <c r="J1345" s="1">
        <f>YEAR(SalesTable[[#This Row],[Order_Date]])</f>
        <v>2025</v>
      </c>
      <c r="K1345" s="4">
        <v>48.99</v>
      </c>
      <c r="L1345" s="9">
        <f>SalesTable[[#This Row],[Profit]]/SalesTable[[#This Row],[Sales]]</f>
        <v>0.91621469983168136</v>
      </c>
    </row>
    <row r="1346" spans="1:12" ht="14" x14ac:dyDescent="0.15">
      <c r="A1346" s="1">
        <v>11345</v>
      </c>
      <c r="B1346" s="2">
        <v>45906</v>
      </c>
      <c r="C1346" s="1" t="s">
        <v>9</v>
      </c>
      <c r="D1346" s="1" t="s">
        <v>15</v>
      </c>
      <c r="E1346" s="1" t="s">
        <v>18</v>
      </c>
      <c r="F1346" s="1" t="s">
        <v>23</v>
      </c>
      <c r="G1346" s="4">
        <v>354.06</v>
      </c>
      <c r="H1346" s="1">
        <v>5</v>
      </c>
      <c r="I1346" s="1" t="str">
        <f>TEXT(SalesTable[[#This Row],[Order_Date]],"mmm")</f>
        <v>Sep</v>
      </c>
      <c r="J1346" s="1">
        <f>YEAR(SalesTable[[#This Row],[Order_Date]])</f>
        <v>2025</v>
      </c>
      <c r="K1346" s="4">
        <v>82.29</v>
      </c>
      <c r="L1346" s="9">
        <f>SalesTable[[#This Row],[Profit]]/SalesTable[[#This Row],[Sales]]</f>
        <v>0.23241823419759364</v>
      </c>
    </row>
    <row r="1347" spans="1:12" ht="14" x14ac:dyDescent="0.15">
      <c r="A1347" s="1">
        <v>11346</v>
      </c>
      <c r="B1347" s="2">
        <v>45907</v>
      </c>
      <c r="C1347" s="1" t="s">
        <v>9</v>
      </c>
      <c r="D1347" s="1" t="s">
        <v>15</v>
      </c>
      <c r="E1347" s="1" t="s">
        <v>17</v>
      </c>
      <c r="F1347" s="1" t="s">
        <v>25</v>
      </c>
      <c r="G1347" s="4">
        <v>450.69</v>
      </c>
      <c r="H1347" s="1">
        <v>9</v>
      </c>
      <c r="I1347" s="1" t="str">
        <f>TEXT(SalesTable[[#This Row],[Order_Date]],"mmm")</f>
        <v>Sep</v>
      </c>
      <c r="J1347" s="1">
        <f>YEAR(SalesTable[[#This Row],[Order_Date]])</f>
        <v>2025</v>
      </c>
      <c r="K1347" s="4">
        <v>-29.18</v>
      </c>
      <c r="L1347" s="9">
        <f>SalesTable[[#This Row],[Profit]]/SalesTable[[#This Row],[Sales]]</f>
        <v>-6.4745168519381391E-2</v>
      </c>
    </row>
    <row r="1348" spans="1:12" ht="14" x14ac:dyDescent="0.15">
      <c r="A1348" s="1">
        <v>11347</v>
      </c>
      <c r="B1348" s="2">
        <v>45908</v>
      </c>
      <c r="C1348" s="1" t="s">
        <v>9</v>
      </c>
      <c r="D1348" s="1" t="s">
        <v>14</v>
      </c>
      <c r="E1348" s="1" t="s">
        <v>20</v>
      </c>
      <c r="F1348" s="1" t="s">
        <v>22</v>
      </c>
      <c r="G1348" s="4">
        <v>268.23</v>
      </c>
      <c r="H1348" s="1">
        <v>8</v>
      </c>
      <c r="I1348" s="1" t="str">
        <f>TEXT(SalesTable[[#This Row],[Order_Date]],"mmm")</f>
        <v>Sep</v>
      </c>
      <c r="J1348" s="1">
        <f>YEAR(SalesTable[[#This Row],[Order_Date]])</f>
        <v>2025</v>
      </c>
      <c r="K1348" s="4">
        <v>153.6</v>
      </c>
      <c r="L1348" s="9">
        <f>SalesTable[[#This Row],[Profit]]/SalesTable[[#This Row],[Sales]]</f>
        <v>0.57264288110949557</v>
      </c>
    </row>
    <row r="1349" spans="1:12" ht="14" x14ac:dyDescent="0.15">
      <c r="A1349" s="1">
        <v>11348</v>
      </c>
      <c r="B1349" s="2">
        <v>45909</v>
      </c>
      <c r="C1349" s="1" t="s">
        <v>9</v>
      </c>
      <c r="D1349" s="1" t="s">
        <v>14</v>
      </c>
      <c r="E1349" s="1" t="s">
        <v>20</v>
      </c>
      <c r="F1349" s="1" t="s">
        <v>23</v>
      </c>
      <c r="G1349" s="4">
        <v>239.59</v>
      </c>
      <c r="H1349" s="1">
        <v>4</v>
      </c>
      <c r="I1349" s="1" t="str">
        <f>TEXT(SalesTable[[#This Row],[Order_Date]],"mmm")</f>
        <v>Sep</v>
      </c>
      <c r="J1349" s="1">
        <f>YEAR(SalesTable[[#This Row],[Order_Date]])</f>
        <v>2025</v>
      </c>
      <c r="K1349" s="4">
        <v>45.66</v>
      </c>
      <c r="L1349" s="9">
        <f>SalesTable[[#This Row],[Profit]]/SalesTable[[#This Row],[Sales]]</f>
        <v>0.19057556659292957</v>
      </c>
    </row>
    <row r="1350" spans="1:12" ht="14" x14ac:dyDescent="0.15">
      <c r="A1350" s="1">
        <v>11349</v>
      </c>
      <c r="B1350" s="2">
        <v>45910</v>
      </c>
      <c r="C1350" s="1" t="s">
        <v>10</v>
      </c>
      <c r="D1350" s="1" t="s">
        <v>14</v>
      </c>
      <c r="E1350" s="1" t="s">
        <v>17</v>
      </c>
      <c r="F1350" s="1" t="s">
        <v>23</v>
      </c>
      <c r="G1350" s="4">
        <v>85.9</v>
      </c>
      <c r="H1350" s="1">
        <v>4</v>
      </c>
      <c r="I1350" s="1" t="str">
        <f>TEXT(SalesTable[[#This Row],[Order_Date]],"mmm")</f>
        <v>Sep</v>
      </c>
      <c r="J1350" s="1">
        <f>YEAR(SalesTable[[#This Row],[Order_Date]])</f>
        <v>2025</v>
      </c>
      <c r="K1350" s="4">
        <v>240.95</v>
      </c>
      <c r="L1350" s="9">
        <f>SalesTable[[#This Row],[Profit]]/SalesTable[[#This Row],[Sales]]</f>
        <v>2.8050058207217692</v>
      </c>
    </row>
    <row r="1351" spans="1:12" ht="14" x14ac:dyDescent="0.15">
      <c r="A1351" s="1">
        <v>11350</v>
      </c>
      <c r="B1351" s="2">
        <v>45911</v>
      </c>
      <c r="C1351" s="1" t="s">
        <v>11</v>
      </c>
      <c r="D1351" s="1" t="s">
        <v>14</v>
      </c>
      <c r="E1351" s="1" t="s">
        <v>18</v>
      </c>
      <c r="F1351" s="1" t="s">
        <v>24</v>
      </c>
      <c r="G1351" s="4">
        <v>661.2</v>
      </c>
      <c r="H1351" s="1">
        <v>5</v>
      </c>
      <c r="I1351" s="1" t="str">
        <f>TEXT(SalesTable[[#This Row],[Order_Date]],"mmm")</f>
        <v>Sep</v>
      </c>
      <c r="J1351" s="1">
        <f>YEAR(SalesTable[[#This Row],[Order_Date]])</f>
        <v>2025</v>
      </c>
      <c r="K1351" s="4">
        <v>202.62</v>
      </c>
      <c r="L1351" s="9">
        <f>SalesTable[[#This Row],[Profit]]/SalesTable[[#This Row],[Sales]]</f>
        <v>0.30644283121597093</v>
      </c>
    </row>
    <row r="1352" spans="1:12" ht="14" x14ac:dyDescent="0.15">
      <c r="A1352" s="1">
        <v>11351</v>
      </c>
      <c r="B1352" s="2">
        <v>45912</v>
      </c>
      <c r="C1352" s="1" t="s">
        <v>10</v>
      </c>
      <c r="D1352" s="1" t="s">
        <v>14</v>
      </c>
      <c r="E1352" s="1" t="s">
        <v>17</v>
      </c>
      <c r="F1352" s="1" t="s">
        <v>21</v>
      </c>
      <c r="G1352" s="4">
        <v>299.38</v>
      </c>
      <c r="H1352" s="1">
        <v>3</v>
      </c>
      <c r="I1352" s="1" t="str">
        <f>TEXT(SalesTable[[#This Row],[Order_Date]],"mmm")</f>
        <v>Sep</v>
      </c>
      <c r="J1352" s="1">
        <f>YEAR(SalesTable[[#This Row],[Order_Date]])</f>
        <v>2025</v>
      </c>
      <c r="K1352" s="4">
        <v>144.21</v>
      </c>
      <c r="L1352" s="9">
        <f>SalesTable[[#This Row],[Profit]]/SalesTable[[#This Row],[Sales]]</f>
        <v>0.48169550404168621</v>
      </c>
    </row>
    <row r="1353" spans="1:12" ht="14" x14ac:dyDescent="0.15">
      <c r="A1353" s="1">
        <v>11352</v>
      </c>
      <c r="B1353" s="2">
        <v>45913</v>
      </c>
      <c r="C1353" s="1" t="s">
        <v>10</v>
      </c>
      <c r="D1353" s="1" t="s">
        <v>15</v>
      </c>
      <c r="E1353" s="1" t="s">
        <v>18</v>
      </c>
      <c r="F1353" s="1" t="s">
        <v>21</v>
      </c>
      <c r="G1353" s="4">
        <v>99.73</v>
      </c>
      <c r="H1353" s="1">
        <v>8</v>
      </c>
      <c r="I1353" s="1" t="str">
        <f>TEXT(SalesTable[[#This Row],[Order_Date]],"mmm")</f>
        <v>Sep</v>
      </c>
      <c r="J1353" s="1">
        <f>YEAR(SalesTable[[#This Row],[Order_Date]])</f>
        <v>2025</v>
      </c>
      <c r="K1353" s="4">
        <v>45.68</v>
      </c>
      <c r="L1353" s="9">
        <f>SalesTable[[#This Row],[Profit]]/SalesTable[[#This Row],[Sales]]</f>
        <v>0.4580366990875363</v>
      </c>
    </row>
    <row r="1354" spans="1:12" ht="14" x14ac:dyDescent="0.15">
      <c r="A1354" s="1">
        <v>11353</v>
      </c>
      <c r="B1354" s="2">
        <v>45914</v>
      </c>
      <c r="C1354" s="1" t="s">
        <v>9</v>
      </c>
      <c r="D1354" s="1" t="s">
        <v>14</v>
      </c>
      <c r="E1354" s="1" t="s">
        <v>16</v>
      </c>
      <c r="F1354" s="1" t="s">
        <v>22</v>
      </c>
      <c r="G1354" s="4">
        <v>269.43</v>
      </c>
      <c r="H1354" s="1">
        <v>7</v>
      </c>
      <c r="I1354" s="1" t="str">
        <f>TEXT(SalesTable[[#This Row],[Order_Date]],"mmm")</f>
        <v>Sep</v>
      </c>
      <c r="J1354" s="1">
        <f>YEAR(SalesTable[[#This Row],[Order_Date]])</f>
        <v>2025</v>
      </c>
      <c r="K1354" s="4">
        <v>-16.03</v>
      </c>
      <c r="L1354" s="9">
        <f>SalesTable[[#This Row],[Profit]]/SalesTable[[#This Row],[Sales]]</f>
        <v>-5.9495972979994809E-2</v>
      </c>
    </row>
    <row r="1355" spans="1:12" ht="14" x14ac:dyDescent="0.15">
      <c r="A1355" s="1">
        <v>11354</v>
      </c>
      <c r="B1355" s="2">
        <v>45915</v>
      </c>
      <c r="C1355" s="1" t="s">
        <v>12</v>
      </c>
      <c r="D1355" s="1" t="s">
        <v>14</v>
      </c>
      <c r="E1355" s="1" t="s">
        <v>17</v>
      </c>
      <c r="F1355" s="1" t="s">
        <v>25</v>
      </c>
      <c r="G1355" s="4">
        <v>811.82</v>
      </c>
      <c r="H1355" s="1">
        <v>5</v>
      </c>
      <c r="I1355" s="1" t="str">
        <f>TEXT(SalesTable[[#This Row],[Order_Date]],"mmm")</f>
        <v>Sep</v>
      </c>
      <c r="J1355" s="1">
        <f>YEAR(SalesTable[[#This Row],[Order_Date]])</f>
        <v>2025</v>
      </c>
      <c r="K1355" s="4">
        <v>210.46</v>
      </c>
      <c r="L1355" s="9">
        <f>SalesTable[[#This Row],[Profit]]/SalesTable[[#This Row],[Sales]]</f>
        <v>0.25924466014633785</v>
      </c>
    </row>
    <row r="1356" spans="1:12" ht="14" x14ac:dyDescent="0.15">
      <c r="A1356" s="1">
        <v>11355</v>
      </c>
      <c r="B1356" s="2">
        <v>45916</v>
      </c>
      <c r="C1356" s="1" t="s">
        <v>12</v>
      </c>
      <c r="D1356" s="1" t="s">
        <v>15</v>
      </c>
      <c r="E1356" s="1" t="s">
        <v>18</v>
      </c>
      <c r="F1356" s="1" t="s">
        <v>22</v>
      </c>
      <c r="G1356" s="4">
        <v>858.91</v>
      </c>
      <c r="H1356" s="1">
        <v>3</v>
      </c>
      <c r="I1356" s="1" t="str">
        <f>TEXT(SalesTable[[#This Row],[Order_Date]],"mmm")</f>
        <v>Sep</v>
      </c>
      <c r="J1356" s="1">
        <f>YEAR(SalesTable[[#This Row],[Order_Date]])</f>
        <v>2025</v>
      </c>
      <c r="K1356" s="4">
        <v>94.56</v>
      </c>
      <c r="L1356" s="9">
        <f>SalesTable[[#This Row],[Profit]]/SalesTable[[#This Row],[Sales]]</f>
        <v>0.11009302488037163</v>
      </c>
    </row>
    <row r="1357" spans="1:12" ht="14" x14ac:dyDescent="0.15">
      <c r="A1357" s="1">
        <v>11356</v>
      </c>
      <c r="B1357" s="2">
        <v>45917</v>
      </c>
      <c r="C1357" s="1" t="s">
        <v>10</v>
      </c>
      <c r="D1357" s="1" t="s">
        <v>14</v>
      </c>
      <c r="E1357" s="1" t="s">
        <v>17</v>
      </c>
      <c r="F1357" s="1" t="s">
        <v>23</v>
      </c>
      <c r="G1357" s="4">
        <v>508.91</v>
      </c>
      <c r="H1357" s="1">
        <v>5</v>
      </c>
      <c r="I1357" s="1" t="str">
        <f>TEXT(SalesTable[[#This Row],[Order_Date]],"mmm")</f>
        <v>Sep</v>
      </c>
      <c r="J1357" s="1">
        <f>YEAR(SalesTable[[#This Row],[Order_Date]])</f>
        <v>2025</v>
      </c>
      <c r="K1357" s="4">
        <v>-10.1</v>
      </c>
      <c r="L1357" s="9">
        <f>SalesTable[[#This Row],[Profit]]/SalesTable[[#This Row],[Sales]]</f>
        <v>-1.9846338252343242E-2</v>
      </c>
    </row>
    <row r="1358" spans="1:12" ht="14" x14ac:dyDescent="0.15">
      <c r="A1358" s="1">
        <v>11357</v>
      </c>
      <c r="B1358" s="2">
        <v>45918</v>
      </c>
      <c r="C1358" s="1" t="s">
        <v>10</v>
      </c>
      <c r="D1358" s="1" t="s">
        <v>15</v>
      </c>
      <c r="E1358" s="1" t="s">
        <v>17</v>
      </c>
      <c r="F1358" s="1" t="s">
        <v>23</v>
      </c>
      <c r="G1358" s="4">
        <v>445.27</v>
      </c>
      <c r="H1358" s="1">
        <v>3</v>
      </c>
      <c r="I1358" s="1" t="str">
        <f>TEXT(SalesTable[[#This Row],[Order_Date]],"mmm")</f>
        <v>Sep</v>
      </c>
      <c r="J1358" s="1">
        <f>YEAR(SalesTable[[#This Row],[Order_Date]])</f>
        <v>2025</v>
      </c>
      <c r="K1358" s="4">
        <v>-21.93</v>
      </c>
      <c r="L1358" s="9">
        <f>SalesTable[[#This Row],[Profit]]/SalesTable[[#This Row],[Sales]]</f>
        <v>-4.9251016237339143E-2</v>
      </c>
    </row>
    <row r="1359" spans="1:12" ht="14" x14ac:dyDescent="0.15">
      <c r="A1359" s="1">
        <v>11358</v>
      </c>
      <c r="B1359" s="2">
        <v>45919</v>
      </c>
      <c r="C1359" s="1" t="s">
        <v>9</v>
      </c>
      <c r="D1359" s="1" t="s">
        <v>15</v>
      </c>
      <c r="E1359" s="1" t="s">
        <v>18</v>
      </c>
      <c r="F1359" s="1" t="s">
        <v>21</v>
      </c>
      <c r="G1359" s="4">
        <v>978.96</v>
      </c>
      <c r="H1359" s="1">
        <v>5</v>
      </c>
      <c r="I1359" s="1" t="str">
        <f>TEXT(SalesTable[[#This Row],[Order_Date]],"mmm")</f>
        <v>Sep</v>
      </c>
      <c r="J1359" s="1">
        <f>YEAR(SalesTable[[#This Row],[Order_Date]])</f>
        <v>2025</v>
      </c>
      <c r="K1359" s="4">
        <v>-33.840000000000003</v>
      </c>
      <c r="L1359" s="9">
        <f>SalesTable[[#This Row],[Profit]]/SalesTable[[#This Row],[Sales]]</f>
        <v>-3.4567295905859281E-2</v>
      </c>
    </row>
    <row r="1360" spans="1:12" ht="14" x14ac:dyDescent="0.15">
      <c r="A1360" s="1">
        <v>11359</v>
      </c>
      <c r="B1360" s="2">
        <v>45920</v>
      </c>
      <c r="C1360" s="1" t="s">
        <v>10</v>
      </c>
      <c r="D1360" s="1" t="s">
        <v>13</v>
      </c>
      <c r="E1360" s="1" t="s">
        <v>18</v>
      </c>
      <c r="F1360" s="1" t="s">
        <v>25</v>
      </c>
      <c r="G1360" s="4">
        <v>240.54</v>
      </c>
      <c r="H1360" s="1">
        <v>1</v>
      </c>
      <c r="I1360" s="1" t="str">
        <f>TEXT(SalesTable[[#This Row],[Order_Date]],"mmm")</f>
        <v>Sep</v>
      </c>
      <c r="J1360" s="1">
        <f>YEAR(SalesTable[[#This Row],[Order_Date]])</f>
        <v>2025</v>
      </c>
      <c r="K1360" s="4">
        <v>210.86</v>
      </c>
      <c r="L1360" s="9">
        <f>SalesTable[[#This Row],[Profit]]/SalesTable[[#This Row],[Sales]]</f>
        <v>0.87661095867631167</v>
      </c>
    </row>
    <row r="1361" spans="1:12" ht="14" x14ac:dyDescent="0.15">
      <c r="A1361" s="1">
        <v>11360</v>
      </c>
      <c r="B1361" s="2">
        <v>45921</v>
      </c>
      <c r="C1361" s="1" t="s">
        <v>9</v>
      </c>
      <c r="D1361" s="1" t="s">
        <v>13</v>
      </c>
      <c r="E1361" s="1" t="s">
        <v>19</v>
      </c>
      <c r="F1361" s="1" t="s">
        <v>24</v>
      </c>
      <c r="G1361" s="4">
        <v>254.59</v>
      </c>
      <c r="H1361" s="1">
        <v>6</v>
      </c>
      <c r="I1361" s="1" t="str">
        <f>TEXT(SalesTable[[#This Row],[Order_Date]],"mmm")</f>
        <v>Sep</v>
      </c>
      <c r="J1361" s="1">
        <f>YEAR(SalesTable[[#This Row],[Order_Date]])</f>
        <v>2025</v>
      </c>
      <c r="K1361" s="4">
        <v>-8.41</v>
      </c>
      <c r="L1361" s="9">
        <f>SalesTable[[#This Row],[Profit]]/SalesTable[[#This Row],[Sales]]</f>
        <v>-3.3033504850936798E-2</v>
      </c>
    </row>
    <row r="1362" spans="1:12" ht="14" x14ac:dyDescent="0.15">
      <c r="A1362" s="1">
        <v>11361</v>
      </c>
      <c r="B1362" s="2">
        <v>45922</v>
      </c>
      <c r="C1362" s="1" t="s">
        <v>12</v>
      </c>
      <c r="D1362" s="1" t="s">
        <v>13</v>
      </c>
      <c r="E1362" s="1" t="s">
        <v>17</v>
      </c>
      <c r="F1362" s="1" t="s">
        <v>25</v>
      </c>
      <c r="G1362" s="4">
        <v>327.27</v>
      </c>
      <c r="H1362" s="1">
        <v>4</v>
      </c>
      <c r="I1362" s="1" t="str">
        <f>TEXT(SalesTable[[#This Row],[Order_Date]],"mmm")</f>
        <v>Sep</v>
      </c>
      <c r="J1362" s="1">
        <f>YEAR(SalesTable[[#This Row],[Order_Date]])</f>
        <v>2025</v>
      </c>
      <c r="K1362" s="4">
        <v>110.66</v>
      </c>
      <c r="L1362" s="9">
        <f>SalesTable[[#This Row],[Profit]]/SalesTable[[#This Row],[Sales]]</f>
        <v>0.33813059553274055</v>
      </c>
    </row>
    <row r="1363" spans="1:12" ht="14" x14ac:dyDescent="0.15">
      <c r="A1363" s="1">
        <v>11362</v>
      </c>
      <c r="B1363" s="2">
        <v>45923</v>
      </c>
      <c r="C1363" s="1" t="s">
        <v>12</v>
      </c>
      <c r="D1363" s="1" t="s">
        <v>13</v>
      </c>
      <c r="E1363" s="1" t="s">
        <v>20</v>
      </c>
      <c r="F1363" s="1" t="s">
        <v>23</v>
      </c>
      <c r="G1363" s="4">
        <v>214.12</v>
      </c>
      <c r="H1363" s="1">
        <v>4</v>
      </c>
      <c r="I1363" s="1" t="str">
        <f>TEXT(SalesTable[[#This Row],[Order_Date]],"mmm")</f>
        <v>Sep</v>
      </c>
      <c r="J1363" s="1">
        <f>YEAR(SalesTable[[#This Row],[Order_Date]])</f>
        <v>2025</v>
      </c>
      <c r="K1363" s="4">
        <v>80.62</v>
      </c>
      <c r="L1363" s="9">
        <f>SalesTable[[#This Row],[Profit]]/SalesTable[[#This Row],[Sales]]</f>
        <v>0.37651784046329162</v>
      </c>
    </row>
    <row r="1364" spans="1:12" ht="14" x14ac:dyDescent="0.15">
      <c r="A1364" s="1">
        <v>11363</v>
      </c>
      <c r="B1364" s="2">
        <v>45924</v>
      </c>
      <c r="C1364" s="1" t="s">
        <v>11</v>
      </c>
      <c r="D1364" s="1" t="s">
        <v>14</v>
      </c>
      <c r="E1364" s="1" t="s">
        <v>17</v>
      </c>
      <c r="F1364" s="1" t="s">
        <v>24</v>
      </c>
      <c r="G1364" s="4">
        <v>410.4</v>
      </c>
      <c r="H1364" s="1">
        <v>8</v>
      </c>
      <c r="I1364" s="1" t="str">
        <f>TEXT(SalesTable[[#This Row],[Order_Date]],"mmm")</f>
        <v>Sep</v>
      </c>
      <c r="J1364" s="1">
        <f>YEAR(SalesTable[[#This Row],[Order_Date]])</f>
        <v>2025</v>
      </c>
      <c r="K1364" s="4">
        <v>131.84</v>
      </c>
      <c r="L1364" s="9">
        <f>SalesTable[[#This Row],[Profit]]/SalesTable[[#This Row],[Sales]]</f>
        <v>0.32124756335282656</v>
      </c>
    </row>
    <row r="1365" spans="1:12" ht="14" x14ac:dyDescent="0.15">
      <c r="A1365" s="1">
        <v>11364</v>
      </c>
      <c r="B1365" s="2">
        <v>45925</v>
      </c>
      <c r="C1365" s="1" t="s">
        <v>12</v>
      </c>
      <c r="D1365" s="1" t="s">
        <v>13</v>
      </c>
      <c r="E1365" s="1" t="s">
        <v>17</v>
      </c>
      <c r="F1365" s="1" t="s">
        <v>25</v>
      </c>
      <c r="G1365" s="4">
        <v>915.29</v>
      </c>
      <c r="H1365" s="1">
        <v>2</v>
      </c>
      <c r="I1365" s="1" t="str">
        <f>TEXT(SalesTable[[#This Row],[Order_Date]],"mmm")</f>
        <v>Sep</v>
      </c>
      <c r="J1365" s="1">
        <f>YEAR(SalesTable[[#This Row],[Order_Date]])</f>
        <v>2025</v>
      </c>
      <c r="K1365" s="4">
        <v>250.86</v>
      </c>
      <c r="L1365" s="9">
        <f>SalesTable[[#This Row],[Profit]]/SalesTable[[#This Row],[Sales]]</f>
        <v>0.27407706847010238</v>
      </c>
    </row>
    <row r="1366" spans="1:12" ht="14" x14ac:dyDescent="0.15">
      <c r="A1366" s="1">
        <v>11365</v>
      </c>
      <c r="B1366" s="2">
        <v>45926</v>
      </c>
      <c r="C1366" s="1" t="s">
        <v>10</v>
      </c>
      <c r="D1366" s="1" t="s">
        <v>15</v>
      </c>
      <c r="E1366" s="1" t="s">
        <v>18</v>
      </c>
      <c r="F1366" s="1" t="s">
        <v>25</v>
      </c>
      <c r="G1366" s="4">
        <v>634.58000000000004</v>
      </c>
      <c r="H1366" s="1">
        <v>4</v>
      </c>
      <c r="I1366" s="1" t="str">
        <f>TEXT(SalesTable[[#This Row],[Order_Date]],"mmm")</f>
        <v>Sep</v>
      </c>
      <c r="J1366" s="1">
        <f>YEAR(SalesTable[[#This Row],[Order_Date]])</f>
        <v>2025</v>
      </c>
      <c r="K1366" s="4">
        <v>247.1</v>
      </c>
      <c r="L1366" s="9">
        <f>SalesTable[[#This Row],[Profit]]/SalesTable[[#This Row],[Sales]]</f>
        <v>0.38939140849065518</v>
      </c>
    </row>
    <row r="1367" spans="1:12" ht="14" x14ac:dyDescent="0.15">
      <c r="A1367" s="1">
        <v>11366</v>
      </c>
      <c r="B1367" s="2">
        <v>45927</v>
      </c>
      <c r="C1367" s="1" t="s">
        <v>12</v>
      </c>
      <c r="D1367" s="1" t="s">
        <v>14</v>
      </c>
      <c r="E1367" s="1" t="s">
        <v>17</v>
      </c>
      <c r="F1367" s="1" t="s">
        <v>24</v>
      </c>
      <c r="G1367" s="4">
        <v>441.35</v>
      </c>
      <c r="H1367" s="1">
        <v>2</v>
      </c>
      <c r="I1367" s="1" t="str">
        <f>TEXT(SalesTable[[#This Row],[Order_Date]],"mmm")</f>
        <v>Sep</v>
      </c>
      <c r="J1367" s="1">
        <f>YEAR(SalesTable[[#This Row],[Order_Date]])</f>
        <v>2025</v>
      </c>
      <c r="K1367" s="4">
        <v>80.430000000000007</v>
      </c>
      <c r="L1367" s="9">
        <f>SalesTable[[#This Row],[Profit]]/SalesTable[[#This Row],[Sales]]</f>
        <v>0.1822363203806503</v>
      </c>
    </row>
    <row r="1368" spans="1:12" ht="14" x14ac:dyDescent="0.15">
      <c r="A1368" s="1">
        <v>11367</v>
      </c>
      <c r="B1368" s="2">
        <v>45928</v>
      </c>
      <c r="C1368" s="1" t="s">
        <v>9</v>
      </c>
      <c r="D1368" s="1" t="s">
        <v>13</v>
      </c>
      <c r="E1368" s="1" t="s">
        <v>17</v>
      </c>
      <c r="F1368" s="1" t="s">
        <v>23</v>
      </c>
      <c r="G1368" s="4">
        <v>937.69</v>
      </c>
      <c r="H1368" s="1">
        <v>1</v>
      </c>
      <c r="I1368" s="1" t="str">
        <f>TEXT(SalesTable[[#This Row],[Order_Date]],"mmm")</f>
        <v>Sep</v>
      </c>
      <c r="J1368" s="1">
        <f>YEAR(SalesTable[[#This Row],[Order_Date]])</f>
        <v>2025</v>
      </c>
      <c r="K1368" s="4">
        <v>-93.85</v>
      </c>
      <c r="L1368" s="9">
        <f>SalesTable[[#This Row],[Profit]]/SalesTable[[#This Row],[Sales]]</f>
        <v>-0.10008638249314804</v>
      </c>
    </row>
    <row r="1369" spans="1:12" ht="14" x14ac:dyDescent="0.15">
      <c r="A1369" s="1">
        <v>11368</v>
      </c>
      <c r="B1369" s="2">
        <v>45929</v>
      </c>
      <c r="C1369" s="1" t="s">
        <v>12</v>
      </c>
      <c r="D1369" s="1" t="s">
        <v>15</v>
      </c>
      <c r="E1369" s="1" t="s">
        <v>20</v>
      </c>
      <c r="F1369" s="1" t="s">
        <v>25</v>
      </c>
      <c r="G1369" s="4">
        <v>96.04</v>
      </c>
      <c r="H1369" s="1">
        <v>3</v>
      </c>
      <c r="I1369" s="1" t="str">
        <f>TEXT(SalesTable[[#This Row],[Order_Date]],"mmm")</f>
        <v>Sep</v>
      </c>
      <c r="J1369" s="1">
        <f>YEAR(SalesTable[[#This Row],[Order_Date]])</f>
        <v>2025</v>
      </c>
      <c r="K1369" s="4">
        <v>70.58</v>
      </c>
      <c r="L1369" s="9">
        <f>SalesTable[[#This Row],[Profit]]/SalesTable[[#This Row],[Sales]]</f>
        <v>0.73490212411495204</v>
      </c>
    </row>
    <row r="1370" spans="1:12" ht="14" x14ac:dyDescent="0.15">
      <c r="A1370" s="1">
        <v>11369</v>
      </c>
      <c r="B1370" s="2">
        <v>45930</v>
      </c>
      <c r="C1370" s="1" t="s">
        <v>11</v>
      </c>
      <c r="D1370" s="1" t="s">
        <v>14</v>
      </c>
      <c r="E1370" s="1" t="s">
        <v>18</v>
      </c>
      <c r="F1370" s="1" t="s">
        <v>24</v>
      </c>
      <c r="G1370" s="4">
        <v>249.76</v>
      </c>
      <c r="H1370" s="1">
        <v>8</v>
      </c>
      <c r="I1370" s="1" t="str">
        <f>TEXT(SalesTable[[#This Row],[Order_Date]],"mmm")</f>
        <v>Sep</v>
      </c>
      <c r="J1370" s="1">
        <f>YEAR(SalesTable[[#This Row],[Order_Date]])</f>
        <v>2025</v>
      </c>
      <c r="K1370" s="4">
        <v>142.47999999999999</v>
      </c>
      <c r="L1370" s="9">
        <f>SalesTable[[#This Row],[Profit]]/SalesTable[[#This Row],[Sales]]</f>
        <v>0.57046764894298529</v>
      </c>
    </row>
    <row r="1371" spans="1:12" ht="14" x14ac:dyDescent="0.15">
      <c r="A1371" s="1">
        <v>11370</v>
      </c>
      <c r="B1371" s="2">
        <v>45931</v>
      </c>
      <c r="C1371" s="1" t="s">
        <v>12</v>
      </c>
      <c r="D1371" s="1" t="s">
        <v>14</v>
      </c>
      <c r="E1371" s="1" t="s">
        <v>17</v>
      </c>
      <c r="F1371" s="1" t="s">
        <v>23</v>
      </c>
      <c r="G1371" s="4">
        <v>587.59</v>
      </c>
      <c r="H1371" s="1">
        <v>6</v>
      </c>
      <c r="I1371" s="1" t="str">
        <f>TEXT(SalesTable[[#This Row],[Order_Date]],"mmm")</f>
        <v>Oct</v>
      </c>
      <c r="J1371" s="1">
        <f>YEAR(SalesTable[[#This Row],[Order_Date]])</f>
        <v>2025</v>
      </c>
      <c r="K1371" s="4">
        <v>123.11</v>
      </c>
      <c r="L1371" s="9">
        <f>SalesTable[[#This Row],[Profit]]/SalesTable[[#This Row],[Sales]]</f>
        <v>0.20951683997345086</v>
      </c>
    </row>
    <row r="1372" spans="1:12" ht="14" x14ac:dyDescent="0.15">
      <c r="A1372" s="1">
        <v>11371</v>
      </c>
      <c r="B1372" s="2">
        <v>45932</v>
      </c>
      <c r="C1372" s="1" t="s">
        <v>9</v>
      </c>
      <c r="D1372" s="1" t="s">
        <v>13</v>
      </c>
      <c r="E1372" s="1" t="s">
        <v>16</v>
      </c>
      <c r="F1372" s="1" t="s">
        <v>24</v>
      </c>
      <c r="G1372" s="4">
        <v>634.77</v>
      </c>
      <c r="H1372" s="1">
        <v>7</v>
      </c>
      <c r="I1372" s="1" t="str">
        <f>TEXT(SalesTable[[#This Row],[Order_Date]],"mmm")</f>
        <v>Oct</v>
      </c>
      <c r="J1372" s="1">
        <f>YEAR(SalesTable[[#This Row],[Order_Date]])</f>
        <v>2025</v>
      </c>
      <c r="K1372" s="4">
        <v>160.53</v>
      </c>
      <c r="L1372" s="9">
        <f>SalesTable[[#This Row],[Profit]]/SalesTable[[#This Row],[Sales]]</f>
        <v>0.25289474927926653</v>
      </c>
    </row>
    <row r="1373" spans="1:12" ht="14" x14ac:dyDescent="0.15">
      <c r="A1373" s="1">
        <v>11372</v>
      </c>
      <c r="B1373" s="2">
        <v>45933</v>
      </c>
      <c r="C1373" s="1" t="s">
        <v>9</v>
      </c>
      <c r="D1373" s="1" t="s">
        <v>14</v>
      </c>
      <c r="E1373" s="1" t="s">
        <v>19</v>
      </c>
      <c r="F1373" s="1" t="s">
        <v>24</v>
      </c>
      <c r="G1373" s="4">
        <v>87.58</v>
      </c>
      <c r="H1373" s="1">
        <v>2</v>
      </c>
      <c r="I1373" s="1" t="str">
        <f>TEXT(SalesTable[[#This Row],[Order_Date]],"mmm")</f>
        <v>Oct</v>
      </c>
      <c r="J1373" s="1">
        <f>YEAR(SalesTable[[#This Row],[Order_Date]])</f>
        <v>2025</v>
      </c>
      <c r="K1373" s="4">
        <v>-38.369999999999997</v>
      </c>
      <c r="L1373" s="9">
        <f>SalesTable[[#This Row],[Profit]]/SalesTable[[#This Row],[Sales]]</f>
        <v>-0.43811372459465631</v>
      </c>
    </row>
    <row r="1374" spans="1:12" ht="14" x14ac:dyDescent="0.15">
      <c r="A1374" s="1">
        <v>11373</v>
      </c>
      <c r="B1374" s="2">
        <v>45934</v>
      </c>
      <c r="C1374" s="1" t="s">
        <v>10</v>
      </c>
      <c r="D1374" s="1" t="s">
        <v>15</v>
      </c>
      <c r="E1374" s="1" t="s">
        <v>20</v>
      </c>
      <c r="F1374" s="1" t="s">
        <v>25</v>
      </c>
      <c r="G1374" s="4">
        <v>432.89</v>
      </c>
      <c r="H1374" s="1">
        <v>6</v>
      </c>
      <c r="I1374" s="1" t="str">
        <f>TEXT(SalesTable[[#This Row],[Order_Date]],"mmm")</f>
        <v>Oct</v>
      </c>
      <c r="J1374" s="1">
        <f>YEAR(SalesTable[[#This Row],[Order_Date]])</f>
        <v>2025</v>
      </c>
      <c r="K1374" s="4">
        <v>158.61000000000001</v>
      </c>
      <c r="L1374" s="9">
        <f>SalesTable[[#This Row],[Profit]]/SalesTable[[#This Row],[Sales]]</f>
        <v>0.36639793019011763</v>
      </c>
    </row>
    <row r="1375" spans="1:12" ht="14" x14ac:dyDescent="0.15">
      <c r="A1375" s="1">
        <v>11374</v>
      </c>
      <c r="B1375" s="2">
        <v>45935</v>
      </c>
      <c r="C1375" s="1" t="s">
        <v>12</v>
      </c>
      <c r="D1375" s="1" t="s">
        <v>14</v>
      </c>
      <c r="E1375" s="1" t="s">
        <v>17</v>
      </c>
      <c r="F1375" s="1" t="s">
        <v>23</v>
      </c>
      <c r="G1375" s="4">
        <v>666.7</v>
      </c>
      <c r="H1375" s="1">
        <v>8</v>
      </c>
      <c r="I1375" s="1" t="str">
        <f>TEXT(SalesTable[[#This Row],[Order_Date]],"mmm")</f>
        <v>Oct</v>
      </c>
      <c r="J1375" s="1">
        <f>YEAR(SalesTable[[#This Row],[Order_Date]])</f>
        <v>2025</v>
      </c>
      <c r="K1375" s="4">
        <v>-26.94</v>
      </c>
      <c r="L1375" s="9">
        <f>SalesTable[[#This Row],[Profit]]/SalesTable[[#This Row],[Sales]]</f>
        <v>-4.0407979601019946E-2</v>
      </c>
    </row>
    <row r="1376" spans="1:12" ht="14" x14ac:dyDescent="0.15">
      <c r="A1376" s="1">
        <v>11375</v>
      </c>
      <c r="B1376" s="2">
        <v>45936</v>
      </c>
      <c r="C1376" s="1" t="s">
        <v>9</v>
      </c>
      <c r="D1376" s="1" t="s">
        <v>15</v>
      </c>
      <c r="E1376" s="1" t="s">
        <v>16</v>
      </c>
      <c r="F1376" s="1" t="s">
        <v>25</v>
      </c>
      <c r="G1376" s="4">
        <v>713.17</v>
      </c>
      <c r="H1376" s="1">
        <v>8</v>
      </c>
      <c r="I1376" s="1" t="str">
        <f>TEXT(SalesTable[[#This Row],[Order_Date]],"mmm")</f>
        <v>Oct</v>
      </c>
      <c r="J1376" s="1">
        <f>YEAR(SalesTable[[#This Row],[Order_Date]])</f>
        <v>2025</v>
      </c>
      <c r="K1376" s="4">
        <v>200.21</v>
      </c>
      <c r="L1376" s="9">
        <f>SalesTable[[#This Row],[Profit]]/SalesTable[[#This Row],[Sales]]</f>
        <v>0.28073250417151596</v>
      </c>
    </row>
    <row r="1377" spans="1:12" ht="14" x14ac:dyDescent="0.15">
      <c r="A1377" s="1">
        <v>11376</v>
      </c>
      <c r="B1377" s="2">
        <v>45937</v>
      </c>
      <c r="C1377" s="1" t="s">
        <v>11</v>
      </c>
      <c r="D1377" s="1" t="s">
        <v>14</v>
      </c>
      <c r="E1377" s="1" t="s">
        <v>17</v>
      </c>
      <c r="F1377" s="1" t="s">
        <v>22</v>
      </c>
      <c r="G1377" s="4">
        <v>656.23</v>
      </c>
      <c r="H1377" s="1">
        <v>4</v>
      </c>
      <c r="I1377" s="1" t="str">
        <f>TEXT(SalesTable[[#This Row],[Order_Date]],"mmm")</f>
        <v>Oct</v>
      </c>
      <c r="J1377" s="1">
        <f>YEAR(SalesTable[[#This Row],[Order_Date]])</f>
        <v>2025</v>
      </c>
      <c r="K1377" s="4">
        <v>35.64</v>
      </c>
      <c r="L1377" s="9">
        <f>SalesTable[[#This Row],[Profit]]/SalesTable[[#This Row],[Sales]]</f>
        <v>5.4310226597382015E-2</v>
      </c>
    </row>
    <row r="1378" spans="1:12" ht="14" x14ac:dyDescent="0.15">
      <c r="A1378" s="1">
        <v>11377</v>
      </c>
      <c r="B1378" s="2">
        <v>45938</v>
      </c>
      <c r="C1378" s="1" t="s">
        <v>10</v>
      </c>
      <c r="D1378" s="1" t="s">
        <v>13</v>
      </c>
      <c r="E1378" s="1" t="s">
        <v>17</v>
      </c>
      <c r="F1378" s="1" t="s">
        <v>22</v>
      </c>
      <c r="G1378" s="4">
        <v>354.54</v>
      </c>
      <c r="H1378" s="1">
        <v>6</v>
      </c>
      <c r="I1378" s="1" t="str">
        <f>TEXT(SalesTable[[#This Row],[Order_Date]],"mmm")</f>
        <v>Oct</v>
      </c>
      <c r="J1378" s="1">
        <f>YEAR(SalesTable[[#This Row],[Order_Date]])</f>
        <v>2025</v>
      </c>
      <c r="K1378" s="4">
        <v>183.96</v>
      </c>
      <c r="L1378" s="9">
        <f>SalesTable[[#This Row],[Profit]]/SalesTable[[#This Row],[Sales]]</f>
        <v>0.51886952106955486</v>
      </c>
    </row>
    <row r="1379" spans="1:12" ht="14" x14ac:dyDescent="0.15">
      <c r="A1379" s="1">
        <v>11378</v>
      </c>
      <c r="B1379" s="2">
        <v>45939</v>
      </c>
      <c r="C1379" s="1" t="s">
        <v>11</v>
      </c>
      <c r="D1379" s="1" t="s">
        <v>15</v>
      </c>
      <c r="E1379" s="1" t="s">
        <v>18</v>
      </c>
      <c r="F1379" s="1" t="s">
        <v>23</v>
      </c>
      <c r="G1379" s="4">
        <v>138.84</v>
      </c>
      <c r="H1379" s="1">
        <v>5</v>
      </c>
      <c r="I1379" s="1" t="str">
        <f>TEXT(SalesTable[[#This Row],[Order_Date]],"mmm")</f>
        <v>Oct</v>
      </c>
      <c r="J1379" s="1">
        <f>YEAR(SalesTable[[#This Row],[Order_Date]])</f>
        <v>2025</v>
      </c>
      <c r="K1379" s="4">
        <v>-80.849999999999994</v>
      </c>
      <c r="L1379" s="9">
        <f>SalesTable[[#This Row],[Profit]]/SalesTable[[#This Row],[Sales]]</f>
        <v>-0.58232497839239405</v>
      </c>
    </row>
    <row r="1380" spans="1:12" ht="14" x14ac:dyDescent="0.15">
      <c r="A1380" s="1">
        <v>11379</v>
      </c>
      <c r="B1380" s="2">
        <v>45940</v>
      </c>
      <c r="C1380" s="1" t="s">
        <v>12</v>
      </c>
      <c r="D1380" s="1" t="s">
        <v>14</v>
      </c>
      <c r="E1380" s="1" t="s">
        <v>18</v>
      </c>
      <c r="F1380" s="1" t="s">
        <v>24</v>
      </c>
      <c r="G1380" s="4">
        <v>455.76</v>
      </c>
      <c r="H1380" s="1">
        <v>9</v>
      </c>
      <c r="I1380" s="1" t="str">
        <f>TEXT(SalesTable[[#This Row],[Order_Date]],"mmm")</f>
        <v>Oct</v>
      </c>
      <c r="J1380" s="1">
        <f>YEAR(SalesTable[[#This Row],[Order_Date]])</f>
        <v>2025</v>
      </c>
      <c r="K1380" s="4">
        <v>63.14</v>
      </c>
      <c r="L1380" s="9">
        <f>SalesTable[[#This Row],[Profit]]/SalesTable[[#This Row],[Sales]]</f>
        <v>0.13853782692645253</v>
      </c>
    </row>
    <row r="1381" spans="1:12" ht="14" x14ac:dyDescent="0.15">
      <c r="A1381" s="1">
        <v>11380</v>
      </c>
      <c r="B1381" s="2">
        <v>45941</v>
      </c>
      <c r="C1381" s="1" t="s">
        <v>12</v>
      </c>
      <c r="D1381" s="1" t="s">
        <v>14</v>
      </c>
      <c r="E1381" s="1" t="s">
        <v>18</v>
      </c>
      <c r="F1381" s="1" t="s">
        <v>25</v>
      </c>
      <c r="G1381" s="4">
        <v>172.32</v>
      </c>
      <c r="H1381" s="1">
        <v>8</v>
      </c>
      <c r="I1381" s="1" t="str">
        <f>TEXT(SalesTable[[#This Row],[Order_Date]],"mmm")</f>
        <v>Oct</v>
      </c>
      <c r="J1381" s="1">
        <f>YEAR(SalesTable[[#This Row],[Order_Date]])</f>
        <v>2025</v>
      </c>
      <c r="K1381" s="4">
        <v>182.01</v>
      </c>
      <c r="L1381" s="9">
        <f>SalesTable[[#This Row],[Profit]]/SalesTable[[#This Row],[Sales]]</f>
        <v>1.056232590529248</v>
      </c>
    </row>
    <row r="1382" spans="1:12" ht="14" x14ac:dyDescent="0.15">
      <c r="A1382" s="1">
        <v>11381</v>
      </c>
      <c r="B1382" s="2">
        <v>45942</v>
      </c>
      <c r="C1382" s="1" t="s">
        <v>12</v>
      </c>
      <c r="D1382" s="1" t="s">
        <v>14</v>
      </c>
      <c r="E1382" s="1" t="s">
        <v>16</v>
      </c>
      <c r="F1382" s="1" t="s">
        <v>25</v>
      </c>
      <c r="G1382" s="4">
        <v>950.24</v>
      </c>
      <c r="H1382" s="1">
        <v>2</v>
      </c>
      <c r="I1382" s="1" t="str">
        <f>TEXT(SalesTable[[#This Row],[Order_Date]],"mmm")</f>
        <v>Oct</v>
      </c>
      <c r="J1382" s="1">
        <f>YEAR(SalesTable[[#This Row],[Order_Date]])</f>
        <v>2025</v>
      </c>
      <c r="K1382" s="4">
        <v>-9.25</v>
      </c>
      <c r="L1382" s="9">
        <f>SalesTable[[#This Row],[Profit]]/SalesTable[[#This Row],[Sales]]</f>
        <v>-9.7343828927428863E-3</v>
      </c>
    </row>
    <row r="1383" spans="1:12" ht="14" x14ac:dyDescent="0.15">
      <c r="A1383" s="1">
        <v>11382</v>
      </c>
      <c r="B1383" s="2">
        <v>45943</v>
      </c>
      <c r="C1383" s="1" t="s">
        <v>10</v>
      </c>
      <c r="D1383" s="1" t="s">
        <v>15</v>
      </c>
      <c r="E1383" s="1" t="s">
        <v>17</v>
      </c>
      <c r="F1383" s="1" t="s">
        <v>23</v>
      </c>
      <c r="G1383" s="4">
        <v>501.41</v>
      </c>
      <c r="H1383" s="1">
        <v>7</v>
      </c>
      <c r="I1383" s="1" t="str">
        <f>TEXT(SalesTable[[#This Row],[Order_Date]],"mmm")</f>
        <v>Oct</v>
      </c>
      <c r="J1383" s="1">
        <f>YEAR(SalesTable[[#This Row],[Order_Date]])</f>
        <v>2025</v>
      </c>
      <c r="K1383" s="4">
        <v>218.11</v>
      </c>
      <c r="L1383" s="9">
        <f>SalesTable[[#This Row],[Profit]]/SalesTable[[#This Row],[Sales]]</f>
        <v>0.43499331884086878</v>
      </c>
    </row>
    <row r="1384" spans="1:12" ht="14" x14ac:dyDescent="0.15">
      <c r="A1384" s="1">
        <v>11383</v>
      </c>
      <c r="B1384" s="2">
        <v>45944</v>
      </c>
      <c r="C1384" s="1" t="s">
        <v>9</v>
      </c>
      <c r="D1384" s="1" t="s">
        <v>15</v>
      </c>
      <c r="E1384" s="1" t="s">
        <v>19</v>
      </c>
      <c r="F1384" s="1" t="s">
        <v>23</v>
      </c>
      <c r="G1384" s="4">
        <v>351.4</v>
      </c>
      <c r="H1384" s="1">
        <v>7</v>
      </c>
      <c r="I1384" s="1" t="str">
        <f>TEXT(SalesTable[[#This Row],[Order_Date]],"mmm")</f>
        <v>Oct</v>
      </c>
      <c r="J1384" s="1">
        <f>YEAR(SalesTable[[#This Row],[Order_Date]])</f>
        <v>2025</v>
      </c>
      <c r="K1384" s="4">
        <v>152.31</v>
      </c>
      <c r="L1384" s="9">
        <f>SalesTable[[#This Row],[Profit]]/SalesTable[[#This Row],[Sales]]</f>
        <v>0.43343767785998866</v>
      </c>
    </row>
    <row r="1385" spans="1:12" ht="14" x14ac:dyDescent="0.15">
      <c r="A1385" s="1">
        <v>11384</v>
      </c>
      <c r="B1385" s="2">
        <v>45945</v>
      </c>
      <c r="C1385" s="1" t="s">
        <v>10</v>
      </c>
      <c r="D1385" s="1" t="s">
        <v>15</v>
      </c>
      <c r="E1385" s="1" t="s">
        <v>20</v>
      </c>
      <c r="F1385" s="1" t="s">
        <v>22</v>
      </c>
      <c r="G1385" s="4">
        <v>777.99</v>
      </c>
      <c r="H1385" s="1">
        <v>1</v>
      </c>
      <c r="I1385" s="1" t="str">
        <f>TEXT(SalesTable[[#This Row],[Order_Date]],"mmm")</f>
        <v>Oct</v>
      </c>
      <c r="J1385" s="1">
        <f>YEAR(SalesTable[[#This Row],[Order_Date]])</f>
        <v>2025</v>
      </c>
      <c r="K1385" s="4">
        <v>135.02000000000001</v>
      </c>
      <c r="L1385" s="9">
        <f>SalesTable[[#This Row],[Profit]]/SalesTable[[#This Row],[Sales]]</f>
        <v>0.17354978855769357</v>
      </c>
    </row>
    <row r="1386" spans="1:12" ht="14" x14ac:dyDescent="0.15">
      <c r="A1386" s="1">
        <v>11385</v>
      </c>
      <c r="B1386" s="2">
        <v>45946</v>
      </c>
      <c r="C1386" s="1" t="s">
        <v>11</v>
      </c>
      <c r="D1386" s="1" t="s">
        <v>13</v>
      </c>
      <c r="E1386" s="1" t="s">
        <v>18</v>
      </c>
      <c r="F1386" s="1" t="s">
        <v>21</v>
      </c>
      <c r="G1386" s="4">
        <v>523.04999999999995</v>
      </c>
      <c r="H1386" s="1">
        <v>1</v>
      </c>
      <c r="I1386" s="1" t="str">
        <f>TEXT(SalesTable[[#This Row],[Order_Date]],"mmm")</f>
        <v>Oct</v>
      </c>
      <c r="J1386" s="1">
        <f>YEAR(SalesTable[[#This Row],[Order_Date]])</f>
        <v>2025</v>
      </c>
      <c r="K1386" s="4">
        <v>41.42</v>
      </c>
      <c r="L1386" s="9">
        <f>SalesTable[[#This Row],[Profit]]/SalesTable[[#This Row],[Sales]]</f>
        <v>7.9189370041105073E-2</v>
      </c>
    </row>
    <row r="1387" spans="1:12" ht="14" x14ac:dyDescent="0.15">
      <c r="A1387" s="1">
        <v>11386</v>
      </c>
      <c r="B1387" s="2">
        <v>45947</v>
      </c>
      <c r="C1387" s="1" t="s">
        <v>10</v>
      </c>
      <c r="D1387" s="1" t="s">
        <v>13</v>
      </c>
      <c r="E1387" s="1" t="s">
        <v>18</v>
      </c>
      <c r="F1387" s="1" t="s">
        <v>23</v>
      </c>
      <c r="G1387" s="4">
        <v>344.53</v>
      </c>
      <c r="H1387" s="1">
        <v>4</v>
      </c>
      <c r="I1387" s="1" t="str">
        <f>TEXT(SalesTable[[#This Row],[Order_Date]],"mmm")</f>
        <v>Oct</v>
      </c>
      <c r="J1387" s="1">
        <f>YEAR(SalesTable[[#This Row],[Order_Date]])</f>
        <v>2025</v>
      </c>
      <c r="K1387" s="4">
        <v>92.98</v>
      </c>
      <c r="L1387" s="9">
        <f>SalesTable[[#This Row],[Profit]]/SalesTable[[#This Row],[Sales]]</f>
        <v>0.26987490204046094</v>
      </c>
    </row>
    <row r="1388" spans="1:12" ht="14" x14ac:dyDescent="0.15">
      <c r="A1388" s="1">
        <v>11387</v>
      </c>
      <c r="B1388" s="2">
        <v>45948</v>
      </c>
      <c r="C1388" s="1" t="s">
        <v>11</v>
      </c>
      <c r="D1388" s="1" t="s">
        <v>15</v>
      </c>
      <c r="E1388" s="1" t="s">
        <v>17</v>
      </c>
      <c r="F1388" s="1" t="s">
        <v>21</v>
      </c>
      <c r="G1388" s="4">
        <v>821.37</v>
      </c>
      <c r="H1388" s="1">
        <v>5</v>
      </c>
      <c r="I1388" s="1" t="str">
        <f>TEXT(SalesTable[[#This Row],[Order_Date]],"mmm")</f>
        <v>Oct</v>
      </c>
      <c r="J1388" s="1">
        <f>YEAR(SalesTable[[#This Row],[Order_Date]])</f>
        <v>2025</v>
      </c>
      <c r="K1388" s="4">
        <v>138.94</v>
      </c>
      <c r="L1388" s="9">
        <f>SalesTable[[#This Row],[Profit]]/SalesTable[[#This Row],[Sales]]</f>
        <v>0.16915640941354079</v>
      </c>
    </row>
    <row r="1389" spans="1:12" ht="14" x14ac:dyDescent="0.15">
      <c r="A1389" s="1">
        <v>11388</v>
      </c>
      <c r="B1389" s="2">
        <v>45949</v>
      </c>
      <c r="C1389" s="1" t="s">
        <v>10</v>
      </c>
      <c r="D1389" s="1" t="s">
        <v>14</v>
      </c>
      <c r="E1389" s="1" t="s">
        <v>17</v>
      </c>
      <c r="F1389" s="1" t="s">
        <v>23</v>
      </c>
      <c r="G1389" s="4">
        <v>873.79</v>
      </c>
      <c r="H1389" s="1">
        <v>4</v>
      </c>
      <c r="I1389" s="1" t="str">
        <f>TEXT(SalesTable[[#This Row],[Order_Date]],"mmm")</f>
        <v>Oct</v>
      </c>
      <c r="J1389" s="1">
        <f>YEAR(SalesTable[[#This Row],[Order_Date]])</f>
        <v>2025</v>
      </c>
      <c r="K1389" s="4">
        <v>88.98</v>
      </c>
      <c r="L1389" s="9">
        <f>SalesTable[[#This Row],[Profit]]/SalesTable[[#This Row],[Sales]]</f>
        <v>0.10183224802298035</v>
      </c>
    </row>
    <row r="1390" spans="1:12" ht="14" x14ac:dyDescent="0.15">
      <c r="A1390" s="1">
        <v>11389</v>
      </c>
      <c r="B1390" s="2">
        <v>45950</v>
      </c>
      <c r="C1390" s="1" t="s">
        <v>9</v>
      </c>
      <c r="D1390" s="1" t="s">
        <v>13</v>
      </c>
      <c r="E1390" s="1" t="s">
        <v>16</v>
      </c>
      <c r="F1390" s="1" t="s">
        <v>24</v>
      </c>
      <c r="G1390" s="4">
        <v>689.36</v>
      </c>
      <c r="H1390" s="1">
        <v>7</v>
      </c>
      <c r="I1390" s="1" t="str">
        <f>TEXT(SalesTable[[#This Row],[Order_Date]],"mmm")</f>
        <v>Oct</v>
      </c>
      <c r="J1390" s="1">
        <f>YEAR(SalesTable[[#This Row],[Order_Date]])</f>
        <v>2025</v>
      </c>
      <c r="K1390" s="4">
        <v>179.33</v>
      </c>
      <c r="L1390" s="9">
        <f>SalesTable[[#This Row],[Profit]]/SalesTable[[#This Row],[Sales]]</f>
        <v>0.26013983985145644</v>
      </c>
    </row>
    <row r="1391" spans="1:12" ht="14" x14ac:dyDescent="0.15">
      <c r="A1391" s="1">
        <v>11390</v>
      </c>
      <c r="B1391" s="2">
        <v>45951</v>
      </c>
      <c r="C1391" s="1" t="s">
        <v>11</v>
      </c>
      <c r="D1391" s="1" t="s">
        <v>15</v>
      </c>
      <c r="E1391" s="1" t="s">
        <v>16</v>
      </c>
      <c r="F1391" s="1" t="s">
        <v>24</v>
      </c>
      <c r="G1391" s="4">
        <v>94.62</v>
      </c>
      <c r="H1391" s="1">
        <v>3</v>
      </c>
      <c r="I1391" s="1" t="str">
        <f>TEXT(SalesTable[[#This Row],[Order_Date]],"mmm")</f>
        <v>Oct</v>
      </c>
      <c r="J1391" s="1">
        <f>YEAR(SalesTable[[#This Row],[Order_Date]])</f>
        <v>2025</v>
      </c>
      <c r="K1391" s="4">
        <v>73.48</v>
      </c>
      <c r="L1391" s="9">
        <f>SalesTable[[#This Row],[Profit]]/SalesTable[[#This Row],[Sales]]</f>
        <v>0.77658000422743612</v>
      </c>
    </row>
    <row r="1392" spans="1:12" ht="14" x14ac:dyDescent="0.15">
      <c r="A1392" s="1">
        <v>11391</v>
      </c>
      <c r="B1392" s="2">
        <v>45952</v>
      </c>
      <c r="C1392" s="1" t="s">
        <v>12</v>
      </c>
      <c r="D1392" s="1" t="s">
        <v>14</v>
      </c>
      <c r="E1392" s="1" t="s">
        <v>18</v>
      </c>
      <c r="F1392" s="1" t="s">
        <v>22</v>
      </c>
      <c r="G1392" s="4">
        <v>588.01</v>
      </c>
      <c r="H1392" s="1">
        <v>7</v>
      </c>
      <c r="I1392" s="1" t="str">
        <f>TEXT(SalesTable[[#This Row],[Order_Date]],"mmm")</f>
        <v>Oct</v>
      </c>
      <c r="J1392" s="1">
        <f>YEAR(SalesTable[[#This Row],[Order_Date]])</f>
        <v>2025</v>
      </c>
      <c r="K1392" s="4">
        <v>-19.09</v>
      </c>
      <c r="L1392" s="9">
        <f>SalesTable[[#This Row],[Profit]]/SalesTable[[#This Row],[Sales]]</f>
        <v>-3.2465434261322083E-2</v>
      </c>
    </row>
    <row r="1393" spans="1:12" ht="14" x14ac:dyDescent="0.15">
      <c r="A1393" s="1">
        <v>11392</v>
      </c>
      <c r="B1393" s="2">
        <v>45953</v>
      </c>
      <c r="C1393" s="1" t="s">
        <v>12</v>
      </c>
      <c r="D1393" s="1" t="s">
        <v>13</v>
      </c>
      <c r="E1393" s="1" t="s">
        <v>17</v>
      </c>
      <c r="F1393" s="1" t="s">
        <v>22</v>
      </c>
      <c r="G1393" s="4">
        <v>775.13</v>
      </c>
      <c r="H1393" s="1">
        <v>8</v>
      </c>
      <c r="I1393" s="1" t="str">
        <f>TEXT(SalesTable[[#This Row],[Order_Date]],"mmm")</f>
        <v>Oct</v>
      </c>
      <c r="J1393" s="1">
        <f>YEAR(SalesTable[[#This Row],[Order_Date]])</f>
        <v>2025</v>
      </c>
      <c r="K1393" s="4">
        <v>-14.43</v>
      </c>
      <c r="L1393" s="9">
        <f>SalesTable[[#This Row],[Profit]]/SalesTable[[#This Row],[Sales]]</f>
        <v>-1.8616232115903138E-2</v>
      </c>
    </row>
    <row r="1394" spans="1:12" ht="14" x14ac:dyDescent="0.15">
      <c r="A1394" s="1">
        <v>11393</v>
      </c>
      <c r="B1394" s="2">
        <v>45954</v>
      </c>
      <c r="C1394" s="1" t="s">
        <v>10</v>
      </c>
      <c r="D1394" s="1" t="s">
        <v>14</v>
      </c>
      <c r="E1394" s="1" t="s">
        <v>19</v>
      </c>
      <c r="F1394" s="1" t="s">
        <v>21</v>
      </c>
      <c r="G1394" s="4">
        <v>179.68</v>
      </c>
      <c r="H1394" s="1">
        <v>6</v>
      </c>
      <c r="I1394" s="1" t="str">
        <f>TEXT(SalesTable[[#This Row],[Order_Date]],"mmm")</f>
        <v>Oct</v>
      </c>
      <c r="J1394" s="1">
        <f>YEAR(SalesTable[[#This Row],[Order_Date]])</f>
        <v>2025</v>
      </c>
      <c r="K1394" s="4">
        <v>-97.68</v>
      </c>
      <c r="L1394" s="9">
        <f>SalesTable[[#This Row],[Profit]]/SalesTable[[#This Row],[Sales]]</f>
        <v>-0.54363312555654497</v>
      </c>
    </row>
    <row r="1395" spans="1:12" ht="14" x14ac:dyDescent="0.15">
      <c r="A1395" s="1">
        <v>11394</v>
      </c>
      <c r="B1395" s="2">
        <v>45955</v>
      </c>
      <c r="C1395" s="1" t="s">
        <v>12</v>
      </c>
      <c r="D1395" s="1" t="s">
        <v>14</v>
      </c>
      <c r="E1395" s="1" t="s">
        <v>20</v>
      </c>
      <c r="F1395" s="1" t="s">
        <v>23</v>
      </c>
      <c r="G1395" s="4">
        <v>267.24</v>
      </c>
      <c r="H1395" s="1">
        <v>6</v>
      </c>
      <c r="I1395" s="1" t="str">
        <f>TEXT(SalesTable[[#This Row],[Order_Date]],"mmm")</f>
        <v>Oct</v>
      </c>
      <c r="J1395" s="1">
        <f>YEAR(SalesTable[[#This Row],[Order_Date]])</f>
        <v>2025</v>
      </c>
      <c r="K1395" s="4">
        <v>20.38</v>
      </c>
      <c r="L1395" s="9">
        <f>SalesTable[[#This Row],[Profit]]/SalesTable[[#This Row],[Sales]]</f>
        <v>7.626103876665169E-2</v>
      </c>
    </row>
    <row r="1396" spans="1:12" ht="14" x14ac:dyDescent="0.15">
      <c r="A1396" s="1">
        <v>11395</v>
      </c>
      <c r="B1396" s="2">
        <v>45956</v>
      </c>
      <c r="C1396" s="1" t="s">
        <v>11</v>
      </c>
      <c r="D1396" s="1" t="s">
        <v>14</v>
      </c>
      <c r="E1396" s="1" t="s">
        <v>17</v>
      </c>
      <c r="F1396" s="1" t="s">
        <v>25</v>
      </c>
      <c r="G1396" s="4">
        <v>888.37</v>
      </c>
      <c r="H1396" s="1">
        <v>8</v>
      </c>
      <c r="I1396" s="1" t="str">
        <f>TEXT(SalesTable[[#This Row],[Order_Date]],"mmm")</f>
        <v>Oct</v>
      </c>
      <c r="J1396" s="1">
        <f>YEAR(SalesTable[[#This Row],[Order_Date]])</f>
        <v>2025</v>
      </c>
      <c r="K1396" s="4">
        <v>199.57</v>
      </c>
      <c r="L1396" s="9">
        <f>SalesTable[[#This Row],[Profit]]/SalesTable[[#This Row],[Sales]]</f>
        <v>0.22464738791269404</v>
      </c>
    </row>
    <row r="1397" spans="1:12" ht="14" x14ac:dyDescent="0.15">
      <c r="A1397" s="1">
        <v>11396</v>
      </c>
      <c r="B1397" s="2">
        <v>45957</v>
      </c>
      <c r="C1397" s="1" t="s">
        <v>12</v>
      </c>
      <c r="D1397" s="1" t="s">
        <v>14</v>
      </c>
      <c r="E1397" s="1" t="s">
        <v>17</v>
      </c>
      <c r="F1397" s="1" t="s">
        <v>22</v>
      </c>
      <c r="G1397" s="4">
        <v>69.12</v>
      </c>
      <c r="H1397" s="1">
        <v>8</v>
      </c>
      <c r="I1397" s="1" t="str">
        <f>TEXT(SalesTable[[#This Row],[Order_Date]],"mmm")</f>
        <v>Oct</v>
      </c>
      <c r="J1397" s="1">
        <f>YEAR(SalesTable[[#This Row],[Order_Date]])</f>
        <v>2025</v>
      </c>
      <c r="K1397" s="4">
        <v>217.67</v>
      </c>
      <c r="L1397" s="9">
        <f>SalesTable[[#This Row],[Profit]]/SalesTable[[#This Row],[Sales]]</f>
        <v>3.1491608796296293</v>
      </c>
    </row>
    <row r="1398" spans="1:12" ht="14" x14ac:dyDescent="0.15">
      <c r="A1398" s="1">
        <v>11397</v>
      </c>
      <c r="B1398" s="2">
        <v>45958</v>
      </c>
      <c r="C1398" s="1" t="s">
        <v>9</v>
      </c>
      <c r="D1398" s="1" t="s">
        <v>13</v>
      </c>
      <c r="E1398" s="1" t="s">
        <v>16</v>
      </c>
      <c r="F1398" s="1" t="s">
        <v>25</v>
      </c>
      <c r="G1398" s="4">
        <v>765.09</v>
      </c>
      <c r="H1398" s="1">
        <v>7</v>
      </c>
      <c r="I1398" s="1" t="str">
        <f>TEXT(SalesTable[[#This Row],[Order_Date]],"mmm")</f>
        <v>Oct</v>
      </c>
      <c r="J1398" s="1">
        <f>YEAR(SalesTable[[#This Row],[Order_Date]])</f>
        <v>2025</v>
      </c>
      <c r="K1398" s="4">
        <v>-19.010000000000002</v>
      </c>
      <c r="L1398" s="9">
        <f>SalesTable[[#This Row],[Profit]]/SalesTable[[#This Row],[Sales]]</f>
        <v>-2.4846750055549021E-2</v>
      </c>
    </row>
    <row r="1399" spans="1:12" ht="14" x14ac:dyDescent="0.15">
      <c r="A1399" s="1">
        <v>11398</v>
      </c>
      <c r="B1399" s="2">
        <v>45959</v>
      </c>
      <c r="C1399" s="1" t="s">
        <v>9</v>
      </c>
      <c r="D1399" s="1" t="s">
        <v>13</v>
      </c>
      <c r="E1399" s="1" t="s">
        <v>20</v>
      </c>
      <c r="F1399" s="1" t="s">
        <v>25</v>
      </c>
      <c r="G1399" s="4">
        <v>500.08</v>
      </c>
      <c r="H1399" s="1">
        <v>6</v>
      </c>
      <c r="I1399" s="1" t="str">
        <f>TEXT(SalesTable[[#This Row],[Order_Date]],"mmm")</f>
        <v>Oct</v>
      </c>
      <c r="J1399" s="1">
        <f>YEAR(SalesTable[[#This Row],[Order_Date]])</f>
        <v>2025</v>
      </c>
      <c r="K1399" s="4">
        <v>283.62</v>
      </c>
      <c r="L1399" s="9">
        <f>SalesTable[[#This Row],[Profit]]/SalesTable[[#This Row],[Sales]]</f>
        <v>0.56714925611902101</v>
      </c>
    </row>
    <row r="1400" spans="1:12" ht="14" x14ac:dyDescent="0.15">
      <c r="A1400" s="1">
        <v>11399</v>
      </c>
      <c r="B1400" s="2">
        <v>45960</v>
      </c>
      <c r="C1400" s="1" t="s">
        <v>10</v>
      </c>
      <c r="D1400" s="1" t="s">
        <v>13</v>
      </c>
      <c r="E1400" s="1" t="s">
        <v>18</v>
      </c>
      <c r="F1400" s="1" t="s">
        <v>23</v>
      </c>
      <c r="G1400" s="4">
        <v>474.43</v>
      </c>
      <c r="H1400" s="1">
        <v>6</v>
      </c>
      <c r="I1400" s="1" t="str">
        <f>TEXT(SalesTable[[#This Row],[Order_Date]],"mmm")</f>
        <v>Oct</v>
      </c>
      <c r="J1400" s="1">
        <f>YEAR(SalesTable[[#This Row],[Order_Date]])</f>
        <v>2025</v>
      </c>
      <c r="K1400" s="4">
        <v>100.96</v>
      </c>
      <c r="L1400" s="9">
        <f>SalesTable[[#This Row],[Profit]]/SalesTable[[#This Row],[Sales]]</f>
        <v>0.21280273169909153</v>
      </c>
    </row>
    <row r="1401" spans="1:12" ht="14" x14ac:dyDescent="0.15">
      <c r="A1401" s="1">
        <v>11400</v>
      </c>
      <c r="B1401" s="2">
        <v>45961</v>
      </c>
      <c r="C1401" s="1" t="s">
        <v>11</v>
      </c>
      <c r="D1401" s="1" t="s">
        <v>15</v>
      </c>
      <c r="E1401" s="1" t="s">
        <v>17</v>
      </c>
      <c r="F1401" s="1" t="s">
        <v>21</v>
      </c>
      <c r="G1401" s="4">
        <v>56.74</v>
      </c>
      <c r="H1401" s="1">
        <v>6</v>
      </c>
      <c r="I1401" s="1" t="str">
        <f>TEXT(SalesTable[[#This Row],[Order_Date]],"mmm")</f>
        <v>Oct</v>
      </c>
      <c r="J1401" s="1">
        <f>YEAR(SalesTable[[#This Row],[Order_Date]])</f>
        <v>2025</v>
      </c>
      <c r="K1401" s="4">
        <v>266.79000000000002</v>
      </c>
      <c r="L1401" s="9">
        <f>SalesTable[[#This Row],[Profit]]/SalesTable[[#This Row],[Sales]]</f>
        <v>4.7019739161085656</v>
      </c>
    </row>
    <row r="1402" spans="1:12" ht="14" x14ac:dyDescent="0.15">
      <c r="A1402" s="1">
        <v>11401</v>
      </c>
      <c r="B1402" s="2">
        <v>45962</v>
      </c>
      <c r="C1402" s="1" t="s">
        <v>9</v>
      </c>
      <c r="D1402" s="1" t="s">
        <v>13</v>
      </c>
      <c r="E1402" s="1" t="s">
        <v>18</v>
      </c>
      <c r="F1402" s="1" t="s">
        <v>23</v>
      </c>
      <c r="G1402" s="4">
        <v>828.43</v>
      </c>
      <c r="H1402" s="1">
        <v>8</v>
      </c>
      <c r="I1402" s="1" t="str">
        <f>TEXT(SalesTable[[#This Row],[Order_Date]],"mmm")</f>
        <v>Nov</v>
      </c>
      <c r="J1402" s="1">
        <f>YEAR(SalesTable[[#This Row],[Order_Date]])</f>
        <v>2025</v>
      </c>
      <c r="K1402" s="4">
        <v>182.71</v>
      </c>
      <c r="L1402" s="9">
        <f>SalesTable[[#This Row],[Profit]]/SalesTable[[#This Row],[Sales]]</f>
        <v>0.22054971452023711</v>
      </c>
    </row>
    <row r="1403" spans="1:12" ht="14" x14ac:dyDescent="0.15">
      <c r="A1403" s="1">
        <v>11402</v>
      </c>
      <c r="B1403" s="2">
        <v>45963</v>
      </c>
      <c r="C1403" s="1" t="s">
        <v>9</v>
      </c>
      <c r="D1403" s="1" t="s">
        <v>14</v>
      </c>
      <c r="E1403" s="1" t="s">
        <v>17</v>
      </c>
      <c r="F1403" s="1" t="s">
        <v>22</v>
      </c>
      <c r="G1403" s="4">
        <v>391.83</v>
      </c>
      <c r="H1403" s="1">
        <v>1</v>
      </c>
      <c r="I1403" s="1" t="str">
        <f>TEXT(SalesTable[[#This Row],[Order_Date]],"mmm")</f>
        <v>Nov</v>
      </c>
      <c r="J1403" s="1">
        <f>YEAR(SalesTable[[#This Row],[Order_Date]])</f>
        <v>2025</v>
      </c>
      <c r="K1403" s="4">
        <v>188.97</v>
      </c>
      <c r="L1403" s="9">
        <f>SalesTable[[#This Row],[Profit]]/SalesTable[[#This Row],[Sales]]</f>
        <v>0.48227547660975423</v>
      </c>
    </row>
    <row r="1404" spans="1:12" ht="14" x14ac:dyDescent="0.15">
      <c r="A1404" s="1">
        <v>11403</v>
      </c>
      <c r="B1404" s="2">
        <v>45964</v>
      </c>
      <c r="C1404" s="1" t="s">
        <v>11</v>
      </c>
      <c r="D1404" s="1" t="s">
        <v>13</v>
      </c>
      <c r="E1404" s="1" t="s">
        <v>18</v>
      </c>
      <c r="F1404" s="1" t="s">
        <v>25</v>
      </c>
      <c r="G1404" s="4">
        <v>563.73</v>
      </c>
      <c r="H1404" s="1">
        <v>5</v>
      </c>
      <c r="I1404" s="1" t="str">
        <f>TEXT(SalesTable[[#This Row],[Order_Date]],"mmm")</f>
        <v>Nov</v>
      </c>
      <c r="J1404" s="1">
        <f>YEAR(SalesTable[[#This Row],[Order_Date]])</f>
        <v>2025</v>
      </c>
      <c r="K1404" s="4">
        <v>-65.98</v>
      </c>
      <c r="L1404" s="9">
        <f>SalesTable[[#This Row],[Profit]]/SalesTable[[#This Row],[Sales]]</f>
        <v>-0.11704184627392547</v>
      </c>
    </row>
    <row r="1405" spans="1:12" ht="14" x14ac:dyDescent="0.15">
      <c r="A1405" s="1">
        <v>11404</v>
      </c>
      <c r="B1405" s="2">
        <v>45965</v>
      </c>
      <c r="C1405" s="1" t="s">
        <v>12</v>
      </c>
      <c r="D1405" s="1" t="s">
        <v>14</v>
      </c>
      <c r="E1405" s="1" t="s">
        <v>20</v>
      </c>
      <c r="F1405" s="1" t="s">
        <v>23</v>
      </c>
      <c r="G1405" s="4">
        <v>693.44</v>
      </c>
      <c r="H1405" s="1">
        <v>3</v>
      </c>
      <c r="I1405" s="1" t="str">
        <f>TEXT(SalesTable[[#This Row],[Order_Date]],"mmm")</f>
        <v>Nov</v>
      </c>
      <c r="J1405" s="1">
        <f>YEAR(SalesTable[[#This Row],[Order_Date]])</f>
        <v>2025</v>
      </c>
      <c r="K1405" s="4">
        <v>-12</v>
      </c>
      <c r="L1405" s="9">
        <f>SalesTable[[#This Row],[Profit]]/SalesTable[[#This Row],[Sales]]</f>
        <v>-1.7305029995385322E-2</v>
      </c>
    </row>
    <row r="1406" spans="1:12" ht="14" x14ac:dyDescent="0.15">
      <c r="A1406" s="1">
        <v>11405</v>
      </c>
      <c r="B1406" s="2">
        <v>45966</v>
      </c>
      <c r="C1406" s="1" t="s">
        <v>12</v>
      </c>
      <c r="D1406" s="1" t="s">
        <v>15</v>
      </c>
      <c r="E1406" s="1" t="s">
        <v>16</v>
      </c>
      <c r="F1406" s="1" t="s">
        <v>23</v>
      </c>
      <c r="G1406" s="4">
        <v>717.5</v>
      </c>
      <c r="H1406" s="1">
        <v>8</v>
      </c>
      <c r="I1406" s="1" t="str">
        <f>TEXT(SalesTable[[#This Row],[Order_Date]],"mmm")</f>
        <v>Nov</v>
      </c>
      <c r="J1406" s="1">
        <f>YEAR(SalesTable[[#This Row],[Order_Date]])</f>
        <v>2025</v>
      </c>
      <c r="K1406" s="4">
        <v>-96.47</v>
      </c>
      <c r="L1406" s="9">
        <f>SalesTable[[#This Row],[Profit]]/SalesTable[[#This Row],[Sales]]</f>
        <v>-0.13445296167247386</v>
      </c>
    </row>
    <row r="1407" spans="1:12" ht="14" x14ac:dyDescent="0.15">
      <c r="A1407" s="1">
        <v>11406</v>
      </c>
      <c r="B1407" s="2">
        <v>45967</v>
      </c>
      <c r="C1407" s="1" t="s">
        <v>10</v>
      </c>
      <c r="D1407" s="1" t="s">
        <v>14</v>
      </c>
      <c r="E1407" s="1" t="s">
        <v>20</v>
      </c>
      <c r="F1407" s="1" t="s">
        <v>23</v>
      </c>
      <c r="G1407" s="4">
        <v>958.18</v>
      </c>
      <c r="H1407" s="1">
        <v>6</v>
      </c>
      <c r="I1407" s="1" t="str">
        <f>TEXT(SalesTable[[#This Row],[Order_Date]],"mmm")</f>
        <v>Nov</v>
      </c>
      <c r="J1407" s="1">
        <f>YEAR(SalesTable[[#This Row],[Order_Date]])</f>
        <v>2025</v>
      </c>
      <c r="K1407" s="4">
        <v>186.45</v>
      </c>
      <c r="L1407" s="9">
        <f>SalesTable[[#This Row],[Profit]]/SalesTable[[#This Row],[Sales]]</f>
        <v>0.19458765576405268</v>
      </c>
    </row>
    <row r="1408" spans="1:12" ht="14" x14ac:dyDescent="0.15">
      <c r="A1408" s="1">
        <v>11407</v>
      </c>
      <c r="B1408" s="2">
        <v>45968</v>
      </c>
      <c r="C1408" s="1" t="s">
        <v>12</v>
      </c>
      <c r="D1408" s="1" t="s">
        <v>14</v>
      </c>
      <c r="E1408" s="1" t="s">
        <v>19</v>
      </c>
      <c r="F1408" s="1" t="s">
        <v>22</v>
      </c>
      <c r="G1408" s="4">
        <v>554.77</v>
      </c>
      <c r="H1408" s="1">
        <v>2</v>
      </c>
      <c r="I1408" s="1" t="str">
        <f>TEXT(SalesTable[[#This Row],[Order_Date]],"mmm")</f>
        <v>Nov</v>
      </c>
      <c r="J1408" s="1">
        <f>YEAR(SalesTable[[#This Row],[Order_Date]])</f>
        <v>2025</v>
      </c>
      <c r="K1408" s="4">
        <v>37.78</v>
      </c>
      <c r="L1408" s="9">
        <f>SalesTable[[#This Row],[Profit]]/SalesTable[[#This Row],[Sales]]</f>
        <v>6.8100293815455057E-2</v>
      </c>
    </row>
    <row r="1409" spans="1:12" ht="14" x14ac:dyDescent="0.15">
      <c r="A1409" s="1">
        <v>11408</v>
      </c>
      <c r="B1409" s="2">
        <v>45969</v>
      </c>
      <c r="C1409" s="1" t="s">
        <v>11</v>
      </c>
      <c r="D1409" s="1" t="s">
        <v>14</v>
      </c>
      <c r="E1409" s="1" t="s">
        <v>16</v>
      </c>
      <c r="F1409" s="1" t="s">
        <v>21</v>
      </c>
      <c r="G1409" s="4">
        <v>429.73</v>
      </c>
      <c r="H1409" s="1">
        <v>7</v>
      </c>
      <c r="I1409" s="1" t="str">
        <f>TEXT(SalesTable[[#This Row],[Order_Date]],"mmm")</f>
        <v>Nov</v>
      </c>
      <c r="J1409" s="1">
        <f>YEAR(SalesTable[[#This Row],[Order_Date]])</f>
        <v>2025</v>
      </c>
      <c r="K1409" s="4">
        <v>214.66</v>
      </c>
      <c r="L1409" s="9">
        <f>SalesTable[[#This Row],[Profit]]/SalesTable[[#This Row],[Sales]]</f>
        <v>0.49952295627487026</v>
      </c>
    </row>
    <row r="1410" spans="1:12" ht="14" x14ac:dyDescent="0.15">
      <c r="A1410" s="1">
        <v>11409</v>
      </c>
      <c r="B1410" s="2">
        <v>45970</v>
      </c>
      <c r="C1410" s="1" t="s">
        <v>9</v>
      </c>
      <c r="D1410" s="1" t="s">
        <v>15</v>
      </c>
      <c r="E1410" s="1" t="s">
        <v>20</v>
      </c>
      <c r="F1410" s="1" t="s">
        <v>23</v>
      </c>
      <c r="G1410" s="4">
        <v>956.02</v>
      </c>
      <c r="H1410" s="1">
        <v>7</v>
      </c>
      <c r="I1410" s="1" t="str">
        <f>TEXT(SalesTable[[#This Row],[Order_Date]],"mmm")</f>
        <v>Nov</v>
      </c>
      <c r="J1410" s="1">
        <f>YEAR(SalesTable[[#This Row],[Order_Date]])</f>
        <v>2025</v>
      </c>
      <c r="K1410" s="4">
        <v>35.57</v>
      </c>
      <c r="L1410" s="9">
        <f>SalesTable[[#This Row],[Profit]]/SalesTable[[#This Row],[Sales]]</f>
        <v>3.7206334595510558E-2</v>
      </c>
    </row>
    <row r="1411" spans="1:12" ht="14" x14ac:dyDescent="0.15">
      <c r="A1411" s="1">
        <v>11410</v>
      </c>
      <c r="B1411" s="2">
        <v>45971</v>
      </c>
      <c r="C1411" s="1" t="s">
        <v>12</v>
      </c>
      <c r="D1411" s="1" t="s">
        <v>13</v>
      </c>
      <c r="E1411" s="1" t="s">
        <v>19</v>
      </c>
      <c r="F1411" s="1" t="s">
        <v>22</v>
      </c>
      <c r="G1411" s="4">
        <v>660</v>
      </c>
      <c r="H1411" s="1">
        <v>5</v>
      </c>
      <c r="I1411" s="1" t="str">
        <f>TEXT(SalesTable[[#This Row],[Order_Date]],"mmm")</f>
        <v>Nov</v>
      </c>
      <c r="J1411" s="1">
        <f>YEAR(SalesTable[[#This Row],[Order_Date]])</f>
        <v>2025</v>
      </c>
      <c r="K1411" s="4">
        <v>227.73</v>
      </c>
      <c r="L1411" s="9">
        <f>SalesTable[[#This Row],[Profit]]/SalesTable[[#This Row],[Sales]]</f>
        <v>0.34504545454545454</v>
      </c>
    </row>
    <row r="1412" spans="1:12" ht="14" x14ac:dyDescent="0.15">
      <c r="A1412" s="1">
        <v>11411</v>
      </c>
      <c r="B1412" s="2">
        <v>45972</v>
      </c>
      <c r="C1412" s="1" t="s">
        <v>10</v>
      </c>
      <c r="D1412" s="1" t="s">
        <v>13</v>
      </c>
      <c r="E1412" s="1" t="s">
        <v>17</v>
      </c>
      <c r="F1412" s="1" t="s">
        <v>25</v>
      </c>
      <c r="G1412" s="4">
        <v>333.24</v>
      </c>
      <c r="H1412" s="1">
        <v>8</v>
      </c>
      <c r="I1412" s="1" t="str">
        <f>TEXT(SalesTable[[#This Row],[Order_Date]],"mmm")</f>
        <v>Nov</v>
      </c>
      <c r="J1412" s="1">
        <f>YEAR(SalesTable[[#This Row],[Order_Date]])</f>
        <v>2025</v>
      </c>
      <c r="K1412" s="4">
        <v>-47.72</v>
      </c>
      <c r="L1412" s="9">
        <f>SalesTable[[#This Row],[Profit]]/SalesTable[[#This Row],[Sales]]</f>
        <v>-0.14320009602688752</v>
      </c>
    </row>
    <row r="1413" spans="1:12" ht="14" x14ac:dyDescent="0.15">
      <c r="A1413" s="1">
        <v>11412</v>
      </c>
      <c r="B1413" s="2">
        <v>45973</v>
      </c>
      <c r="C1413" s="1" t="s">
        <v>12</v>
      </c>
      <c r="D1413" s="1" t="s">
        <v>15</v>
      </c>
      <c r="E1413" s="1" t="s">
        <v>17</v>
      </c>
      <c r="F1413" s="1" t="s">
        <v>24</v>
      </c>
      <c r="G1413" s="4">
        <v>170.14</v>
      </c>
      <c r="H1413" s="1">
        <v>5</v>
      </c>
      <c r="I1413" s="1" t="str">
        <f>TEXT(SalesTable[[#This Row],[Order_Date]],"mmm")</f>
        <v>Nov</v>
      </c>
      <c r="J1413" s="1">
        <f>YEAR(SalesTable[[#This Row],[Order_Date]])</f>
        <v>2025</v>
      </c>
      <c r="K1413" s="4">
        <v>-30.65</v>
      </c>
      <c r="L1413" s="9">
        <f>SalesTable[[#This Row],[Profit]]/SalesTable[[#This Row],[Sales]]</f>
        <v>-0.18014576231338897</v>
      </c>
    </row>
    <row r="1414" spans="1:12" ht="14" x14ac:dyDescent="0.15">
      <c r="A1414" s="1">
        <v>11413</v>
      </c>
      <c r="B1414" s="2">
        <v>45974</v>
      </c>
      <c r="C1414" s="1" t="s">
        <v>11</v>
      </c>
      <c r="D1414" s="1" t="s">
        <v>14</v>
      </c>
      <c r="E1414" s="1" t="s">
        <v>18</v>
      </c>
      <c r="F1414" s="1" t="s">
        <v>22</v>
      </c>
      <c r="G1414" s="4">
        <v>850.43</v>
      </c>
      <c r="H1414" s="1">
        <v>1</v>
      </c>
      <c r="I1414" s="1" t="str">
        <f>TEXT(SalesTable[[#This Row],[Order_Date]],"mmm")</f>
        <v>Nov</v>
      </c>
      <c r="J1414" s="1">
        <f>YEAR(SalesTable[[#This Row],[Order_Date]])</f>
        <v>2025</v>
      </c>
      <c r="K1414" s="4">
        <v>36.35</v>
      </c>
      <c r="L1414" s="9">
        <f>SalesTable[[#This Row],[Profit]]/SalesTable[[#This Row],[Sales]]</f>
        <v>4.2743082910997973E-2</v>
      </c>
    </row>
    <row r="1415" spans="1:12" ht="14" x14ac:dyDescent="0.15">
      <c r="A1415" s="1">
        <v>11414</v>
      </c>
      <c r="B1415" s="2">
        <v>45975</v>
      </c>
      <c r="C1415" s="1" t="s">
        <v>10</v>
      </c>
      <c r="D1415" s="1" t="s">
        <v>13</v>
      </c>
      <c r="E1415" s="1" t="s">
        <v>16</v>
      </c>
      <c r="F1415" s="1" t="s">
        <v>24</v>
      </c>
      <c r="G1415" s="4">
        <v>394.07</v>
      </c>
      <c r="H1415" s="1">
        <v>9</v>
      </c>
      <c r="I1415" s="1" t="str">
        <f>TEXT(SalesTable[[#This Row],[Order_Date]],"mmm")</f>
        <v>Nov</v>
      </c>
      <c r="J1415" s="1">
        <f>YEAR(SalesTable[[#This Row],[Order_Date]])</f>
        <v>2025</v>
      </c>
      <c r="K1415" s="4">
        <v>63.39</v>
      </c>
      <c r="L1415" s="9">
        <f>SalesTable[[#This Row],[Profit]]/SalesTable[[#This Row],[Sales]]</f>
        <v>0.16085974573045397</v>
      </c>
    </row>
    <row r="1416" spans="1:12" ht="14" x14ac:dyDescent="0.15">
      <c r="A1416" s="1">
        <v>11415</v>
      </c>
      <c r="B1416" s="2">
        <v>45976</v>
      </c>
      <c r="C1416" s="1" t="s">
        <v>12</v>
      </c>
      <c r="D1416" s="1" t="s">
        <v>15</v>
      </c>
      <c r="E1416" s="1" t="s">
        <v>17</v>
      </c>
      <c r="F1416" s="1" t="s">
        <v>23</v>
      </c>
      <c r="G1416" s="4">
        <v>677.45</v>
      </c>
      <c r="H1416" s="1">
        <v>4</v>
      </c>
      <c r="I1416" s="1" t="str">
        <f>TEXT(SalesTable[[#This Row],[Order_Date]],"mmm")</f>
        <v>Nov</v>
      </c>
      <c r="J1416" s="1">
        <f>YEAR(SalesTable[[#This Row],[Order_Date]])</f>
        <v>2025</v>
      </c>
      <c r="K1416" s="4">
        <v>39.479999999999997</v>
      </c>
      <c r="L1416" s="9">
        <f>SalesTable[[#This Row],[Profit]]/SalesTable[[#This Row],[Sales]]</f>
        <v>5.8277363643073281E-2</v>
      </c>
    </row>
    <row r="1417" spans="1:12" ht="14" x14ac:dyDescent="0.15">
      <c r="A1417" s="1">
        <v>11416</v>
      </c>
      <c r="B1417" s="2">
        <v>45977</v>
      </c>
      <c r="C1417" s="1" t="s">
        <v>10</v>
      </c>
      <c r="D1417" s="1" t="s">
        <v>13</v>
      </c>
      <c r="E1417" s="1" t="s">
        <v>16</v>
      </c>
      <c r="F1417" s="1" t="s">
        <v>23</v>
      </c>
      <c r="G1417" s="4">
        <v>497.28</v>
      </c>
      <c r="H1417" s="1">
        <v>2</v>
      </c>
      <c r="I1417" s="1" t="str">
        <f>TEXT(SalesTable[[#This Row],[Order_Date]],"mmm")</f>
        <v>Nov</v>
      </c>
      <c r="J1417" s="1">
        <f>YEAR(SalesTable[[#This Row],[Order_Date]])</f>
        <v>2025</v>
      </c>
      <c r="K1417" s="4">
        <v>205.46</v>
      </c>
      <c r="L1417" s="9">
        <f>SalesTable[[#This Row],[Profit]]/SalesTable[[#This Row],[Sales]]</f>
        <v>0.41316763191763195</v>
      </c>
    </row>
    <row r="1418" spans="1:12" ht="14" x14ac:dyDescent="0.15">
      <c r="A1418" s="1">
        <v>11417</v>
      </c>
      <c r="B1418" s="2">
        <v>45978</v>
      </c>
      <c r="C1418" s="1" t="s">
        <v>11</v>
      </c>
      <c r="D1418" s="1" t="s">
        <v>15</v>
      </c>
      <c r="E1418" s="1" t="s">
        <v>17</v>
      </c>
      <c r="F1418" s="1" t="s">
        <v>22</v>
      </c>
      <c r="G1418" s="4">
        <v>238.98</v>
      </c>
      <c r="H1418" s="1">
        <v>4</v>
      </c>
      <c r="I1418" s="1" t="str">
        <f>TEXT(SalesTable[[#This Row],[Order_Date]],"mmm")</f>
        <v>Nov</v>
      </c>
      <c r="J1418" s="1">
        <f>YEAR(SalesTable[[#This Row],[Order_Date]])</f>
        <v>2025</v>
      </c>
      <c r="K1418" s="4">
        <v>-61.22</v>
      </c>
      <c r="L1418" s="9">
        <f>SalesTable[[#This Row],[Profit]]/SalesTable[[#This Row],[Sales]]</f>
        <v>-0.25617206460791697</v>
      </c>
    </row>
    <row r="1419" spans="1:12" ht="14" x14ac:dyDescent="0.15">
      <c r="A1419" s="1">
        <v>11418</v>
      </c>
      <c r="B1419" s="2">
        <v>45979</v>
      </c>
      <c r="C1419" s="1" t="s">
        <v>9</v>
      </c>
      <c r="D1419" s="1" t="s">
        <v>14</v>
      </c>
      <c r="E1419" s="1" t="s">
        <v>18</v>
      </c>
      <c r="F1419" s="1" t="s">
        <v>24</v>
      </c>
      <c r="G1419" s="4">
        <v>621.6</v>
      </c>
      <c r="H1419" s="1">
        <v>9</v>
      </c>
      <c r="I1419" s="1" t="str">
        <f>TEXT(SalesTable[[#This Row],[Order_Date]],"mmm")</f>
        <v>Nov</v>
      </c>
      <c r="J1419" s="1">
        <f>YEAR(SalesTable[[#This Row],[Order_Date]])</f>
        <v>2025</v>
      </c>
      <c r="K1419" s="4">
        <v>40.49</v>
      </c>
      <c r="L1419" s="9">
        <f>SalesTable[[#This Row],[Profit]]/SalesTable[[#This Row],[Sales]]</f>
        <v>6.5138352638352645E-2</v>
      </c>
    </row>
    <row r="1420" spans="1:12" ht="14" x14ac:dyDescent="0.15">
      <c r="A1420" s="1">
        <v>11419</v>
      </c>
      <c r="B1420" s="2">
        <v>45980</v>
      </c>
      <c r="C1420" s="1" t="s">
        <v>11</v>
      </c>
      <c r="D1420" s="1" t="s">
        <v>13</v>
      </c>
      <c r="E1420" s="1" t="s">
        <v>20</v>
      </c>
      <c r="F1420" s="1" t="s">
        <v>23</v>
      </c>
      <c r="G1420" s="4">
        <v>107.65</v>
      </c>
      <c r="H1420" s="1">
        <v>2</v>
      </c>
      <c r="I1420" s="1" t="str">
        <f>TEXT(SalesTable[[#This Row],[Order_Date]],"mmm")</f>
        <v>Nov</v>
      </c>
      <c r="J1420" s="1">
        <f>YEAR(SalesTable[[#This Row],[Order_Date]])</f>
        <v>2025</v>
      </c>
      <c r="K1420" s="4">
        <v>234.9</v>
      </c>
      <c r="L1420" s="9">
        <f>SalesTable[[#This Row],[Profit]]/SalesTable[[#This Row],[Sales]]</f>
        <v>2.1820715281003249</v>
      </c>
    </row>
    <row r="1421" spans="1:12" ht="14" x14ac:dyDescent="0.15">
      <c r="A1421" s="1">
        <v>11420</v>
      </c>
      <c r="B1421" s="2">
        <v>45981</v>
      </c>
      <c r="C1421" s="1" t="s">
        <v>11</v>
      </c>
      <c r="D1421" s="1" t="s">
        <v>15</v>
      </c>
      <c r="E1421" s="1" t="s">
        <v>18</v>
      </c>
      <c r="F1421" s="1" t="s">
        <v>25</v>
      </c>
      <c r="G1421" s="4">
        <v>442.68</v>
      </c>
      <c r="H1421" s="1">
        <v>4</v>
      </c>
      <c r="I1421" s="1" t="str">
        <f>TEXT(SalesTable[[#This Row],[Order_Date]],"mmm")</f>
        <v>Nov</v>
      </c>
      <c r="J1421" s="1">
        <f>YEAR(SalesTable[[#This Row],[Order_Date]])</f>
        <v>2025</v>
      </c>
      <c r="K1421" s="4">
        <v>-73.28</v>
      </c>
      <c r="L1421" s="9">
        <f>SalesTable[[#This Row],[Profit]]/SalesTable[[#This Row],[Sales]]</f>
        <v>-0.16553718261498149</v>
      </c>
    </row>
    <row r="1422" spans="1:12" ht="14" x14ac:dyDescent="0.15">
      <c r="A1422" s="1">
        <v>11421</v>
      </c>
      <c r="B1422" s="2">
        <v>45982</v>
      </c>
      <c r="C1422" s="1" t="s">
        <v>11</v>
      </c>
      <c r="D1422" s="1" t="s">
        <v>13</v>
      </c>
      <c r="E1422" s="1" t="s">
        <v>19</v>
      </c>
      <c r="F1422" s="1" t="s">
        <v>21</v>
      </c>
      <c r="G1422" s="4">
        <v>569.28</v>
      </c>
      <c r="H1422" s="1">
        <v>2</v>
      </c>
      <c r="I1422" s="1" t="str">
        <f>TEXT(SalesTable[[#This Row],[Order_Date]],"mmm")</f>
        <v>Nov</v>
      </c>
      <c r="J1422" s="1">
        <f>YEAR(SalesTable[[#This Row],[Order_Date]])</f>
        <v>2025</v>
      </c>
      <c r="K1422" s="4">
        <v>276.94</v>
      </c>
      <c r="L1422" s="9">
        <f>SalesTable[[#This Row],[Profit]]/SalesTable[[#This Row],[Sales]]</f>
        <v>0.48647414277684092</v>
      </c>
    </row>
    <row r="1423" spans="1:12" ht="14" x14ac:dyDescent="0.15">
      <c r="A1423" s="1">
        <v>11422</v>
      </c>
      <c r="B1423" s="2">
        <v>45983</v>
      </c>
      <c r="C1423" s="1" t="s">
        <v>11</v>
      </c>
      <c r="D1423" s="1" t="s">
        <v>13</v>
      </c>
      <c r="E1423" s="1" t="s">
        <v>17</v>
      </c>
      <c r="F1423" s="1" t="s">
        <v>21</v>
      </c>
      <c r="G1423" s="4">
        <v>464.24</v>
      </c>
      <c r="H1423" s="1">
        <v>5</v>
      </c>
      <c r="I1423" s="1" t="str">
        <f>TEXT(SalesTable[[#This Row],[Order_Date]],"mmm")</f>
        <v>Nov</v>
      </c>
      <c r="J1423" s="1">
        <f>YEAR(SalesTable[[#This Row],[Order_Date]])</f>
        <v>2025</v>
      </c>
      <c r="K1423" s="4">
        <v>294.52999999999997</v>
      </c>
      <c r="L1423" s="9">
        <f>SalesTable[[#This Row],[Profit]]/SalesTable[[#This Row],[Sales]]</f>
        <v>0.63443477511631907</v>
      </c>
    </row>
    <row r="1424" spans="1:12" ht="14" x14ac:dyDescent="0.15">
      <c r="A1424" s="1">
        <v>11423</v>
      </c>
      <c r="B1424" s="2">
        <v>45984</v>
      </c>
      <c r="C1424" s="1" t="s">
        <v>9</v>
      </c>
      <c r="D1424" s="1" t="s">
        <v>13</v>
      </c>
      <c r="E1424" s="1" t="s">
        <v>19</v>
      </c>
      <c r="F1424" s="1" t="s">
        <v>23</v>
      </c>
      <c r="G1424" s="4">
        <v>761.24</v>
      </c>
      <c r="H1424" s="1">
        <v>3</v>
      </c>
      <c r="I1424" s="1" t="str">
        <f>TEXT(SalesTable[[#This Row],[Order_Date]],"mmm")</f>
        <v>Nov</v>
      </c>
      <c r="J1424" s="1">
        <f>YEAR(SalesTable[[#This Row],[Order_Date]])</f>
        <v>2025</v>
      </c>
      <c r="K1424" s="4">
        <v>-64.569999999999993</v>
      </c>
      <c r="L1424" s="9">
        <f>SalesTable[[#This Row],[Profit]]/SalesTable[[#This Row],[Sales]]</f>
        <v>-8.4822132310440848E-2</v>
      </c>
    </row>
    <row r="1425" spans="1:12" ht="14" x14ac:dyDescent="0.15">
      <c r="A1425" s="1">
        <v>11424</v>
      </c>
      <c r="B1425" s="2">
        <v>45985</v>
      </c>
      <c r="C1425" s="1" t="s">
        <v>9</v>
      </c>
      <c r="D1425" s="1" t="s">
        <v>13</v>
      </c>
      <c r="E1425" s="1" t="s">
        <v>19</v>
      </c>
      <c r="F1425" s="1" t="s">
        <v>24</v>
      </c>
      <c r="G1425" s="4">
        <v>836.53</v>
      </c>
      <c r="H1425" s="1">
        <v>2</v>
      </c>
      <c r="I1425" s="1" t="str">
        <f>TEXT(SalesTable[[#This Row],[Order_Date]],"mmm")</f>
        <v>Nov</v>
      </c>
      <c r="J1425" s="1">
        <f>YEAR(SalesTable[[#This Row],[Order_Date]])</f>
        <v>2025</v>
      </c>
      <c r="K1425" s="4">
        <v>16.510000000000002</v>
      </c>
      <c r="L1425" s="9">
        <f>SalesTable[[#This Row],[Profit]]/SalesTable[[#This Row],[Sales]]</f>
        <v>1.973629158547811E-2</v>
      </c>
    </row>
    <row r="1426" spans="1:12" ht="14" x14ac:dyDescent="0.15">
      <c r="A1426" s="1">
        <v>11425</v>
      </c>
      <c r="B1426" s="2">
        <v>45986</v>
      </c>
      <c r="C1426" s="1" t="s">
        <v>10</v>
      </c>
      <c r="D1426" s="1" t="s">
        <v>15</v>
      </c>
      <c r="E1426" s="1" t="s">
        <v>16</v>
      </c>
      <c r="F1426" s="1" t="s">
        <v>23</v>
      </c>
      <c r="G1426" s="4">
        <v>782.68</v>
      </c>
      <c r="H1426" s="1">
        <v>9</v>
      </c>
      <c r="I1426" s="1" t="str">
        <f>TEXT(SalesTable[[#This Row],[Order_Date]],"mmm")</f>
        <v>Nov</v>
      </c>
      <c r="J1426" s="1">
        <f>YEAR(SalesTable[[#This Row],[Order_Date]])</f>
        <v>2025</v>
      </c>
      <c r="K1426" s="4">
        <v>48.96</v>
      </c>
      <c r="L1426" s="9">
        <f>SalesTable[[#This Row],[Profit]]/SalesTable[[#This Row],[Sales]]</f>
        <v>6.2554300608166816E-2</v>
      </c>
    </row>
    <row r="1427" spans="1:12" ht="14" x14ac:dyDescent="0.15">
      <c r="A1427" s="1">
        <v>11426</v>
      </c>
      <c r="B1427" s="2">
        <v>45987</v>
      </c>
      <c r="C1427" s="1" t="s">
        <v>12</v>
      </c>
      <c r="D1427" s="1" t="s">
        <v>14</v>
      </c>
      <c r="E1427" s="1" t="s">
        <v>17</v>
      </c>
      <c r="F1427" s="1" t="s">
        <v>24</v>
      </c>
      <c r="G1427" s="4">
        <v>86.87</v>
      </c>
      <c r="H1427" s="1">
        <v>5</v>
      </c>
      <c r="I1427" s="1" t="str">
        <f>TEXT(SalesTable[[#This Row],[Order_Date]],"mmm")</f>
        <v>Nov</v>
      </c>
      <c r="J1427" s="1">
        <f>YEAR(SalesTable[[#This Row],[Order_Date]])</f>
        <v>2025</v>
      </c>
      <c r="K1427" s="4">
        <v>210.56</v>
      </c>
      <c r="L1427" s="9">
        <f>SalesTable[[#This Row],[Profit]]/SalesTable[[#This Row],[Sales]]</f>
        <v>2.4238517324738114</v>
      </c>
    </row>
    <row r="1428" spans="1:12" ht="14" x14ac:dyDescent="0.15">
      <c r="A1428" s="1">
        <v>11427</v>
      </c>
      <c r="B1428" s="2">
        <v>45988</v>
      </c>
      <c r="C1428" s="1" t="s">
        <v>9</v>
      </c>
      <c r="D1428" s="1" t="s">
        <v>15</v>
      </c>
      <c r="E1428" s="1" t="s">
        <v>19</v>
      </c>
      <c r="F1428" s="1" t="s">
        <v>25</v>
      </c>
      <c r="G1428" s="4">
        <v>234.42</v>
      </c>
      <c r="H1428" s="1">
        <v>5</v>
      </c>
      <c r="I1428" s="1" t="str">
        <f>TEXT(SalesTable[[#This Row],[Order_Date]],"mmm")</f>
        <v>Nov</v>
      </c>
      <c r="J1428" s="1">
        <f>YEAR(SalesTable[[#This Row],[Order_Date]])</f>
        <v>2025</v>
      </c>
      <c r="K1428" s="4">
        <v>138.37</v>
      </c>
      <c r="L1428" s="9">
        <f>SalesTable[[#This Row],[Profit]]/SalesTable[[#This Row],[Sales]]</f>
        <v>0.59026533572220807</v>
      </c>
    </row>
    <row r="1429" spans="1:12" ht="14" x14ac:dyDescent="0.15">
      <c r="A1429" s="1">
        <v>11428</v>
      </c>
      <c r="B1429" s="2">
        <v>45989</v>
      </c>
      <c r="C1429" s="1" t="s">
        <v>9</v>
      </c>
      <c r="D1429" s="1" t="s">
        <v>15</v>
      </c>
      <c r="E1429" s="1" t="s">
        <v>20</v>
      </c>
      <c r="F1429" s="1" t="s">
        <v>24</v>
      </c>
      <c r="G1429" s="4">
        <v>559.78</v>
      </c>
      <c r="H1429" s="1">
        <v>1</v>
      </c>
      <c r="I1429" s="1" t="str">
        <f>TEXT(SalesTable[[#This Row],[Order_Date]],"mmm")</f>
        <v>Nov</v>
      </c>
      <c r="J1429" s="1">
        <f>YEAR(SalesTable[[#This Row],[Order_Date]])</f>
        <v>2025</v>
      </c>
      <c r="K1429" s="4">
        <v>157.75</v>
      </c>
      <c r="L1429" s="9">
        <f>SalesTable[[#This Row],[Profit]]/SalesTable[[#This Row],[Sales]]</f>
        <v>0.28180713851870381</v>
      </c>
    </row>
    <row r="1430" spans="1:12" ht="14" x14ac:dyDescent="0.15">
      <c r="A1430" s="1">
        <v>11429</v>
      </c>
      <c r="B1430" s="2">
        <v>45990</v>
      </c>
      <c r="C1430" s="1" t="s">
        <v>12</v>
      </c>
      <c r="D1430" s="1" t="s">
        <v>15</v>
      </c>
      <c r="E1430" s="1" t="s">
        <v>19</v>
      </c>
      <c r="F1430" s="1" t="s">
        <v>23</v>
      </c>
      <c r="G1430" s="4">
        <v>938.08</v>
      </c>
      <c r="H1430" s="1">
        <v>6</v>
      </c>
      <c r="I1430" s="1" t="str">
        <f>TEXT(SalesTable[[#This Row],[Order_Date]],"mmm")</f>
        <v>Nov</v>
      </c>
      <c r="J1430" s="1">
        <f>YEAR(SalesTable[[#This Row],[Order_Date]])</f>
        <v>2025</v>
      </c>
      <c r="K1430" s="4">
        <v>203</v>
      </c>
      <c r="L1430" s="9">
        <f>SalesTable[[#This Row],[Profit]]/SalesTable[[#This Row],[Sales]]</f>
        <v>0.21639945420433224</v>
      </c>
    </row>
    <row r="1431" spans="1:12" ht="14" x14ac:dyDescent="0.15">
      <c r="A1431" s="1">
        <v>11430</v>
      </c>
      <c r="B1431" s="2">
        <v>45991</v>
      </c>
      <c r="C1431" s="1" t="s">
        <v>9</v>
      </c>
      <c r="D1431" s="1" t="s">
        <v>14</v>
      </c>
      <c r="E1431" s="1" t="s">
        <v>20</v>
      </c>
      <c r="F1431" s="1" t="s">
        <v>25</v>
      </c>
      <c r="G1431" s="4">
        <v>843.21</v>
      </c>
      <c r="H1431" s="1">
        <v>7</v>
      </c>
      <c r="I1431" s="1" t="str">
        <f>TEXT(SalesTable[[#This Row],[Order_Date]],"mmm")</f>
        <v>Nov</v>
      </c>
      <c r="J1431" s="1">
        <f>YEAR(SalesTable[[#This Row],[Order_Date]])</f>
        <v>2025</v>
      </c>
      <c r="K1431" s="4">
        <v>-52.81</v>
      </c>
      <c r="L1431" s="9">
        <f>SalesTable[[#This Row],[Profit]]/SalesTable[[#This Row],[Sales]]</f>
        <v>-6.2629712645722896E-2</v>
      </c>
    </row>
    <row r="1432" spans="1:12" ht="14" x14ac:dyDescent="0.15">
      <c r="A1432" s="1">
        <v>11431</v>
      </c>
      <c r="B1432" s="2">
        <v>45992</v>
      </c>
      <c r="C1432" s="1" t="s">
        <v>11</v>
      </c>
      <c r="D1432" s="1" t="s">
        <v>13</v>
      </c>
      <c r="E1432" s="1" t="s">
        <v>16</v>
      </c>
      <c r="F1432" s="1" t="s">
        <v>22</v>
      </c>
      <c r="G1432" s="4">
        <v>850.41</v>
      </c>
      <c r="H1432" s="1">
        <v>1</v>
      </c>
      <c r="I1432" s="1" t="str">
        <f>TEXT(SalesTable[[#This Row],[Order_Date]],"mmm")</f>
        <v>Dec</v>
      </c>
      <c r="J1432" s="1">
        <f>YEAR(SalesTable[[#This Row],[Order_Date]])</f>
        <v>2025</v>
      </c>
      <c r="K1432" s="4">
        <v>233.28</v>
      </c>
      <c r="L1432" s="9">
        <f>SalesTable[[#This Row],[Profit]]/SalesTable[[#This Row],[Sales]]</f>
        <v>0.27431474230077257</v>
      </c>
    </row>
    <row r="1433" spans="1:12" ht="14" x14ac:dyDescent="0.15">
      <c r="A1433" s="1">
        <v>11432</v>
      </c>
      <c r="B1433" s="2">
        <v>45993</v>
      </c>
      <c r="C1433" s="1" t="s">
        <v>11</v>
      </c>
      <c r="D1433" s="1" t="s">
        <v>13</v>
      </c>
      <c r="E1433" s="1" t="s">
        <v>19</v>
      </c>
      <c r="F1433" s="1" t="s">
        <v>21</v>
      </c>
      <c r="G1433" s="4">
        <v>338.05</v>
      </c>
      <c r="H1433" s="1">
        <v>9</v>
      </c>
      <c r="I1433" s="1" t="str">
        <f>TEXT(SalesTable[[#This Row],[Order_Date]],"mmm")</f>
        <v>Dec</v>
      </c>
      <c r="J1433" s="1">
        <f>YEAR(SalesTable[[#This Row],[Order_Date]])</f>
        <v>2025</v>
      </c>
      <c r="K1433" s="4">
        <v>182.25</v>
      </c>
      <c r="L1433" s="9">
        <f>SalesTable[[#This Row],[Profit]]/SalesTable[[#This Row],[Sales]]</f>
        <v>0.53912143174086669</v>
      </c>
    </row>
    <row r="1434" spans="1:12" ht="14" x14ac:dyDescent="0.15">
      <c r="A1434" s="1">
        <v>11433</v>
      </c>
      <c r="B1434" s="2">
        <v>45994</v>
      </c>
      <c r="C1434" s="1" t="s">
        <v>12</v>
      </c>
      <c r="D1434" s="1" t="s">
        <v>13</v>
      </c>
      <c r="E1434" s="1" t="s">
        <v>18</v>
      </c>
      <c r="F1434" s="1" t="s">
        <v>23</v>
      </c>
      <c r="G1434" s="4">
        <v>457.98</v>
      </c>
      <c r="H1434" s="1">
        <v>8</v>
      </c>
      <c r="I1434" s="1" t="str">
        <f>TEXT(SalesTable[[#This Row],[Order_Date]],"mmm")</f>
        <v>Dec</v>
      </c>
      <c r="J1434" s="1">
        <f>YEAR(SalesTable[[#This Row],[Order_Date]])</f>
        <v>2025</v>
      </c>
      <c r="K1434" s="4">
        <v>130.94</v>
      </c>
      <c r="L1434" s="9">
        <f>SalesTable[[#This Row],[Profit]]/SalesTable[[#This Row],[Sales]]</f>
        <v>0.28590768155814661</v>
      </c>
    </row>
    <row r="1435" spans="1:12" ht="14" x14ac:dyDescent="0.15">
      <c r="A1435" s="1">
        <v>11434</v>
      </c>
      <c r="B1435" s="2">
        <v>45995</v>
      </c>
      <c r="C1435" s="1" t="s">
        <v>10</v>
      </c>
      <c r="D1435" s="1" t="s">
        <v>14</v>
      </c>
      <c r="E1435" s="1" t="s">
        <v>16</v>
      </c>
      <c r="F1435" s="1" t="s">
        <v>23</v>
      </c>
      <c r="G1435" s="4">
        <v>497.17</v>
      </c>
      <c r="H1435" s="1">
        <v>8</v>
      </c>
      <c r="I1435" s="1" t="str">
        <f>TEXT(SalesTable[[#This Row],[Order_Date]],"mmm")</f>
        <v>Dec</v>
      </c>
      <c r="J1435" s="1">
        <f>YEAR(SalesTable[[#This Row],[Order_Date]])</f>
        <v>2025</v>
      </c>
      <c r="K1435" s="4">
        <v>255.89</v>
      </c>
      <c r="L1435" s="9">
        <f>SalesTable[[#This Row],[Profit]]/SalesTable[[#This Row],[Sales]]</f>
        <v>0.51469316330430226</v>
      </c>
    </row>
    <row r="1436" spans="1:12" ht="14" x14ac:dyDescent="0.15">
      <c r="A1436" s="1">
        <v>11435</v>
      </c>
      <c r="B1436" s="2">
        <v>45996</v>
      </c>
      <c r="C1436" s="1" t="s">
        <v>10</v>
      </c>
      <c r="D1436" s="1" t="s">
        <v>13</v>
      </c>
      <c r="E1436" s="1" t="s">
        <v>20</v>
      </c>
      <c r="F1436" s="1" t="s">
        <v>23</v>
      </c>
      <c r="G1436" s="4">
        <v>199.5</v>
      </c>
      <c r="H1436" s="1">
        <v>7</v>
      </c>
      <c r="I1436" s="1" t="str">
        <f>TEXT(SalesTable[[#This Row],[Order_Date]],"mmm")</f>
        <v>Dec</v>
      </c>
      <c r="J1436" s="1">
        <f>YEAR(SalesTable[[#This Row],[Order_Date]])</f>
        <v>2025</v>
      </c>
      <c r="K1436" s="4">
        <v>180.12</v>
      </c>
      <c r="L1436" s="9">
        <f>SalesTable[[#This Row],[Profit]]/SalesTable[[#This Row],[Sales]]</f>
        <v>0.90285714285714291</v>
      </c>
    </row>
    <row r="1437" spans="1:12" ht="14" x14ac:dyDescent="0.15">
      <c r="A1437" s="1">
        <v>11436</v>
      </c>
      <c r="B1437" s="2">
        <v>45997</v>
      </c>
      <c r="C1437" s="1" t="s">
        <v>12</v>
      </c>
      <c r="D1437" s="1" t="s">
        <v>14</v>
      </c>
      <c r="E1437" s="1" t="s">
        <v>16</v>
      </c>
      <c r="F1437" s="1" t="s">
        <v>25</v>
      </c>
      <c r="G1437" s="4">
        <v>79.510000000000005</v>
      </c>
      <c r="H1437" s="1">
        <v>5</v>
      </c>
      <c r="I1437" s="1" t="str">
        <f>TEXT(SalesTable[[#This Row],[Order_Date]],"mmm")</f>
        <v>Dec</v>
      </c>
      <c r="J1437" s="1">
        <f>YEAR(SalesTable[[#This Row],[Order_Date]])</f>
        <v>2025</v>
      </c>
      <c r="K1437" s="4">
        <v>-19.32</v>
      </c>
      <c r="L1437" s="9">
        <f>SalesTable[[#This Row],[Profit]]/SalesTable[[#This Row],[Sales]]</f>
        <v>-0.24298830335806815</v>
      </c>
    </row>
    <row r="1438" spans="1:12" ht="14" x14ac:dyDescent="0.15">
      <c r="A1438" s="1">
        <v>11437</v>
      </c>
      <c r="B1438" s="2">
        <v>45998</v>
      </c>
      <c r="C1438" s="1" t="s">
        <v>12</v>
      </c>
      <c r="D1438" s="1" t="s">
        <v>13</v>
      </c>
      <c r="E1438" s="1" t="s">
        <v>19</v>
      </c>
      <c r="F1438" s="1" t="s">
        <v>22</v>
      </c>
      <c r="G1438" s="4">
        <v>949.56</v>
      </c>
      <c r="H1438" s="1">
        <v>3</v>
      </c>
      <c r="I1438" s="1" t="str">
        <f>TEXT(SalesTable[[#This Row],[Order_Date]],"mmm")</f>
        <v>Dec</v>
      </c>
      <c r="J1438" s="1">
        <f>YEAR(SalesTable[[#This Row],[Order_Date]])</f>
        <v>2025</v>
      </c>
      <c r="K1438" s="4">
        <v>71.900000000000006</v>
      </c>
      <c r="L1438" s="9">
        <f>SalesTable[[#This Row],[Profit]]/SalesTable[[#This Row],[Sales]]</f>
        <v>7.5719280508867282E-2</v>
      </c>
    </row>
    <row r="1439" spans="1:12" ht="14" x14ac:dyDescent="0.15">
      <c r="A1439" s="1">
        <v>11438</v>
      </c>
      <c r="B1439" s="2">
        <v>45999</v>
      </c>
      <c r="C1439" s="1" t="s">
        <v>11</v>
      </c>
      <c r="D1439" s="1" t="s">
        <v>13</v>
      </c>
      <c r="E1439" s="1" t="s">
        <v>17</v>
      </c>
      <c r="F1439" s="1" t="s">
        <v>24</v>
      </c>
      <c r="G1439" s="4">
        <v>278.68</v>
      </c>
      <c r="H1439" s="1">
        <v>9</v>
      </c>
      <c r="I1439" s="1" t="str">
        <f>TEXT(SalesTable[[#This Row],[Order_Date]],"mmm")</f>
        <v>Dec</v>
      </c>
      <c r="J1439" s="1">
        <f>YEAR(SalesTable[[#This Row],[Order_Date]])</f>
        <v>2025</v>
      </c>
      <c r="K1439" s="4">
        <v>97.62</v>
      </c>
      <c r="L1439" s="9">
        <f>SalesTable[[#This Row],[Profit]]/SalesTable[[#This Row],[Sales]]</f>
        <v>0.35029424429453138</v>
      </c>
    </row>
    <row r="1440" spans="1:12" ht="14" x14ac:dyDescent="0.15">
      <c r="A1440" s="1">
        <v>11439</v>
      </c>
      <c r="B1440" s="2">
        <v>46000</v>
      </c>
      <c r="C1440" s="1" t="s">
        <v>10</v>
      </c>
      <c r="D1440" s="1" t="s">
        <v>15</v>
      </c>
      <c r="E1440" s="1" t="s">
        <v>17</v>
      </c>
      <c r="F1440" s="1" t="s">
        <v>22</v>
      </c>
      <c r="G1440" s="4">
        <v>277.95</v>
      </c>
      <c r="H1440" s="1">
        <v>7</v>
      </c>
      <c r="I1440" s="1" t="str">
        <f>TEXT(SalesTable[[#This Row],[Order_Date]],"mmm")</f>
        <v>Dec</v>
      </c>
      <c r="J1440" s="1">
        <f>YEAR(SalesTable[[#This Row],[Order_Date]])</f>
        <v>2025</v>
      </c>
      <c r="K1440" s="4">
        <v>-77.91</v>
      </c>
      <c r="L1440" s="9">
        <f>SalesTable[[#This Row],[Profit]]/SalesTable[[#This Row],[Sales]]</f>
        <v>-0.28030221262817051</v>
      </c>
    </row>
    <row r="1441" spans="1:12" ht="14" x14ac:dyDescent="0.15">
      <c r="A1441" s="1">
        <v>11440</v>
      </c>
      <c r="B1441" s="2">
        <v>46001</v>
      </c>
      <c r="C1441" s="1" t="s">
        <v>9</v>
      </c>
      <c r="D1441" s="1" t="s">
        <v>14</v>
      </c>
      <c r="E1441" s="1" t="s">
        <v>20</v>
      </c>
      <c r="F1441" s="1" t="s">
        <v>25</v>
      </c>
      <c r="G1441" s="4">
        <v>129.21</v>
      </c>
      <c r="H1441" s="1">
        <v>8</v>
      </c>
      <c r="I1441" s="1" t="str">
        <f>TEXT(SalesTable[[#This Row],[Order_Date]],"mmm")</f>
        <v>Dec</v>
      </c>
      <c r="J1441" s="1">
        <f>YEAR(SalesTable[[#This Row],[Order_Date]])</f>
        <v>2025</v>
      </c>
      <c r="K1441" s="4">
        <v>281.86</v>
      </c>
      <c r="L1441" s="9">
        <f>SalesTable[[#This Row],[Profit]]/SalesTable[[#This Row],[Sales]]</f>
        <v>2.1814101075768129</v>
      </c>
    </row>
    <row r="1442" spans="1:12" ht="14" x14ac:dyDescent="0.15">
      <c r="A1442" s="1">
        <v>11441</v>
      </c>
      <c r="B1442" s="2">
        <v>46002</v>
      </c>
      <c r="C1442" s="1" t="s">
        <v>11</v>
      </c>
      <c r="D1442" s="1" t="s">
        <v>15</v>
      </c>
      <c r="E1442" s="1" t="s">
        <v>20</v>
      </c>
      <c r="F1442" s="1" t="s">
        <v>23</v>
      </c>
      <c r="G1442" s="4">
        <v>932.08</v>
      </c>
      <c r="H1442" s="1">
        <v>6</v>
      </c>
      <c r="I1442" s="1" t="str">
        <f>TEXT(SalesTable[[#This Row],[Order_Date]],"mmm")</f>
        <v>Dec</v>
      </c>
      <c r="J1442" s="1">
        <f>YEAR(SalesTable[[#This Row],[Order_Date]])</f>
        <v>2025</v>
      </c>
      <c r="K1442" s="4">
        <v>-48.57</v>
      </c>
      <c r="L1442" s="9">
        <f>SalesTable[[#This Row],[Profit]]/SalesTable[[#This Row],[Sales]]</f>
        <v>-5.2109261007638824E-2</v>
      </c>
    </row>
    <row r="1443" spans="1:12" ht="14" x14ac:dyDescent="0.15">
      <c r="A1443" s="1">
        <v>11442</v>
      </c>
      <c r="B1443" s="2">
        <v>46003</v>
      </c>
      <c r="C1443" s="1" t="s">
        <v>12</v>
      </c>
      <c r="D1443" s="1" t="s">
        <v>15</v>
      </c>
      <c r="E1443" s="1" t="s">
        <v>17</v>
      </c>
      <c r="F1443" s="1" t="s">
        <v>21</v>
      </c>
      <c r="G1443" s="4">
        <v>600.75</v>
      </c>
      <c r="H1443" s="1">
        <v>5</v>
      </c>
      <c r="I1443" s="1" t="str">
        <f>TEXT(SalesTable[[#This Row],[Order_Date]],"mmm")</f>
        <v>Dec</v>
      </c>
      <c r="J1443" s="1">
        <f>YEAR(SalesTable[[#This Row],[Order_Date]])</f>
        <v>2025</v>
      </c>
      <c r="K1443" s="4">
        <v>178.98</v>
      </c>
      <c r="L1443" s="9">
        <f>SalesTable[[#This Row],[Profit]]/SalesTable[[#This Row],[Sales]]</f>
        <v>0.29792759051186019</v>
      </c>
    </row>
    <row r="1444" spans="1:12" ht="14" x14ac:dyDescent="0.15">
      <c r="A1444" s="1">
        <v>11443</v>
      </c>
      <c r="B1444" s="2">
        <v>46004</v>
      </c>
      <c r="C1444" s="1" t="s">
        <v>10</v>
      </c>
      <c r="D1444" s="1" t="s">
        <v>15</v>
      </c>
      <c r="E1444" s="1" t="s">
        <v>20</v>
      </c>
      <c r="F1444" s="1" t="s">
        <v>23</v>
      </c>
      <c r="G1444" s="4">
        <v>683.69</v>
      </c>
      <c r="H1444" s="1">
        <v>8</v>
      </c>
      <c r="I1444" s="1" t="str">
        <f>TEXT(SalesTable[[#This Row],[Order_Date]],"mmm")</f>
        <v>Dec</v>
      </c>
      <c r="J1444" s="1">
        <f>YEAR(SalesTable[[#This Row],[Order_Date]])</f>
        <v>2025</v>
      </c>
      <c r="K1444" s="4">
        <v>102.49</v>
      </c>
      <c r="L1444" s="9">
        <f>SalesTable[[#This Row],[Profit]]/SalesTable[[#This Row],[Sales]]</f>
        <v>0.1499071216487004</v>
      </c>
    </row>
    <row r="1445" spans="1:12" ht="14" x14ac:dyDescent="0.15">
      <c r="A1445" s="1">
        <v>11444</v>
      </c>
      <c r="B1445" s="2">
        <v>46005</v>
      </c>
      <c r="C1445" s="1" t="s">
        <v>9</v>
      </c>
      <c r="D1445" s="1" t="s">
        <v>14</v>
      </c>
      <c r="E1445" s="1" t="s">
        <v>16</v>
      </c>
      <c r="F1445" s="1" t="s">
        <v>24</v>
      </c>
      <c r="G1445" s="4">
        <v>916</v>
      </c>
      <c r="H1445" s="1">
        <v>3</v>
      </c>
      <c r="I1445" s="1" t="str">
        <f>TEXT(SalesTable[[#This Row],[Order_Date]],"mmm")</f>
        <v>Dec</v>
      </c>
      <c r="J1445" s="1">
        <f>YEAR(SalesTable[[#This Row],[Order_Date]])</f>
        <v>2025</v>
      </c>
      <c r="K1445" s="4">
        <v>-89.75</v>
      </c>
      <c r="L1445" s="9">
        <f>SalesTable[[#This Row],[Profit]]/SalesTable[[#This Row],[Sales]]</f>
        <v>-9.7980349344978165E-2</v>
      </c>
    </row>
    <row r="1446" spans="1:12" ht="14" x14ac:dyDescent="0.15">
      <c r="A1446" s="1">
        <v>11445</v>
      </c>
      <c r="B1446" s="2">
        <v>46006</v>
      </c>
      <c r="C1446" s="1" t="s">
        <v>9</v>
      </c>
      <c r="D1446" s="1" t="s">
        <v>14</v>
      </c>
      <c r="E1446" s="1" t="s">
        <v>18</v>
      </c>
      <c r="F1446" s="1" t="s">
        <v>21</v>
      </c>
      <c r="G1446" s="4">
        <v>378.34</v>
      </c>
      <c r="H1446" s="1">
        <v>7</v>
      </c>
      <c r="I1446" s="1" t="str">
        <f>TEXT(SalesTable[[#This Row],[Order_Date]],"mmm")</f>
        <v>Dec</v>
      </c>
      <c r="J1446" s="1">
        <f>YEAR(SalesTable[[#This Row],[Order_Date]])</f>
        <v>2025</v>
      </c>
      <c r="K1446" s="4">
        <v>269.89999999999998</v>
      </c>
      <c r="L1446" s="9">
        <f>SalesTable[[#This Row],[Profit]]/SalesTable[[#This Row],[Sales]]</f>
        <v>0.71337949992070626</v>
      </c>
    </row>
    <row r="1447" spans="1:12" ht="14" x14ac:dyDescent="0.15">
      <c r="A1447" s="1">
        <v>11446</v>
      </c>
      <c r="B1447" s="2">
        <v>46007</v>
      </c>
      <c r="C1447" s="1" t="s">
        <v>11</v>
      </c>
      <c r="D1447" s="1" t="s">
        <v>13</v>
      </c>
      <c r="E1447" s="1" t="s">
        <v>18</v>
      </c>
      <c r="F1447" s="1" t="s">
        <v>23</v>
      </c>
      <c r="G1447" s="4">
        <v>640.42999999999995</v>
      </c>
      <c r="H1447" s="1">
        <v>2</v>
      </c>
      <c r="I1447" s="1" t="str">
        <f>TEXT(SalesTable[[#This Row],[Order_Date]],"mmm")</f>
        <v>Dec</v>
      </c>
      <c r="J1447" s="1">
        <f>YEAR(SalesTable[[#This Row],[Order_Date]])</f>
        <v>2025</v>
      </c>
      <c r="K1447" s="4">
        <v>240.73</v>
      </c>
      <c r="L1447" s="9">
        <f>SalesTable[[#This Row],[Profit]]/SalesTable[[#This Row],[Sales]]</f>
        <v>0.37588807519947537</v>
      </c>
    </row>
    <row r="1448" spans="1:12" ht="14" x14ac:dyDescent="0.15">
      <c r="A1448" s="1">
        <v>11447</v>
      </c>
      <c r="B1448" s="2">
        <v>46008</v>
      </c>
      <c r="C1448" s="1" t="s">
        <v>10</v>
      </c>
      <c r="D1448" s="1" t="s">
        <v>15</v>
      </c>
      <c r="E1448" s="1" t="s">
        <v>16</v>
      </c>
      <c r="F1448" s="1" t="s">
        <v>21</v>
      </c>
      <c r="G1448" s="4">
        <v>86.86</v>
      </c>
      <c r="H1448" s="1">
        <v>3</v>
      </c>
      <c r="I1448" s="1" t="str">
        <f>TEXT(SalesTable[[#This Row],[Order_Date]],"mmm")</f>
        <v>Dec</v>
      </c>
      <c r="J1448" s="1">
        <f>YEAR(SalesTable[[#This Row],[Order_Date]])</f>
        <v>2025</v>
      </c>
      <c r="K1448" s="4">
        <v>109.7</v>
      </c>
      <c r="L1448" s="9">
        <f>SalesTable[[#This Row],[Profit]]/SalesTable[[#This Row],[Sales]]</f>
        <v>1.2629518765830072</v>
      </c>
    </row>
    <row r="1449" spans="1:12" ht="14" x14ac:dyDescent="0.15">
      <c r="A1449" s="1">
        <v>11448</v>
      </c>
      <c r="B1449" s="2">
        <v>46009</v>
      </c>
      <c r="C1449" s="1" t="s">
        <v>10</v>
      </c>
      <c r="D1449" s="1" t="s">
        <v>13</v>
      </c>
      <c r="E1449" s="1" t="s">
        <v>18</v>
      </c>
      <c r="F1449" s="1" t="s">
        <v>22</v>
      </c>
      <c r="G1449" s="4">
        <v>227.43</v>
      </c>
      <c r="H1449" s="1">
        <v>2</v>
      </c>
      <c r="I1449" s="1" t="str">
        <f>TEXT(SalesTable[[#This Row],[Order_Date]],"mmm")</f>
        <v>Dec</v>
      </c>
      <c r="J1449" s="1">
        <f>YEAR(SalesTable[[#This Row],[Order_Date]])</f>
        <v>2025</v>
      </c>
      <c r="K1449" s="4">
        <v>-8.42</v>
      </c>
      <c r="L1449" s="9">
        <f>SalesTable[[#This Row],[Profit]]/SalesTable[[#This Row],[Sales]]</f>
        <v>-3.7022380512685221E-2</v>
      </c>
    </row>
    <row r="1450" spans="1:12" ht="14" x14ac:dyDescent="0.15">
      <c r="A1450" s="1">
        <v>11449</v>
      </c>
      <c r="B1450" s="2">
        <v>46010</v>
      </c>
      <c r="C1450" s="1" t="s">
        <v>12</v>
      </c>
      <c r="D1450" s="1" t="s">
        <v>15</v>
      </c>
      <c r="E1450" s="1" t="s">
        <v>19</v>
      </c>
      <c r="F1450" s="1" t="s">
        <v>25</v>
      </c>
      <c r="G1450" s="4">
        <v>839.68</v>
      </c>
      <c r="H1450" s="1">
        <v>5</v>
      </c>
      <c r="I1450" s="1" t="str">
        <f>TEXT(SalesTable[[#This Row],[Order_Date]],"mmm")</f>
        <v>Dec</v>
      </c>
      <c r="J1450" s="1">
        <f>YEAR(SalesTable[[#This Row],[Order_Date]])</f>
        <v>2025</v>
      </c>
      <c r="K1450" s="4">
        <v>-51.35</v>
      </c>
      <c r="L1450" s="9">
        <f>SalesTable[[#This Row],[Profit]]/SalesTable[[#This Row],[Sales]]</f>
        <v>-6.1154249237804881E-2</v>
      </c>
    </row>
    <row r="1451" spans="1:12" ht="14" x14ac:dyDescent="0.15">
      <c r="A1451" s="1">
        <v>11450</v>
      </c>
      <c r="B1451" s="2">
        <v>46011</v>
      </c>
      <c r="C1451" s="1" t="s">
        <v>10</v>
      </c>
      <c r="D1451" s="1" t="s">
        <v>14</v>
      </c>
      <c r="E1451" s="1" t="s">
        <v>16</v>
      </c>
      <c r="F1451" s="1" t="s">
        <v>23</v>
      </c>
      <c r="G1451" s="4">
        <v>778.43</v>
      </c>
      <c r="H1451" s="1">
        <v>7</v>
      </c>
      <c r="I1451" s="1" t="str">
        <f>TEXT(SalesTable[[#This Row],[Order_Date]],"mmm")</f>
        <v>Dec</v>
      </c>
      <c r="J1451" s="1">
        <f>YEAR(SalesTable[[#This Row],[Order_Date]])</f>
        <v>2025</v>
      </c>
      <c r="K1451" s="4">
        <v>45.36</v>
      </c>
      <c r="L1451" s="9">
        <f>SalesTable[[#This Row],[Profit]]/SalesTable[[#This Row],[Sales]]</f>
        <v>5.8271135490667113E-2</v>
      </c>
    </row>
    <row r="1452" spans="1:12" ht="14" x14ac:dyDescent="0.15">
      <c r="A1452" s="1">
        <v>11451</v>
      </c>
      <c r="B1452" s="2">
        <v>46012</v>
      </c>
      <c r="C1452" s="1" t="s">
        <v>10</v>
      </c>
      <c r="D1452" s="1" t="s">
        <v>14</v>
      </c>
      <c r="E1452" s="1" t="s">
        <v>20</v>
      </c>
      <c r="F1452" s="1" t="s">
        <v>24</v>
      </c>
      <c r="G1452" s="4">
        <v>383.11</v>
      </c>
      <c r="H1452" s="1">
        <v>1</v>
      </c>
      <c r="I1452" s="1" t="str">
        <f>TEXT(SalesTable[[#This Row],[Order_Date]],"mmm")</f>
        <v>Dec</v>
      </c>
      <c r="J1452" s="1">
        <f>YEAR(SalesTable[[#This Row],[Order_Date]])</f>
        <v>2025</v>
      </c>
      <c r="K1452" s="4">
        <v>2.17</v>
      </c>
      <c r="L1452" s="9">
        <f>SalesTable[[#This Row],[Profit]]/SalesTable[[#This Row],[Sales]]</f>
        <v>5.6641695596564949E-3</v>
      </c>
    </row>
    <row r="1453" spans="1:12" ht="14" x14ac:dyDescent="0.15">
      <c r="A1453" s="1">
        <v>11452</v>
      </c>
      <c r="B1453" s="2">
        <v>46013</v>
      </c>
      <c r="C1453" s="1" t="s">
        <v>11</v>
      </c>
      <c r="D1453" s="1" t="s">
        <v>14</v>
      </c>
      <c r="E1453" s="1" t="s">
        <v>16</v>
      </c>
      <c r="F1453" s="1" t="s">
        <v>22</v>
      </c>
      <c r="G1453" s="4">
        <v>407.97</v>
      </c>
      <c r="H1453" s="1">
        <v>9</v>
      </c>
      <c r="I1453" s="1" t="str">
        <f>TEXT(SalesTable[[#This Row],[Order_Date]],"mmm")</f>
        <v>Dec</v>
      </c>
      <c r="J1453" s="1">
        <f>YEAR(SalesTable[[#This Row],[Order_Date]])</f>
        <v>2025</v>
      </c>
      <c r="K1453" s="4">
        <v>102.68</v>
      </c>
      <c r="L1453" s="9">
        <f>SalesTable[[#This Row],[Profit]]/SalesTable[[#This Row],[Sales]]</f>
        <v>0.25168517292938208</v>
      </c>
    </row>
    <row r="1454" spans="1:12" ht="14" x14ac:dyDescent="0.15">
      <c r="A1454" s="1">
        <v>11453</v>
      </c>
      <c r="B1454" s="2">
        <v>46014</v>
      </c>
      <c r="C1454" s="1" t="s">
        <v>10</v>
      </c>
      <c r="D1454" s="1" t="s">
        <v>15</v>
      </c>
      <c r="E1454" s="1" t="s">
        <v>17</v>
      </c>
      <c r="F1454" s="1" t="s">
        <v>23</v>
      </c>
      <c r="G1454" s="4">
        <v>556.88</v>
      </c>
      <c r="H1454" s="1">
        <v>1</v>
      </c>
      <c r="I1454" s="1" t="str">
        <f>TEXT(SalesTable[[#This Row],[Order_Date]],"mmm")</f>
        <v>Dec</v>
      </c>
      <c r="J1454" s="1">
        <f>YEAR(SalesTable[[#This Row],[Order_Date]])</f>
        <v>2025</v>
      </c>
      <c r="K1454" s="4">
        <v>286.56</v>
      </c>
      <c r="L1454" s="9">
        <f>SalesTable[[#This Row],[Profit]]/SalesTable[[#This Row],[Sales]]</f>
        <v>0.51458123832782643</v>
      </c>
    </row>
    <row r="1455" spans="1:12" ht="14" x14ac:dyDescent="0.15">
      <c r="A1455" s="1">
        <v>11454</v>
      </c>
      <c r="B1455" s="2">
        <v>46015</v>
      </c>
      <c r="C1455" s="1" t="s">
        <v>9</v>
      </c>
      <c r="D1455" s="1" t="s">
        <v>14</v>
      </c>
      <c r="E1455" s="1" t="s">
        <v>20</v>
      </c>
      <c r="F1455" s="1" t="s">
        <v>22</v>
      </c>
      <c r="G1455" s="4">
        <v>50.23</v>
      </c>
      <c r="H1455" s="1">
        <v>1</v>
      </c>
      <c r="I1455" s="1" t="str">
        <f>TEXT(SalesTable[[#This Row],[Order_Date]],"mmm")</f>
        <v>Dec</v>
      </c>
      <c r="J1455" s="1">
        <f>YEAR(SalesTable[[#This Row],[Order_Date]])</f>
        <v>2025</v>
      </c>
      <c r="K1455" s="4">
        <v>129.97999999999999</v>
      </c>
      <c r="L1455" s="9">
        <f>SalesTable[[#This Row],[Profit]]/SalesTable[[#This Row],[Sales]]</f>
        <v>2.5876965956599642</v>
      </c>
    </row>
    <row r="1456" spans="1:12" ht="14" x14ac:dyDescent="0.15">
      <c r="A1456" s="1">
        <v>11455</v>
      </c>
      <c r="B1456" s="2">
        <v>46016</v>
      </c>
      <c r="C1456" s="1" t="s">
        <v>11</v>
      </c>
      <c r="D1456" s="1" t="s">
        <v>15</v>
      </c>
      <c r="E1456" s="1" t="s">
        <v>17</v>
      </c>
      <c r="F1456" s="1" t="s">
        <v>24</v>
      </c>
      <c r="G1456" s="4">
        <v>279.18</v>
      </c>
      <c r="H1456" s="1">
        <v>8</v>
      </c>
      <c r="I1456" s="1" t="str">
        <f>TEXT(SalesTable[[#This Row],[Order_Date]],"mmm")</f>
        <v>Dec</v>
      </c>
      <c r="J1456" s="1">
        <f>YEAR(SalesTable[[#This Row],[Order_Date]])</f>
        <v>2025</v>
      </c>
      <c r="K1456" s="4">
        <v>255.97</v>
      </c>
      <c r="L1456" s="9">
        <f>SalesTable[[#This Row],[Profit]]/SalesTable[[#This Row],[Sales]]</f>
        <v>0.91686367218282105</v>
      </c>
    </row>
    <row r="1457" spans="1:12" ht="14" x14ac:dyDescent="0.15">
      <c r="A1457" s="1">
        <v>11456</v>
      </c>
      <c r="B1457" s="2">
        <v>46017</v>
      </c>
      <c r="C1457" s="1" t="s">
        <v>11</v>
      </c>
      <c r="D1457" s="1" t="s">
        <v>13</v>
      </c>
      <c r="E1457" s="1" t="s">
        <v>20</v>
      </c>
      <c r="F1457" s="1" t="s">
        <v>23</v>
      </c>
      <c r="G1457" s="4">
        <v>247.82</v>
      </c>
      <c r="H1457" s="1">
        <v>6</v>
      </c>
      <c r="I1457" s="1" t="str">
        <f>TEXT(SalesTable[[#This Row],[Order_Date]],"mmm")</f>
        <v>Dec</v>
      </c>
      <c r="J1457" s="1">
        <f>YEAR(SalesTable[[#This Row],[Order_Date]])</f>
        <v>2025</v>
      </c>
      <c r="K1457" s="4">
        <v>160.35</v>
      </c>
      <c r="L1457" s="9">
        <f>SalesTable[[#This Row],[Profit]]/SalesTable[[#This Row],[Sales]]</f>
        <v>0.64704220805423296</v>
      </c>
    </row>
    <row r="1458" spans="1:12" ht="14" x14ac:dyDescent="0.15">
      <c r="A1458" s="1">
        <v>11457</v>
      </c>
      <c r="B1458" s="2">
        <v>46018</v>
      </c>
      <c r="C1458" s="1" t="s">
        <v>12</v>
      </c>
      <c r="D1458" s="1" t="s">
        <v>15</v>
      </c>
      <c r="E1458" s="1" t="s">
        <v>18</v>
      </c>
      <c r="F1458" s="1" t="s">
        <v>24</v>
      </c>
      <c r="G1458" s="4">
        <v>287.95999999999998</v>
      </c>
      <c r="H1458" s="1">
        <v>6</v>
      </c>
      <c r="I1458" s="1" t="str">
        <f>TEXT(SalesTable[[#This Row],[Order_Date]],"mmm")</f>
        <v>Dec</v>
      </c>
      <c r="J1458" s="1">
        <f>YEAR(SalesTable[[#This Row],[Order_Date]])</f>
        <v>2025</v>
      </c>
      <c r="K1458" s="4">
        <v>90.1</v>
      </c>
      <c r="L1458" s="9">
        <f>SalesTable[[#This Row],[Profit]]/SalesTable[[#This Row],[Sales]]</f>
        <v>0.3128906792610085</v>
      </c>
    </row>
    <row r="1459" spans="1:12" ht="14" x14ac:dyDescent="0.15">
      <c r="A1459" s="1">
        <v>11458</v>
      </c>
      <c r="B1459" s="2">
        <v>46019</v>
      </c>
      <c r="C1459" s="1" t="s">
        <v>10</v>
      </c>
      <c r="D1459" s="1" t="s">
        <v>13</v>
      </c>
      <c r="E1459" s="1" t="s">
        <v>16</v>
      </c>
      <c r="F1459" s="1" t="s">
        <v>21</v>
      </c>
      <c r="G1459" s="4">
        <v>815.61</v>
      </c>
      <c r="H1459" s="1">
        <v>9</v>
      </c>
      <c r="I1459" s="1" t="str">
        <f>TEXT(SalesTable[[#This Row],[Order_Date]],"mmm")</f>
        <v>Dec</v>
      </c>
      <c r="J1459" s="1">
        <f>YEAR(SalesTable[[#This Row],[Order_Date]])</f>
        <v>2025</v>
      </c>
      <c r="K1459" s="4">
        <v>241.84</v>
      </c>
      <c r="L1459" s="9">
        <f>SalesTable[[#This Row],[Profit]]/SalesTable[[#This Row],[Sales]]</f>
        <v>0.29651426539645176</v>
      </c>
    </row>
    <row r="1460" spans="1:12" ht="14" x14ac:dyDescent="0.15">
      <c r="A1460" s="1">
        <v>11459</v>
      </c>
      <c r="B1460" s="2">
        <v>46020</v>
      </c>
      <c r="C1460" s="1" t="s">
        <v>12</v>
      </c>
      <c r="D1460" s="1" t="s">
        <v>15</v>
      </c>
      <c r="E1460" s="1" t="s">
        <v>19</v>
      </c>
      <c r="F1460" s="1" t="s">
        <v>24</v>
      </c>
      <c r="G1460" s="4">
        <v>315.69</v>
      </c>
      <c r="H1460" s="1">
        <v>4</v>
      </c>
      <c r="I1460" s="1" t="str">
        <f>TEXT(SalesTable[[#This Row],[Order_Date]],"mmm")</f>
        <v>Dec</v>
      </c>
      <c r="J1460" s="1">
        <f>YEAR(SalesTable[[#This Row],[Order_Date]])</f>
        <v>2025</v>
      </c>
      <c r="K1460" s="4">
        <v>88.55</v>
      </c>
      <c r="L1460" s="9">
        <f>SalesTable[[#This Row],[Profit]]/SalesTable[[#This Row],[Sales]]</f>
        <v>0.28049668979061737</v>
      </c>
    </row>
    <row r="1461" spans="1:12" ht="14" x14ac:dyDescent="0.15">
      <c r="A1461" s="1">
        <v>11460</v>
      </c>
      <c r="B1461" s="2">
        <v>46021</v>
      </c>
      <c r="C1461" s="1" t="s">
        <v>9</v>
      </c>
      <c r="D1461" s="1" t="s">
        <v>13</v>
      </c>
      <c r="E1461" s="1" t="s">
        <v>20</v>
      </c>
      <c r="F1461" s="1" t="s">
        <v>21</v>
      </c>
      <c r="G1461" s="4">
        <v>231.95</v>
      </c>
      <c r="H1461" s="1">
        <v>8</v>
      </c>
      <c r="I1461" s="1" t="str">
        <f>TEXT(SalesTable[[#This Row],[Order_Date]],"mmm")</f>
        <v>Dec</v>
      </c>
      <c r="J1461" s="1">
        <f>YEAR(SalesTable[[#This Row],[Order_Date]])</f>
        <v>2025</v>
      </c>
      <c r="K1461" s="4">
        <v>247.45</v>
      </c>
      <c r="L1461" s="9">
        <f>SalesTable[[#This Row],[Profit]]/SalesTable[[#This Row],[Sales]]</f>
        <v>1.0668247467126535</v>
      </c>
    </row>
    <row r="1462" spans="1:12" ht="14" x14ac:dyDescent="0.15">
      <c r="A1462" s="1">
        <v>11461</v>
      </c>
      <c r="B1462" s="2">
        <v>46022</v>
      </c>
      <c r="C1462" s="1" t="s">
        <v>11</v>
      </c>
      <c r="D1462" s="1" t="s">
        <v>14</v>
      </c>
      <c r="E1462" s="1" t="s">
        <v>20</v>
      </c>
      <c r="F1462" s="1" t="s">
        <v>23</v>
      </c>
      <c r="G1462" s="4">
        <v>529.04999999999995</v>
      </c>
      <c r="H1462" s="1">
        <v>4</v>
      </c>
      <c r="I1462" s="1" t="str">
        <f>TEXT(SalesTable[[#This Row],[Order_Date]],"mmm")</f>
        <v>Dec</v>
      </c>
      <c r="J1462" s="1">
        <f>YEAR(SalesTable[[#This Row],[Order_Date]])</f>
        <v>2025</v>
      </c>
      <c r="K1462" s="4">
        <v>16.63</v>
      </c>
      <c r="L1462" s="9">
        <f>SalesTable[[#This Row],[Profit]]/SalesTable[[#This Row],[Sales]]</f>
        <v>3.1433701918533223E-2</v>
      </c>
    </row>
    <row r="1463" spans="1:12" ht="14" x14ac:dyDescent="0.15">
      <c r="A1463" s="1">
        <v>11462</v>
      </c>
      <c r="B1463" s="2">
        <v>46023</v>
      </c>
      <c r="C1463" s="1" t="s">
        <v>11</v>
      </c>
      <c r="D1463" s="1" t="s">
        <v>13</v>
      </c>
      <c r="E1463" s="1" t="s">
        <v>17</v>
      </c>
      <c r="F1463" s="1" t="s">
        <v>21</v>
      </c>
      <c r="G1463" s="4">
        <v>872.36</v>
      </c>
      <c r="H1463" s="1">
        <v>2</v>
      </c>
      <c r="I1463" s="1" t="str">
        <f>TEXT(SalesTable[[#This Row],[Order_Date]],"mmm")</f>
        <v>Jan</v>
      </c>
      <c r="J1463" s="1">
        <f>YEAR(SalesTable[[#This Row],[Order_Date]])</f>
        <v>2026</v>
      </c>
      <c r="K1463" s="4">
        <v>-48.47</v>
      </c>
      <c r="L1463" s="9">
        <f>SalesTable[[#This Row],[Profit]]/SalesTable[[#This Row],[Sales]]</f>
        <v>-5.5561923976340043E-2</v>
      </c>
    </row>
    <row r="1464" spans="1:12" ht="14" x14ac:dyDescent="0.15">
      <c r="A1464" s="1">
        <v>11463</v>
      </c>
      <c r="B1464" s="2">
        <v>46024</v>
      </c>
      <c r="C1464" s="1" t="s">
        <v>11</v>
      </c>
      <c r="D1464" s="1" t="s">
        <v>14</v>
      </c>
      <c r="E1464" s="1" t="s">
        <v>18</v>
      </c>
      <c r="F1464" s="1" t="s">
        <v>23</v>
      </c>
      <c r="G1464" s="4">
        <v>279.27999999999997</v>
      </c>
      <c r="H1464" s="1">
        <v>8</v>
      </c>
      <c r="I1464" s="1" t="str">
        <f>TEXT(SalesTable[[#This Row],[Order_Date]],"mmm")</f>
        <v>Jan</v>
      </c>
      <c r="J1464" s="1">
        <f>YEAR(SalesTable[[#This Row],[Order_Date]])</f>
        <v>2026</v>
      </c>
      <c r="K1464" s="4">
        <v>242.13</v>
      </c>
      <c r="L1464" s="9">
        <f>SalesTable[[#This Row],[Profit]]/SalesTable[[#This Row],[Sales]]</f>
        <v>0.86697937553709548</v>
      </c>
    </row>
    <row r="1465" spans="1:12" ht="14" x14ac:dyDescent="0.15">
      <c r="A1465" s="1">
        <v>11464</v>
      </c>
      <c r="B1465" s="2">
        <v>46025</v>
      </c>
      <c r="C1465" s="1" t="s">
        <v>9</v>
      </c>
      <c r="D1465" s="1" t="s">
        <v>14</v>
      </c>
      <c r="E1465" s="1" t="s">
        <v>17</v>
      </c>
      <c r="F1465" s="1" t="s">
        <v>23</v>
      </c>
      <c r="G1465" s="4">
        <v>124.61</v>
      </c>
      <c r="H1465" s="1">
        <v>7</v>
      </c>
      <c r="I1465" s="1" t="str">
        <f>TEXT(SalesTable[[#This Row],[Order_Date]],"mmm")</f>
        <v>Jan</v>
      </c>
      <c r="J1465" s="1">
        <f>YEAR(SalesTable[[#This Row],[Order_Date]])</f>
        <v>2026</v>
      </c>
      <c r="K1465" s="4">
        <v>134.97</v>
      </c>
      <c r="L1465" s="9">
        <f>SalesTable[[#This Row],[Profit]]/SalesTable[[#This Row],[Sales]]</f>
        <v>1.0831393949121257</v>
      </c>
    </row>
    <row r="1466" spans="1:12" ht="14" x14ac:dyDescent="0.15">
      <c r="A1466" s="1">
        <v>11465</v>
      </c>
      <c r="B1466" s="2">
        <v>46026</v>
      </c>
      <c r="C1466" s="1" t="s">
        <v>9</v>
      </c>
      <c r="D1466" s="1" t="s">
        <v>13</v>
      </c>
      <c r="E1466" s="1" t="s">
        <v>17</v>
      </c>
      <c r="F1466" s="1" t="s">
        <v>25</v>
      </c>
      <c r="G1466" s="4">
        <v>388.58</v>
      </c>
      <c r="H1466" s="1">
        <v>4</v>
      </c>
      <c r="I1466" s="1" t="str">
        <f>TEXT(SalesTable[[#This Row],[Order_Date]],"mmm")</f>
        <v>Jan</v>
      </c>
      <c r="J1466" s="1">
        <f>YEAR(SalesTable[[#This Row],[Order_Date]])</f>
        <v>2026</v>
      </c>
      <c r="K1466" s="4">
        <v>255.64</v>
      </c>
      <c r="L1466" s="9">
        <f>SalesTable[[#This Row],[Profit]]/SalesTable[[#This Row],[Sales]]</f>
        <v>0.65788254670852853</v>
      </c>
    </row>
    <row r="1467" spans="1:12" ht="14" x14ac:dyDescent="0.15">
      <c r="A1467" s="1">
        <v>11466</v>
      </c>
      <c r="B1467" s="2">
        <v>46027</v>
      </c>
      <c r="C1467" s="1" t="s">
        <v>12</v>
      </c>
      <c r="D1467" s="1" t="s">
        <v>15</v>
      </c>
      <c r="E1467" s="1" t="s">
        <v>18</v>
      </c>
      <c r="F1467" s="1" t="s">
        <v>23</v>
      </c>
      <c r="G1467" s="4">
        <v>760.27</v>
      </c>
      <c r="H1467" s="1">
        <v>9</v>
      </c>
      <c r="I1467" s="1" t="str">
        <f>TEXT(SalesTable[[#This Row],[Order_Date]],"mmm")</f>
        <v>Jan</v>
      </c>
      <c r="J1467" s="1">
        <f>YEAR(SalesTable[[#This Row],[Order_Date]])</f>
        <v>2026</v>
      </c>
      <c r="K1467" s="4">
        <v>275.13</v>
      </c>
      <c r="L1467" s="9">
        <f>SalesTable[[#This Row],[Profit]]/SalesTable[[#This Row],[Sales]]</f>
        <v>0.36188459363120995</v>
      </c>
    </row>
    <row r="1468" spans="1:12" ht="14" x14ac:dyDescent="0.15">
      <c r="A1468" s="1">
        <v>11467</v>
      </c>
      <c r="B1468" s="2">
        <v>46028</v>
      </c>
      <c r="C1468" s="1" t="s">
        <v>12</v>
      </c>
      <c r="D1468" s="1" t="s">
        <v>15</v>
      </c>
      <c r="E1468" s="1" t="s">
        <v>19</v>
      </c>
      <c r="F1468" s="1" t="s">
        <v>21</v>
      </c>
      <c r="G1468" s="4">
        <v>573.16</v>
      </c>
      <c r="H1468" s="1">
        <v>9</v>
      </c>
      <c r="I1468" s="1" t="str">
        <f>TEXT(SalesTable[[#This Row],[Order_Date]],"mmm")</f>
        <v>Jan</v>
      </c>
      <c r="J1468" s="1">
        <f>YEAR(SalesTable[[#This Row],[Order_Date]])</f>
        <v>2026</v>
      </c>
      <c r="K1468" s="4">
        <v>-78.55</v>
      </c>
      <c r="L1468" s="9">
        <f>SalesTable[[#This Row],[Profit]]/SalesTable[[#This Row],[Sales]]</f>
        <v>-0.13704724684206854</v>
      </c>
    </row>
    <row r="1469" spans="1:12" ht="14" x14ac:dyDescent="0.15">
      <c r="A1469" s="1">
        <v>11468</v>
      </c>
      <c r="B1469" s="2">
        <v>46029</v>
      </c>
      <c r="C1469" s="1" t="s">
        <v>12</v>
      </c>
      <c r="D1469" s="1" t="s">
        <v>15</v>
      </c>
      <c r="E1469" s="1" t="s">
        <v>17</v>
      </c>
      <c r="F1469" s="1" t="s">
        <v>25</v>
      </c>
      <c r="G1469" s="4">
        <v>825.95</v>
      </c>
      <c r="H1469" s="1">
        <v>8</v>
      </c>
      <c r="I1469" s="1" t="str">
        <f>TEXT(SalesTable[[#This Row],[Order_Date]],"mmm")</f>
        <v>Jan</v>
      </c>
      <c r="J1469" s="1">
        <f>YEAR(SalesTable[[#This Row],[Order_Date]])</f>
        <v>2026</v>
      </c>
      <c r="K1469" s="4">
        <v>100.39</v>
      </c>
      <c r="L1469" s="9">
        <f>SalesTable[[#This Row],[Profit]]/SalesTable[[#This Row],[Sales]]</f>
        <v>0.12154488770506688</v>
      </c>
    </row>
    <row r="1470" spans="1:12" ht="14" x14ac:dyDescent="0.15">
      <c r="A1470" s="1">
        <v>11469</v>
      </c>
      <c r="B1470" s="2">
        <v>46030</v>
      </c>
      <c r="C1470" s="1" t="s">
        <v>10</v>
      </c>
      <c r="D1470" s="1" t="s">
        <v>15</v>
      </c>
      <c r="E1470" s="1" t="s">
        <v>17</v>
      </c>
      <c r="F1470" s="1" t="s">
        <v>25</v>
      </c>
      <c r="G1470" s="4">
        <v>961.61</v>
      </c>
      <c r="H1470" s="1">
        <v>1</v>
      </c>
      <c r="I1470" s="1" t="str">
        <f>TEXT(SalesTable[[#This Row],[Order_Date]],"mmm")</f>
        <v>Jan</v>
      </c>
      <c r="J1470" s="1">
        <f>YEAR(SalesTable[[#This Row],[Order_Date]])</f>
        <v>2026</v>
      </c>
      <c r="K1470" s="4">
        <v>49.99</v>
      </c>
      <c r="L1470" s="9">
        <f>SalesTable[[#This Row],[Profit]]/SalesTable[[#This Row],[Sales]]</f>
        <v>5.1985732261519743E-2</v>
      </c>
    </row>
    <row r="1471" spans="1:12" ht="14" x14ac:dyDescent="0.15">
      <c r="A1471" s="1">
        <v>11470</v>
      </c>
      <c r="B1471" s="2">
        <v>46031</v>
      </c>
      <c r="C1471" s="1" t="s">
        <v>11</v>
      </c>
      <c r="D1471" s="1" t="s">
        <v>15</v>
      </c>
      <c r="E1471" s="1" t="s">
        <v>20</v>
      </c>
      <c r="F1471" s="1" t="s">
        <v>23</v>
      </c>
      <c r="G1471" s="4">
        <v>803.03</v>
      </c>
      <c r="H1471" s="1">
        <v>7</v>
      </c>
      <c r="I1471" s="1" t="str">
        <f>TEXT(SalesTable[[#This Row],[Order_Date]],"mmm")</f>
        <v>Jan</v>
      </c>
      <c r="J1471" s="1">
        <f>YEAR(SalesTable[[#This Row],[Order_Date]])</f>
        <v>2026</v>
      </c>
      <c r="K1471" s="4">
        <v>150.34</v>
      </c>
      <c r="L1471" s="9">
        <f>SalesTable[[#This Row],[Profit]]/SalesTable[[#This Row],[Sales]]</f>
        <v>0.18721591970412066</v>
      </c>
    </row>
    <row r="1472" spans="1:12" ht="14" x14ac:dyDescent="0.15">
      <c r="A1472" s="1">
        <v>11471</v>
      </c>
      <c r="B1472" s="2">
        <v>46032</v>
      </c>
      <c r="C1472" s="1" t="s">
        <v>11</v>
      </c>
      <c r="D1472" s="1" t="s">
        <v>14</v>
      </c>
      <c r="E1472" s="1" t="s">
        <v>18</v>
      </c>
      <c r="F1472" s="1" t="s">
        <v>24</v>
      </c>
      <c r="G1472" s="4">
        <v>623.61</v>
      </c>
      <c r="H1472" s="1">
        <v>5</v>
      </c>
      <c r="I1472" s="1" t="str">
        <f>TEXT(SalesTable[[#This Row],[Order_Date]],"mmm")</f>
        <v>Jan</v>
      </c>
      <c r="J1472" s="1">
        <f>YEAR(SalesTable[[#This Row],[Order_Date]])</f>
        <v>2026</v>
      </c>
      <c r="K1472" s="4">
        <v>217.44</v>
      </c>
      <c r="L1472" s="9">
        <f>SalesTable[[#This Row],[Profit]]/SalesTable[[#This Row],[Sales]]</f>
        <v>0.34867946312599218</v>
      </c>
    </row>
    <row r="1473" spans="1:12" ht="14" x14ac:dyDescent="0.15">
      <c r="A1473" s="1">
        <v>11472</v>
      </c>
      <c r="B1473" s="2">
        <v>46033</v>
      </c>
      <c r="C1473" s="1" t="s">
        <v>12</v>
      </c>
      <c r="D1473" s="1" t="s">
        <v>15</v>
      </c>
      <c r="E1473" s="1" t="s">
        <v>16</v>
      </c>
      <c r="F1473" s="1" t="s">
        <v>24</v>
      </c>
      <c r="G1473" s="4">
        <v>518.66999999999996</v>
      </c>
      <c r="H1473" s="1">
        <v>7</v>
      </c>
      <c r="I1473" s="1" t="str">
        <f>TEXT(SalesTable[[#This Row],[Order_Date]],"mmm")</f>
        <v>Jan</v>
      </c>
      <c r="J1473" s="1">
        <f>YEAR(SalesTable[[#This Row],[Order_Date]])</f>
        <v>2026</v>
      </c>
      <c r="K1473" s="4">
        <v>12.24</v>
      </c>
      <c r="L1473" s="9">
        <f>SalesTable[[#This Row],[Profit]]/SalesTable[[#This Row],[Sales]]</f>
        <v>2.3598820058997053E-2</v>
      </c>
    </row>
    <row r="1474" spans="1:12" ht="14" x14ac:dyDescent="0.15">
      <c r="A1474" s="1">
        <v>11473</v>
      </c>
      <c r="B1474" s="2">
        <v>46034</v>
      </c>
      <c r="C1474" s="1" t="s">
        <v>11</v>
      </c>
      <c r="D1474" s="1" t="s">
        <v>14</v>
      </c>
      <c r="E1474" s="1" t="s">
        <v>19</v>
      </c>
      <c r="F1474" s="1" t="s">
        <v>25</v>
      </c>
      <c r="G1474" s="4">
        <v>88.07</v>
      </c>
      <c r="H1474" s="1">
        <v>9</v>
      </c>
      <c r="I1474" s="1" t="str">
        <f>TEXT(SalesTable[[#This Row],[Order_Date]],"mmm")</f>
        <v>Jan</v>
      </c>
      <c r="J1474" s="1">
        <f>YEAR(SalesTable[[#This Row],[Order_Date]])</f>
        <v>2026</v>
      </c>
      <c r="K1474" s="4">
        <v>122.72</v>
      </c>
      <c r="L1474" s="9">
        <f>SalesTable[[#This Row],[Profit]]/SalesTable[[#This Row],[Sales]]</f>
        <v>1.3934370387192008</v>
      </c>
    </row>
    <row r="1475" spans="1:12" ht="14" x14ac:dyDescent="0.15">
      <c r="A1475" s="1">
        <v>11474</v>
      </c>
      <c r="B1475" s="2">
        <v>46035</v>
      </c>
      <c r="C1475" s="1" t="s">
        <v>12</v>
      </c>
      <c r="D1475" s="1" t="s">
        <v>14</v>
      </c>
      <c r="E1475" s="1" t="s">
        <v>19</v>
      </c>
      <c r="F1475" s="1" t="s">
        <v>23</v>
      </c>
      <c r="G1475" s="4">
        <v>985.11</v>
      </c>
      <c r="H1475" s="1">
        <v>2</v>
      </c>
      <c r="I1475" s="1" t="str">
        <f>TEXT(SalesTable[[#This Row],[Order_Date]],"mmm")</f>
        <v>Jan</v>
      </c>
      <c r="J1475" s="1">
        <f>YEAR(SalesTable[[#This Row],[Order_Date]])</f>
        <v>2026</v>
      </c>
      <c r="K1475" s="4">
        <v>183.49</v>
      </c>
      <c r="L1475" s="9">
        <f>SalesTable[[#This Row],[Profit]]/SalesTable[[#This Row],[Sales]]</f>
        <v>0.18626346296352692</v>
      </c>
    </row>
    <row r="1476" spans="1:12" ht="14" x14ac:dyDescent="0.15">
      <c r="A1476" s="1">
        <v>11475</v>
      </c>
      <c r="B1476" s="2">
        <v>46036</v>
      </c>
      <c r="C1476" s="1" t="s">
        <v>10</v>
      </c>
      <c r="D1476" s="1" t="s">
        <v>14</v>
      </c>
      <c r="E1476" s="1" t="s">
        <v>18</v>
      </c>
      <c r="F1476" s="1" t="s">
        <v>24</v>
      </c>
      <c r="G1476" s="4">
        <v>414.31</v>
      </c>
      <c r="H1476" s="1">
        <v>4</v>
      </c>
      <c r="I1476" s="1" t="str">
        <f>TEXT(SalesTable[[#This Row],[Order_Date]],"mmm")</f>
        <v>Jan</v>
      </c>
      <c r="J1476" s="1">
        <f>YEAR(SalesTable[[#This Row],[Order_Date]])</f>
        <v>2026</v>
      </c>
      <c r="K1476" s="4">
        <v>-46.23</v>
      </c>
      <c r="L1476" s="9">
        <f>SalesTable[[#This Row],[Profit]]/SalesTable[[#This Row],[Sales]]</f>
        <v>-0.11158311409331176</v>
      </c>
    </row>
    <row r="1477" spans="1:12" ht="14" x14ac:dyDescent="0.15">
      <c r="A1477" s="1">
        <v>11476</v>
      </c>
      <c r="B1477" s="2">
        <v>46037</v>
      </c>
      <c r="C1477" s="1" t="s">
        <v>10</v>
      </c>
      <c r="D1477" s="1" t="s">
        <v>13</v>
      </c>
      <c r="E1477" s="1" t="s">
        <v>20</v>
      </c>
      <c r="F1477" s="1" t="s">
        <v>23</v>
      </c>
      <c r="G1477" s="4">
        <v>194.62</v>
      </c>
      <c r="H1477" s="1">
        <v>4</v>
      </c>
      <c r="I1477" s="1" t="str">
        <f>TEXT(SalesTable[[#This Row],[Order_Date]],"mmm")</f>
        <v>Jan</v>
      </c>
      <c r="J1477" s="1">
        <f>YEAR(SalesTable[[#This Row],[Order_Date]])</f>
        <v>2026</v>
      </c>
      <c r="K1477" s="4">
        <v>225.63</v>
      </c>
      <c r="L1477" s="9">
        <f>SalesTable[[#This Row],[Profit]]/SalesTable[[#This Row],[Sales]]</f>
        <v>1.1593361422258761</v>
      </c>
    </row>
    <row r="1478" spans="1:12" ht="14" x14ac:dyDescent="0.15">
      <c r="A1478" s="1">
        <v>11477</v>
      </c>
      <c r="B1478" s="2">
        <v>46038</v>
      </c>
      <c r="C1478" s="1" t="s">
        <v>9</v>
      </c>
      <c r="D1478" s="1" t="s">
        <v>13</v>
      </c>
      <c r="E1478" s="1" t="s">
        <v>20</v>
      </c>
      <c r="F1478" s="1" t="s">
        <v>23</v>
      </c>
      <c r="G1478" s="4">
        <v>683.37</v>
      </c>
      <c r="H1478" s="1">
        <v>2</v>
      </c>
      <c r="I1478" s="1" t="str">
        <f>TEXT(SalesTable[[#This Row],[Order_Date]],"mmm")</f>
        <v>Jan</v>
      </c>
      <c r="J1478" s="1">
        <f>YEAR(SalesTable[[#This Row],[Order_Date]])</f>
        <v>2026</v>
      </c>
      <c r="K1478" s="4">
        <v>142.44</v>
      </c>
      <c r="L1478" s="9">
        <f>SalesTable[[#This Row],[Profit]]/SalesTable[[#This Row],[Sales]]</f>
        <v>0.20843759603143244</v>
      </c>
    </row>
    <row r="1479" spans="1:12" ht="14" x14ac:dyDescent="0.15">
      <c r="A1479" s="1">
        <v>11478</v>
      </c>
      <c r="B1479" s="2">
        <v>46039</v>
      </c>
      <c r="C1479" s="1" t="s">
        <v>10</v>
      </c>
      <c r="D1479" s="1" t="s">
        <v>14</v>
      </c>
      <c r="E1479" s="1" t="s">
        <v>18</v>
      </c>
      <c r="F1479" s="1" t="s">
        <v>25</v>
      </c>
      <c r="G1479" s="4">
        <v>320.07</v>
      </c>
      <c r="H1479" s="1">
        <v>3</v>
      </c>
      <c r="I1479" s="1" t="str">
        <f>TEXT(SalesTable[[#This Row],[Order_Date]],"mmm")</f>
        <v>Jan</v>
      </c>
      <c r="J1479" s="1">
        <f>YEAR(SalesTable[[#This Row],[Order_Date]])</f>
        <v>2026</v>
      </c>
      <c r="K1479" s="4">
        <v>279.81</v>
      </c>
      <c r="L1479" s="9">
        <f>SalesTable[[#This Row],[Profit]]/SalesTable[[#This Row],[Sales]]</f>
        <v>0.87421501546536695</v>
      </c>
    </row>
    <row r="1480" spans="1:12" ht="14" x14ac:dyDescent="0.15">
      <c r="A1480" s="1">
        <v>11479</v>
      </c>
      <c r="B1480" s="2">
        <v>46040</v>
      </c>
      <c r="C1480" s="1" t="s">
        <v>12</v>
      </c>
      <c r="D1480" s="1" t="s">
        <v>13</v>
      </c>
      <c r="E1480" s="1" t="s">
        <v>20</v>
      </c>
      <c r="F1480" s="1" t="s">
        <v>25</v>
      </c>
      <c r="G1480" s="4">
        <v>606.49</v>
      </c>
      <c r="H1480" s="1">
        <v>8</v>
      </c>
      <c r="I1480" s="1" t="str">
        <f>TEXT(SalesTable[[#This Row],[Order_Date]],"mmm")</f>
        <v>Jan</v>
      </c>
      <c r="J1480" s="1">
        <f>YEAR(SalesTable[[#This Row],[Order_Date]])</f>
        <v>2026</v>
      </c>
      <c r="K1480" s="4">
        <v>35.81</v>
      </c>
      <c r="L1480" s="9">
        <f>SalesTable[[#This Row],[Profit]]/SalesTable[[#This Row],[Sales]]</f>
        <v>5.9044666853534274E-2</v>
      </c>
    </row>
    <row r="1481" spans="1:12" ht="14" x14ac:dyDescent="0.15">
      <c r="A1481" s="1">
        <v>11480</v>
      </c>
      <c r="B1481" s="2">
        <v>46041</v>
      </c>
      <c r="C1481" s="1" t="s">
        <v>10</v>
      </c>
      <c r="D1481" s="1" t="s">
        <v>15</v>
      </c>
      <c r="E1481" s="1" t="s">
        <v>19</v>
      </c>
      <c r="F1481" s="1" t="s">
        <v>22</v>
      </c>
      <c r="G1481" s="4">
        <v>607.42999999999995</v>
      </c>
      <c r="H1481" s="1">
        <v>9</v>
      </c>
      <c r="I1481" s="1" t="str">
        <f>TEXT(SalesTable[[#This Row],[Order_Date]],"mmm")</f>
        <v>Jan</v>
      </c>
      <c r="J1481" s="1">
        <f>YEAR(SalesTable[[#This Row],[Order_Date]])</f>
        <v>2026</v>
      </c>
      <c r="K1481" s="4">
        <v>-56.74</v>
      </c>
      <c r="L1481" s="9">
        <f>SalesTable[[#This Row],[Profit]]/SalesTable[[#This Row],[Sales]]</f>
        <v>-9.3409940240027675E-2</v>
      </c>
    </row>
    <row r="1482" spans="1:12" ht="14" x14ac:dyDescent="0.15">
      <c r="A1482" s="1">
        <v>11481</v>
      </c>
      <c r="B1482" s="2">
        <v>46042</v>
      </c>
      <c r="C1482" s="1" t="s">
        <v>9</v>
      </c>
      <c r="D1482" s="1" t="s">
        <v>15</v>
      </c>
      <c r="E1482" s="1" t="s">
        <v>19</v>
      </c>
      <c r="F1482" s="1" t="s">
        <v>24</v>
      </c>
      <c r="G1482" s="4">
        <v>473.44</v>
      </c>
      <c r="H1482" s="1">
        <v>6</v>
      </c>
      <c r="I1482" s="1" t="str">
        <f>TEXT(SalesTable[[#This Row],[Order_Date]],"mmm")</f>
        <v>Jan</v>
      </c>
      <c r="J1482" s="1">
        <f>YEAR(SalesTable[[#This Row],[Order_Date]])</f>
        <v>2026</v>
      </c>
      <c r="K1482" s="4">
        <v>102.6</v>
      </c>
      <c r="L1482" s="9">
        <f>SalesTable[[#This Row],[Profit]]/SalesTable[[#This Row],[Sales]]</f>
        <v>0.21671172693477525</v>
      </c>
    </row>
    <row r="1483" spans="1:12" ht="14" x14ac:dyDescent="0.15">
      <c r="A1483" s="1">
        <v>11482</v>
      </c>
      <c r="B1483" s="2">
        <v>46043</v>
      </c>
      <c r="C1483" s="1" t="s">
        <v>11</v>
      </c>
      <c r="D1483" s="1" t="s">
        <v>14</v>
      </c>
      <c r="E1483" s="1" t="s">
        <v>16</v>
      </c>
      <c r="F1483" s="1" t="s">
        <v>24</v>
      </c>
      <c r="G1483" s="4">
        <v>844.31</v>
      </c>
      <c r="H1483" s="1">
        <v>2</v>
      </c>
      <c r="I1483" s="1" t="str">
        <f>TEXT(SalesTable[[#This Row],[Order_Date]],"mmm")</f>
        <v>Jan</v>
      </c>
      <c r="J1483" s="1">
        <f>YEAR(SalesTable[[#This Row],[Order_Date]])</f>
        <v>2026</v>
      </c>
      <c r="K1483" s="4">
        <v>-65.680000000000007</v>
      </c>
      <c r="L1483" s="9">
        <f>SalesTable[[#This Row],[Profit]]/SalesTable[[#This Row],[Sales]]</f>
        <v>-7.7791332567421934E-2</v>
      </c>
    </row>
    <row r="1484" spans="1:12" ht="14" x14ac:dyDescent="0.15">
      <c r="A1484" s="1">
        <v>11483</v>
      </c>
      <c r="B1484" s="2">
        <v>46044</v>
      </c>
      <c r="C1484" s="1" t="s">
        <v>12</v>
      </c>
      <c r="D1484" s="1" t="s">
        <v>15</v>
      </c>
      <c r="E1484" s="1" t="s">
        <v>18</v>
      </c>
      <c r="F1484" s="1" t="s">
        <v>24</v>
      </c>
      <c r="G1484" s="4">
        <v>301.72000000000003</v>
      </c>
      <c r="H1484" s="1">
        <v>2</v>
      </c>
      <c r="I1484" s="1" t="str">
        <f>TEXT(SalesTable[[#This Row],[Order_Date]],"mmm")</f>
        <v>Jan</v>
      </c>
      <c r="J1484" s="1">
        <f>YEAR(SalesTable[[#This Row],[Order_Date]])</f>
        <v>2026</v>
      </c>
      <c r="K1484" s="4">
        <v>287.81</v>
      </c>
      <c r="L1484" s="9">
        <f>SalesTable[[#This Row],[Profit]]/SalesTable[[#This Row],[Sales]]</f>
        <v>0.95389765345353295</v>
      </c>
    </row>
    <row r="1485" spans="1:12" ht="14" x14ac:dyDescent="0.15">
      <c r="A1485" s="1">
        <v>11484</v>
      </c>
      <c r="B1485" s="2">
        <v>46045</v>
      </c>
      <c r="C1485" s="1" t="s">
        <v>11</v>
      </c>
      <c r="D1485" s="1" t="s">
        <v>14</v>
      </c>
      <c r="E1485" s="1" t="s">
        <v>17</v>
      </c>
      <c r="F1485" s="1" t="s">
        <v>21</v>
      </c>
      <c r="G1485" s="4">
        <v>476.2</v>
      </c>
      <c r="H1485" s="1">
        <v>7</v>
      </c>
      <c r="I1485" s="1" t="str">
        <f>TEXT(SalesTable[[#This Row],[Order_Date]],"mmm")</f>
        <v>Jan</v>
      </c>
      <c r="J1485" s="1">
        <f>YEAR(SalesTable[[#This Row],[Order_Date]])</f>
        <v>2026</v>
      </c>
      <c r="K1485" s="4">
        <v>-84.53</v>
      </c>
      <c r="L1485" s="9">
        <f>SalesTable[[#This Row],[Profit]]/SalesTable[[#This Row],[Sales]]</f>
        <v>-0.17750944981100378</v>
      </c>
    </row>
    <row r="1486" spans="1:12" ht="14" x14ac:dyDescent="0.15">
      <c r="A1486" s="1">
        <v>11485</v>
      </c>
      <c r="B1486" s="2">
        <v>46046</v>
      </c>
      <c r="C1486" s="1" t="s">
        <v>9</v>
      </c>
      <c r="D1486" s="1" t="s">
        <v>14</v>
      </c>
      <c r="E1486" s="1" t="s">
        <v>17</v>
      </c>
      <c r="F1486" s="1" t="s">
        <v>23</v>
      </c>
      <c r="G1486" s="4">
        <v>560.80999999999995</v>
      </c>
      <c r="H1486" s="1">
        <v>8</v>
      </c>
      <c r="I1486" s="1" t="str">
        <f>TEXT(SalesTable[[#This Row],[Order_Date]],"mmm")</f>
        <v>Jan</v>
      </c>
      <c r="J1486" s="1">
        <f>YEAR(SalesTable[[#This Row],[Order_Date]])</f>
        <v>2026</v>
      </c>
      <c r="K1486" s="4">
        <v>201.4</v>
      </c>
      <c r="L1486" s="9">
        <f>SalesTable[[#This Row],[Profit]]/SalesTable[[#This Row],[Sales]]</f>
        <v>0.35912341078083493</v>
      </c>
    </row>
    <row r="1487" spans="1:12" ht="14" x14ac:dyDescent="0.15">
      <c r="A1487" s="1">
        <v>11486</v>
      </c>
      <c r="B1487" s="2">
        <v>46047</v>
      </c>
      <c r="C1487" s="1" t="s">
        <v>9</v>
      </c>
      <c r="D1487" s="1" t="s">
        <v>15</v>
      </c>
      <c r="E1487" s="1" t="s">
        <v>16</v>
      </c>
      <c r="F1487" s="1" t="s">
        <v>25</v>
      </c>
      <c r="G1487" s="4">
        <v>680.44</v>
      </c>
      <c r="H1487" s="1">
        <v>8</v>
      </c>
      <c r="I1487" s="1" t="str">
        <f>TEXT(SalesTable[[#This Row],[Order_Date]],"mmm")</f>
        <v>Jan</v>
      </c>
      <c r="J1487" s="1">
        <f>YEAR(SalesTable[[#This Row],[Order_Date]])</f>
        <v>2026</v>
      </c>
      <c r="K1487" s="4">
        <v>110.04</v>
      </c>
      <c r="L1487" s="9">
        <f>SalesTable[[#This Row],[Profit]]/SalesTable[[#This Row],[Sales]]</f>
        <v>0.16171888777849627</v>
      </c>
    </row>
    <row r="1488" spans="1:12" ht="14" x14ac:dyDescent="0.15">
      <c r="A1488" s="1">
        <v>11487</v>
      </c>
      <c r="B1488" s="2">
        <v>46048</v>
      </c>
      <c r="C1488" s="1" t="s">
        <v>9</v>
      </c>
      <c r="D1488" s="1" t="s">
        <v>13</v>
      </c>
      <c r="E1488" s="1" t="s">
        <v>16</v>
      </c>
      <c r="F1488" s="1" t="s">
        <v>24</v>
      </c>
      <c r="G1488" s="4">
        <v>794.77</v>
      </c>
      <c r="H1488" s="1">
        <v>6</v>
      </c>
      <c r="I1488" s="1" t="str">
        <f>TEXT(SalesTable[[#This Row],[Order_Date]],"mmm")</f>
        <v>Jan</v>
      </c>
      <c r="J1488" s="1">
        <f>YEAR(SalesTable[[#This Row],[Order_Date]])</f>
        <v>2026</v>
      </c>
      <c r="K1488" s="4">
        <v>47.45</v>
      </c>
      <c r="L1488" s="9">
        <f>SalesTable[[#This Row],[Profit]]/SalesTable[[#This Row],[Sales]]</f>
        <v>5.9702807101425573E-2</v>
      </c>
    </row>
    <row r="1489" spans="1:12" ht="14" x14ac:dyDescent="0.15">
      <c r="A1489" s="1">
        <v>11488</v>
      </c>
      <c r="B1489" s="2">
        <v>46049</v>
      </c>
      <c r="C1489" s="1" t="s">
        <v>11</v>
      </c>
      <c r="D1489" s="1" t="s">
        <v>15</v>
      </c>
      <c r="E1489" s="1" t="s">
        <v>20</v>
      </c>
      <c r="F1489" s="1" t="s">
        <v>22</v>
      </c>
      <c r="G1489" s="4">
        <v>425.07</v>
      </c>
      <c r="H1489" s="1">
        <v>8</v>
      </c>
      <c r="I1489" s="1" t="str">
        <f>TEXT(SalesTable[[#This Row],[Order_Date]],"mmm")</f>
        <v>Jan</v>
      </c>
      <c r="J1489" s="1">
        <f>YEAR(SalesTable[[#This Row],[Order_Date]])</f>
        <v>2026</v>
      </c>
      <c r="K1489" s="4">
        <v>-73.66</v>
      </c>
      <c r="L1489" s="9">
        <f>SalesTable[[#This Row],[Profit]]/SalesTable[[#This Row],[Sales]]</f>
        <v>-0.17328910532382902</v>
      </c>
    </row>
    <row r="1490" spans="1:12" ht="14" x14ac:dyDescent="0.15">
      <c r="A1490" s="1">
        <v>11489</v>
      </c>
      <c r="B1490" s="2">
        <v>46050</v>
      </c>
      <c r="C1490" s="1" t="s">
        <v>11</v>
      </c>
      <c r="D1490" s="1" t="s">
        <v>15</v>
      </c>
      <c r="E1490" s="1" t="s">
        <v>16</v>
      </c>
      <c r="F1490" s="1" t="s">
        <v>24</v>
      </c>
      <c r="G1490" s="4">
        <v>663.74</v>
      </c>
      <c r="H1490" s="1">
        <v>1</v>
      </c>
      <c r="I1490" s="1" t="str">
        <f>TEXT(SalesTable[[#This Row],[Order_Date]],"mmm")</f>
        <v>Jan</v>
      </c>
      <c r="J1490" s="1">
        <f>YEAR(SalesTable[[#This Row],[Order_Date]])</f>
        <v>2026</v>
      </c>
      <c r="K1490" s="4">
        <v>148.87</v>
      </c>
      <c r="L1490" s="9">
        <f>SalesTable[[#This Row],[Profit]]/SalesTable[[#This Row],[Sales]]</f>
        <v>0.2242896314822069</v>
      </c>
    </row>
    <row r="1491" spans="1:12" ht="14" x14ac:dyDescent="0.15">
      <c r="A1491" s="1">
        <v>11490</v>
      </c>
      <c r="B1491" s="2">
        <v>46051</v>
      </c>
      <c r="C1491" s="1" t="s">
        <v>11</v>
      </c>
      <c r="D1491" s="1" t="s">
        <v>14</v>
      </c>
      <c r="E1491" s="1" t="s">
        <v>16</v>
      </c>
      <c r="F1491" s="1" t="s">
        <v>23</v>
      </c>
      <c r="G1491" s="4">
        <v>193.08</v>
      </c>
      <c r="H1491" s="1">
        <v>9</v>
      </c>
      <c r="I1491" s="1" t="str">
        <f>TEXT(SalesTable[[#This Row],[Order_Date]],"mmm")</f>
        <v>Jan</v>
      </c>
      <c r="J1491" s="1">
        <f>YEAR(SalesTable[[#This Row],[Order_Date]])</f>
        <v>2026</v>
      </c>
      <c r="K1491" s="4">
        <v>134.09</v>
      </c>
      <c r="L1491" s="9">
        <f>SalesTable[[#This Row],[Profit]]/SalesTable[[#This Row],[Sales]]</f>
        <v>0.69447897244665424</v>
      </c>
    </row>
    <row r="1492" spans="1:12" ht="14" x14ac:dyDescent="0.15">
      <c r="A1492" s="1">
        <v>11491</v>
      </c>
      <c r="B1492" s="2">
        <v>46052</v>
      </c>
      <c r="C1492" s="1" t="s">
        <v>11</v>
      </c>
      <c r="D1492" s="1" t="s">
        <v>14</v>
      </c>
      <c r="E1492" s="1" t="s">
        <v>17</v>
      </c>
      <c r="F1492" s="1" t="s">
        <v>23</v>
      </c>
      <c r="G1492" s="4">
        <v>936.02</v>
      </c>
      <c r="H1492" s="1">
        <v>1</v>
      </c>
      <c r="I1492" s="1" t="str">
        <f>TEXT(SalesTable[[#This Row],[Order_Date]],"mmm")</f>
        <v>Jan</v>
      </c>
      <c r="J1492" s="1">
        <f>YEAR(SalesTable[[#This Row],[Order_Date]])</f>
        <v>2026</v>
      </c>
      <c r="K1492" s="4">
        <v>12.35</v>
      </c>
      <c r="L1492" s="9">
        <f>SalesTable[[#This Row],[Profit]]/SalesTable[[#This Row],[Sales]]</f>
        <v>1.3194162517894917E-2</v>
      </c>
    </row>
    <row r="1493" spans="1:12" ht="14" x14ac:dyDescent="0.15">
      <c r="A1493" s="1">
        <v>11492</v>
      </c>
      <c r="B1493" s="2">
        <v>46053</v>
      </c>
      <c r="C1493" s="1" t="s">
        <v>9</v>
      </c>
      <c r="D1493" s="1" t="s">
        <v>14</v>
      </c>
      <c r="E1493" s="1" t="s">
        <v>20</v>
      </c>
      <c r="F1493" s="1" t="s">
        <v>25</v>
      </c>
      <c r="G1493" s="4">
        <v>413.91</v>
      </c>
      <c r="H1493" s="1">
        <v>3</v>
      </c>
      <c r="I1493" s="1" t="str">
        <f>TEXT(SalesTable[[#This Row],[Order_Date]],"mmm")</f>
        <v>Jan</v>
      </c>
      <c r="J1493" s="1">
        <f>YEAR(SalesTable[[#This Row],[Order_Date]])</f>
        <v>2026</v>
      </c>
      <c r="K1493" s="4">
        <v>264.08999999999997</v>
      </c>
      <c r="L1493" s="9">
        <f>SalesTable[[#This Row],[Profit]]/SalesTable[[#This Row],[Sales]]</f>
        <v>0.63803725447561055</v>
      </c>
    </row>
    <row r="1494" spans="1:12" ht="14" x14ac:dyDescent="0.15">
      <c r="A1494" s="1">
        <v>11493</v>
      </c>
      <c r="B1494" s="2">
        <v>46054</v>
      </c>
      <c r="C1494" s="1" t="s">
        <v>9</v>
      </c>
      <c r="D1494" s="1" t="s">
        <v>14</v>
      </c>
      <c r="E1494" s="1" t="s">
        <v>16</v>
      </c>
      <c r="F1494" s="1" t="s">
        <v>21</v>
      </c>
      <c r="G1494" s="4">
        <v>743.05</v>
      </c>
      <c r="H1494" s="1">
        <v>9</v>
      </c>
      <c r="I1494" s="1" t="str">
        <f>TEXT(SalesTable[[#This Row],[Order_Date]],"mmm")</f>
        <v>Feb</v>
      </c>
      <c r="J1494" s="1">
        <f>YEAR(SalesTable[[#This Row],[Order_Date]])</f>
        <v>2026</v>
      </c>
      <c r="K1494" s="4">
        <v>21.64</v>
      </c>
      <c r="L1494" s="9">
        <f>SalesTable[[#This Row],[Profit]]/SalesTable[[#This Row],[Sales]]</f>
        <v>2.9123208397819799E-2</v>
      </c>
    </row>
    <row r="1495" spans="1:12" ht="14" x14ac:dyDescent="0.15">
      <c r="A1495" s="1">
        <v>11494</v>
      </c>
      <c r="B1495" s="2">
        <v>46055</v>
      </c>
      <c r="C1495" s="1" t="s">
        <v>12</v>
      </c>
      <c r="D1495" s="1" t="s">
        <v>13</v>
      </c>
      <c r="E1495" s="1" t="s">
        <v>16</v>
      </c>
      <c r="F1495" s="1" t="s">
        <v>25</v>
      </c>
      <c r="G1495" s="4">
        <v>69.319999999999993</v>
      </c>
      <c r="H1495" s="1">
        <v>5</v>
      </c>
      <c r="I1495" s="1" t="str">
        <f>TEXT(SalesTable[[#This Row],[Order_Date]],"mmm")</f>
        <v>Feb</v>
      </c>
      <c r="J1495" s="1">
        <f>YEAR(SalesTable[[#This Row],[Order_Date]])</f>
        <v>2026</v>
      </c>
      <c r="K1495" s="4">
        <v>79.89</v>
      </c>
      <c r="L1495" s="9">
        <f>SalesTable[[#This Row],[Profit]]/SalesTable[[#This Row],[Sales]]</f>
        <v>1.1524812463935374</v>
      </c>
    </row>
    <row r="1496" spans="1:12" ht="14" x14ac:dyDescent="0.15">
      <c r="A1496" s="1">
        <v>11495</v>
      </c>
      <c r="B1496" s="2">
        <v>46056</v>
      </c>
      <c r="C1496" s="1" t="s">
        <v>12</v>
      </c>
      <c r="D1496" s="1" t="s">
        <v>13</v>
      </c>
      <c r="E1496" s="1" t="s">
        <v>20</v>
      </c>
      <c r="F1496" s="1" t="s">
        <v>24</v>
      </c>
      <c r="G1496" s="4">
        <v>244.93</v>
      </c>
      <c r="H1496" s="1">
        <v>9</v>
      </c>
      <c r="I1496" s="1" t="str">
        <f>TEXT(SalesTable[[#This Row],[Order_Date]],"mmm")</f>
        <v>Feb</v>
      </c>
      <c r="J1496" s="1">
        <f>YEAR(SalesTable[[#This Row],[Order_Date]])</f>
        <v>2026</v>
      </c>
      <c r="K1496" s="4">
        <v>117.5</v>
      </c>
      <c r="L1496" s="9">
        <f>SalesTable[[#This Row],[Profit]]/SalesTable[[#This Row],[Sales]]</f>
        <v>0.47972890213530395</v>
      </c>
    </row>
    <row r="1497" spans="1:12" ht="14" x14ac:dyDescent="0.15">
      <c r="A1497" s="1">
        <v>11496</v>
      </c>
      <c r="B1497" s="2">
        <v>46057</v>
      </c>
      <c r="C1497" s="1" t="s">
        <v>11</v>
      </c>
      <c r="D1497" s="1" t="s">
        <v>13</v>
      </c>
      <c r="E1497" s="1" t="s">
        <v>18</v>
      </c>
      <c r="F1497" s="1" t="s">
        <v>22</v>
      </c>
      <c r="G1497" s="4">
        <v>512.73</v>
      </c>
      <c r="H1497" s="1">
        <v>9</v>
      </c>
      <c r="I1497" s="1" t="str">
        <f>TEXT(SalesTable[[#This Row],[Order_Date]],"mmm")</f>
        <v>Feb</v>
      </c>
      <c r="J1497" s="1">
        <f>YEAR(SalesTable[[#This Row],[Order_Date]])</f>
        <v>2026</v>
      </c>
      <c r="K1497" s="4">
        <v>-59.91</v>
      </c>
      <c r="L1497" s="9">
        <f>SalesTable[[#This Row],[Profit]]/SalesTable[[#This Row],[Sales]]</f>
        <v>-0.11684512316423848</v>
      </c>
    </row>
    <row r="1498" spans="1:12" ht="14" x14ac:dyDescent="0.15">
      <c r="A1498" s="1">
        <v>11497</v>
      </c>
      <c r="B1498" s="2">
        <v>46058</v>
      </c>
      <c r="C1498" s="1" t="s">
        <v>10</v>
      </c>
      <c r="D1498" s="1" t="s">
        <v>14</v>
      </c>
      <c r="E1498" s="1" t="s">
        <v>20</v>
      </c>
      <c r="F1498" s="1" t="s">
        <v>25</v>
      </c>
      <c r="G1498" s="4">
        <v>884.34</v>
      </c>
      <c r="H1498" s="1">
        <v>6</v>
      </c>
      <c r="I1498" s="1" t="str">
        <f>TEXT(SalesTable[[#This Row],[Order_Date]],"mmm")</f>
        <v>Feb</v>
      </c>
      <c r="J1498" s="1">
        <f>YEAR(SalesTable[[#This Row],[Order_Date]])</f>
        <v>2026</v>
      </c>
      <c r="K1498" s="4">
        <v>272.86</v>
      </c>
      <c r="L1498" s="9">
        <f>SalesTable[[#This Row],[Profit]]/SalesTable[[#This Row],[Sales]]</f>
        <v>0.3085464866454079</v>
      </c>
    </row>
    <row r="1499" spans="1:12" ht="14" x14ac:dyDescent="0.15">
      <c r="A1499" s="1">
        <v>11498</v>
      </c>
      <c r="B1499" s="2">
        <v>46059</v>
      </c>
      <c r="C1499" s="1" t="s">
        <v>10</v>
      </c>
      <c r="D1499" s="1" t="s">
        <v>14</v>
      </c>
      <c r="E1499" s="1" t="s">
        <v>17</v>
      </c>
      <c r="F1499" s="1" t="s">
        <v>21</v>
      </c>
      <c r="G1499" s="4">
        <v>550.89</v>
      </c>
      <c r="H1499" s="1">
        <v>1</v>
      </c>
      <c r="I1499" s="1" t="str">
        <f>TEXT(SalesTable[[#This Row],[Order_Date]],"mmm")</f>
        <v>Feb</v>
      </c>
      <c r="J1499" s="1">
        <f>YEAR(SalesTable[[#This Row],[Order_Date]])</f>
        <v>2026</v>
      </c>
      <c r="K1499" s="4">
        <v>49.81</v>
      </c>
      <c r="L1499" s="9">
        <f>SalesTable[[#This Row],[Profit]]/SalesTable[[#This Row],[Sales]]</f>
        <v>9.041732469276989E-2</v>
      </c>
    </row>
    <row r="1500" spans="1:12" ht="14" x14ac:dyDescent="0.15">
      <c r="A1500" s="1">
        <v>11499</v>
      </c>
      <c r="B1500" s="2">
        <v>46060</v>
      </c>
      <c r="C1500" s="1" t="s">
        <v>9</v>
      </c>
      <c r="D1500" s="1" t="s">
        <v>14</v>
      </c>
      <c r="E1500" s="1" t="s">
        <v>18</v>
      </c>
      <c r="F1500" s="1" t="s">
        <v>25</v>
      </c>
      <c r="G1500" s="4">
        <v>933.38</v>
      </c>
      <c r="H1500" s="1">
        <v>7</v>
      </c>
      <c r="I1500" s="1" t="str">
        <f>TEXT(SalesTable[[#This Row],[Order_Date]],"mmm")</f>
        <v>Feb</v>
      </c>
      <c r="J1500" s="1">
        <f>YEAR(SalesTable[[#This Row],[Order_Date]])</f>
        <v>2026</v>
      </c>
      <c r="K1500" s="4">
        <v>-67.69</v>
      </c>
      <c r="L1500" s="9">
        <f>SalesTable[[#This Row],[Profit]]/SalesTable[[#This Row],[Sales]]</f>
        <v>-7.2521373931303437E-2</v>
      </c>
    </row>
    <row r="1501" spans="1:12" ht="14" x14ac:dyDescent="0.15">
      <c r="A1501" s="1">
        <v>11500</v>
      </c>
      <c r="B1501" s="2">
        <v>46061</v>
      </c>
      <c r="C1501" s="1" t="s">
        <v>9</v>
      </c>
      <c r="D1501" s="1" t="s">
        <v>13</v>
      </c>
      <c r="E1501" s="1" t="s">
        <v>19</v>
      </c>
      <c r="F1501" s="1" t="s">
        <v>23</v>
      </c>
      <c r="G1501" s="4">
        <v>509.61</v>
      </c>
      <c r="H1501" s="1">
        <v>6</v>
      </c>
      <c r="I1501" s="1" t="str">
        <f>TEXT(SalesTable[[#This Row],[Order_Date]],"mmm")</f>
        <v>Feb</v>
      </c>
      <c r="J1501" s="1">
        <f>YEAR(SalesTable[[#This Row],[Order_Date]])</f>
        <v>2026</v>
      </c>
      <c r="K1501" s="4">
        <v>54.92</v>
      </c>
      <c r="L1501" s="9">
        <f>SalesTable[[#This Row],[Profit]]/SalesTable[[#This Row],[Sales]]</f>
        <v>0.10776868585781284</v>
      </c>
    </row>
    <row r="1502" spans="1:12" ht="14" x14ac:dyDescent="0.15">
      <c r="A1502" s="1">
        <v>11501</v>
      </c>
      <c r="B1502" s="2">
        <v>46062</v>
      </c>
      <c r="C1502" s="1" t="s">
        <v>9</v>
      </c>
      <c r="D1502" s="1" t="s">
        <v>14</v>
      </c>
      <c r="E1502" s="1" t="s">
        <v>20</v>
      </c>
      <c r="F1502" s="1" t="s">
        <v>24</v>
      </c>
      <c r="G1502" s="4">
        <v>515.92999999999995</v>
      </c>
      <c r="H1502" s="1">
        <v>9</v>
      </c>
      <c r="I1502" s="1" t="str">
        <f>TEXT(SalesTable[[#This Row],[Order_Date]],"mmm")</f>
        <v>Feb</v>
      </c>
      <c r="J1502" s="1">
        <f>YEAR(SalesTable[[#This Row],[Order_Date]])</f>
        <v>2026</v>
      </c>
      <c r="K1502" s="4">
        <v>140.08000000000001</v>
      </c>
      <c r="L1502" s="9">
        <f>SalesTable[[#This Row],[Profit]]/SalesTable[[#This Row],[Sales]]</f>
        <v>0.27150970092842058</v>
      </c>
    </row>
    <row r="1503" spans="1:12" ht="14" x14ac:dyDescent="0.15">
      <c r="A1503" s="1">
        <v>11502</v>
      </c>
      <c r="B1503" s="2">
        <v>46063</v>
      </c>
      <c r="C1503" s="1" t="s">
        <v>12</v>
      </c>
      <c r="D1503" s="1" t="s">
        <v>15</v>
      </c>
      <c r="E1503" s="1" t="s">
        <v>17</v>
      </c>
      <c r="F1503" s="1" t="s">
        <v>24</v>
      </c>
      <c r="G1503" s="4">
        <v>163.76</v>
      </c>
      <c r="H1503" s="1">
        <v>7</v>
      </c>
      <c r="I1503" s="1" t="str">
        <f>TEXT(SalesTable[[#This Row],[Order_Date]],"mmm")</f>
        <v>Feb</v>
      </c>
      <c r="J1503" s="1">
        <f>YEAR(SalesTable[[#This Row],[Order_Date]])</f>
        <v>2026</v>
      </c>
      <c r="K1503" s="4">
        <v>105.46</v>
      </c>
      <c r="L1503" s="9">
        <f>SalesTable[[#This Row],[Profit]]/SalesTable[[#This Row],[Sales]]</f>
        <v>0.64399120664386911</v>
      </c>
    </row>
    <row r="1504" spans="1:12" ht="14" x14ac:dyDescent="0.15">
      <c r="A1504" s="1">
        <v>11503</v>
      </c>
      <c r="B1504" s="2">
        <v>46064</v>
      </c>
      <c r="C1504" s="1" t="s">
        <v>12</v>
      </c>
      <c r="D1504" s="1" t="s">
        <v>15</v>
      </c>
      <c r="E1504" s="1" t="s">
        <v>18</v>
      </c>
      <c r="F1504" s="1" t="s">
        <v>24</v>
      </c>
      <c r="G1504" s="4">
        <v>812.52</v>
      </c>
      <c r="H1504" s="1">
        <v>4</v>
      </c>
      <c r="I1504" s="1" t="str">
        <f>TEXT(SalesTable[[#This Row],[Order_Date]],"mmm")</f>
        <v>Feb</v>
      </c>
      <c r="J1504" s="1">
        <f>YEAR(SalesTable[[#This Row],[Order_Date]])</f>
        <v>2026</v>
      </c>
      <c r="K1504" s="4">
        <v>177.82</v>
      </c>
      <c r="L1504" s="9">
        <f>SalesTable[[#This Row],[Profit]]/SalesTable[[#This Row],[Sales]]</f>
        <v>0.21884999753852213</v>
      </c>
    </row>
    <row r="1505" spans="1:12" ht="14" x14ac:dyDescent="0.15">
      <c r="A1505" s="1">
        <v>11504</v>
      </c>
      <c r="B1505" s="2">
        <v>46065</v>
      </c>
      <c r="C1505" s="1" t="s">
        <v>9</v>
      </c>
      <c r="D1505" s="1" t="s">
        <v>14</v>
      </c>
      <c r="E1505" s="1" t="s">
        <v>20</v>
      </c>
      <c r="F1505" s="1" t="s">
        <v>24</v>
      </c>
      <c r="G1505" s="4">
        <v>284.62</v>
      </c>
      <c r="H1505" s="1">
        <v>7</v>
      </c>
      <c r="I1505" s="1" t="str">
        <f>TEXT(SalesTable[[#This Row],[Order_Date]],"mmm")</f>
        <v>Feb</v>
      </c>
      <c r="J1505" s="1">
        <f>YEAR(SalesTable[[#This Row],[Order_Date]])</f>
        <v>2026</v>
      </c>
      <c r="K1505" s="4">
        <v>-77.81</v>
      </c>
      <c r="L1505" s="9">
        <f>SalesTable[[#This Row],[Profit]]/SalesTable[[#This Row],[Sales]]</f>
        <v>-0.27338205326400111</v>
      </c>
    </row>
    <row r="1506" spans="1:12" ht="14" x14ac:dyDescent="0.15">
      <c r="A1506" s="1">
        <v>11505</v>
      </c>
      <c r="B1506" s="2">
        <v>46066</v>
      </c>
      <c r="C1506" s="1" t="s">
        <v>9</v>
      </c>
      <c r="D1506" s="1" t="s">
        <v>15</v>
      </c>
      <c r="E1506" s="1" t="s">
        <v>16</v>
      </c>
      <c r="F1506" s="1" t="s">
        <v>24</v>
      </c>
      <c r="G1506" s="4">
        <v>904.63</v>
      </c>
      <c r="H1506" s="1">
        <v>2</v>
      </c>
      <c r="I1506" s="1" t="str">
        <f>TEXT(SalesTable[[#This Row],[Order_Date]],"mmm")</f>
        <v>Feb</v>
      </c>
      <c r="J1506" s="1">
        <f>YEAR(SalesTable[[#This Row],[Order_Date]])</f>
        <v>2026</v>
      </c>
      <c r="K1506" s="4">
        <v>13.82</v>
      </c>
      <c r="L1506" s="9">
        <f>SalesTable[[#This Row],[Profit]]/SalesTable[[#This Row],[Sales]]</f>
        <v>1.5276964062655451E-2</v>
      </c>
    </row>
    <row r="1507" spans="1:12" ht="14" x14ac:dyDescent="0.15">
      <c r="A1507" s="1">
        <v>11506</v>
      </c>
      <c r="B1507" s="2">
        <v>46067</v>
      </c>
      <c r="C1507" s="1" t="s">
        <v>9</v>
      </c>
      <c r="D1507" s="1" t="s">
        <v>15</v>
      </c>
      <c r="E1507" s="1" t="s">
        <v>20</v>
      </c>
      <c r="F1507" s="1" t="s">
        <v>24</v>
      </c>
      <c r="G1507" s="4">
        <v>915.28</v>
      </c>
      <c r="H1507" s="1">
        <v>6</v>
      </c>
      <c r="I1507" s="1" t="str">
        <f>TEXT(SalesTable[[#This Row],[Order_Date]],"mmm")</f>
        <v>Feb</v>
      </c>
      <c r="J1507" s="1">
        <f>YEAR(SalesTable[[#This Row],[Order_Date]])</f>
        <v>2026</v>
      </c>
      <c r="K1507" s="4">
        <v>227.69</v>
      </c>
      <c r="L1507" s="9">
        <f>SalesTable[[#This Row],[Profit]]/SalesTable[[#This Row],[Sales]]</f>
        <v>0.24876540512192991</v>
      </c>
    </row>
    <row r="1508" spans="1:12" ht="14" x14ac:dyDescent="0.15">
      <c r="A1508" s="1">
        <v>11507</v>
      </c>
      <c r="B1508" s="2">
        <v>46068</v>
      </c>
      <c r="C1508" s="1" t="s">
        <v>10</v>
      </c>
      <c r="D1508" s="1" t="s">
        <v>13</v>
      </c>
      <c r="E1508" s="1" t="s">
        <v>19</v>
      </c>
      <c r="F1508" s="1" t="s">
        <v>22</v>
      </c>
      <c r="G1508" s="4">
        <v>946.14</v>
      </c>
      <c r="H1508" s="1">
        <v>6</v>
      </c>
      <c r="I1508" s="1" t="str">
        <f>TEXT(SalesTable[[#This Row],[Order_Date]],"mmm")</f>
        <v>Feb</v>
      </c>
      <c r="J1508" s="1">
        <f>YEAR(SalesTable[[#This Row],[Order_Date]])</f>
        <v>2026</v>
      </c>
      <c r="K1508" s="4">
        <v>-68.040000000000006</v>
      </c>
      <c r="L1508" s="9">
        <f>SalesTable[[#This Row],[Profit]]/SalesTable[[#This Row],[Sales]]</f>
        <v>-7.1913247510939193E-2</v>
      </c>
    </row>
    <row r="1509" spans="1:12" ht="14" x14ac:dyDescent="0.15">
      <c r="A1509" s="1">
        <v>11508</v>
      </c>
      <c r="B1509" s="2">
        <v>46069</v>
      </c>
      <c r="C1509" s="1" t="s">
        <v>12</v>
      </c>
      <c r="D1509" s="1" t="s">
        <v>14</v>
      </c>
      <c r="E1509" s="1" t="s">
        <v>20</v>
      </c>
      <c r="F1509" s="1" t="s">
        <v>21</v>
      </c>
      <c r="G1509" s="4">
        <v>544.22</v>
      </c>
      <c r="H1509" s="1">
        <v>2</v>
      </c>
      <c r="I1509" s="1" t="str">
        <f>TEXT(SalesTable[[#This Row],[Order_Date]],"mmm")</f>
        <v>Feb</v>
      </c>
      <c r="J1509" s="1">
        <f>YEAR(SalesTable[[#This Row],[Order_Date]])</f>
        <v>2026</v>
      </c>
      <c r="K1509" s="4">
        <v>242.19</v>
      </c>
      <c r="L1509" s="9">
        <f>SalesTable[[#This Row],[Profit]]/SalesTable[[#This Row],[Sales]]</f>
        <v>0.44502223365550692</v>
      </c>
    </row>
    <row r="1510" spans="1:12" ht="14" x14ac:dyDescent="0.15">
      <c r="A1510" s="1">
        <v>11509</v>
      </c>
      <c r="B1510" s="2">
        <v>46070</v>
      </c>
      <c r="C1510" s="1" t="s">
        <v>10</v>
      </c>
      <c r="D1510" s="1" t="s">
        <v>14</v>
      </c>
      <c r="E1510" s="1" t="s">
        <v>18</v>
      </c>
      <c r="F1510" s="1" t="s">
        <v>24</v>
      </c>
      <c r="G1510" s="4">
        <v>693.24</v>
      </c>
      <c r="H1510" s="1">
        <v>4</v>
      </c>
      <c r="I1510" s="1" t="str">
        <f>TEXT(SalesTable[[#This Row],[Order_Date]],"mmm")</f>
        <v>Feb</v>
      </c>
      <c r="J1510" s="1">
        <f>YEAR(SalesTable[[#This Row],[Order_Date]])</f>
        <v>2026</v>
      </c>
      <c r="K1510" s="4">
        <v>-63.24</v>
      </c>
      <c r="L1510" s="9">
        <f>SalesTable[[#This Row],[Profit]]/SalesTable[[#This Row],[Sales]]</f>
        <v>-9.1223818590964165E-2</v>
      </c>
    </row>
    <row r="1511" spans="1:12" ht="14" x14ac:dyDescent="0.15">
      <c r="A1511" s="1">
        <v>11510</v>
      </c>
      <c r="B1511" s="2">
        <v>46071</v>
      </c>
      <c r="C1511" s="1" t="s">
        <v>10</v>
      </c>
      <c r="D1511" s="1" t="s">
        <v>13</v>
      </c>
      <c r="E1511" s="1" t="s">
        <v>18</v>
      </c>
      <c r="F1511" s="1" t="s">
        <v>21</v>
      </c>
      <c r="G1511" s="4">
        <v>789.59</v>
      </c>
      <c r="H1511" s="1">
        <v>8</v>
      </c>
      <c r="I1511" s="1" t="str">
        <f>TEXT(SalesTable[[#This Row],[Order_Date]],"mmm")</f>
        <v>Feb</v>
      </c>
      <c r="J1511" s="1">
        <f>YEAR(SalesTable[[#This Row],[Order_Date]])</f>
        <v>2026</v>
      </c>
      <c r="K1511" s="4">
        <v>233.78</v>
      </c>
      <c r="L1511" s="9">
        <f>SalesTable[[#This Row],[Profit]]/SalesTable[[#This Row],[Sales]]</f>
        <v>0.29607771121721399</v>
      </c>
    </row>
    <row r="1512" spans="1:12" ht="14" x14ac:dyDescent="0.15">
      <c r="A1512" s="1">
        <v>11511</v>
      </c>
      <c r="B1512" s="2">
        <v>46072</v>
      </c>
      <c r="C1512" s="1" t="s">
        <v>9</v>
      </c>
      <c r="D1512" s="1" t="s">
        <v>15</v>
      </c>
      <c r="E1512" s="1" t="s">
        <v>20</v>
      </c>
      <c r="F1512" s="1" t="s">
        <v>24</v>
      </c>
      <c r="G1512" s="4">
        <v>174.46</v>
      </c>
      <c r="H1512" s="1">
        <v>8</v>
      </c>
      <c r="I1512" s="1" t="str">
        <f>TEXT(SalesTable[[#This Row],[Order_Date]],"mmm")</f>
        <v>Feb</v>
      </c>
      <c r="J1512" s="1">
        <f>YEAR(SalesTable[[#This Row],[Order_Date]])</f>
        <v>2026</v>
      </c>
      <c r="K1512" s="4">
        <v>44.32</v>
      </c>
      <c r="L1512" s="9">
        <f>SalesTable[[#This Row],[Profit]]/SalesTable[[#This Row],[Sales]]</f>
        <v>0.25404104092628682</v>
      </c>
    </row>
    <row r="1513" spans="1:12" ht="14" x14ac:dyDescent="0.15">
      <c r="A1513" s="1">
        <v>11512</v>
      </c>
      <c r="B1513" s="2">
        <v>46073</v>
      </c>
      <c r="C1513" s="1" t="s">
        <v>9</v>
      </c>
      <c r="D1513" s="1" t="s">
        <v>15</v>
      </c>
      <c r="E1513" s="1" t="s">
        <v>18</v>
      </c>
      <c r="F1513" s="1" t="s">
        <v>25</v>
      </c>
      <c r="G1513" s="4">
        <v>620.91</v>
      </c>
      <c r="H1513" s="1">
        <v>8</v>
      </c>
      <c r="I1513" s="1" t="str">
        <f>TEXT(SalesTable[[#This Row],[Order_Date]],"mmm")</f>
        <v>Feb</v>
      </c>
      <c r="J1513" s="1">
        <f>YEAR(SalesTable[[#This Row],[Order_Date]])</f>
        <v>2026</v>
      </c>
      <c r="K1513" s="4">
        <v>144.88</v>
      </c>
      <c r="L1513" s="9">
        <f>SalesTable[[#This Row],[Profit]]/SalesTable[[#This Row],[Sales]]</f>
        <v>0.23333494387270298</v>
      </c>
    </row>
    <row r="1514" spans="1:12" ht="14" x14ac:dyDescent="0.15">
      <c r="A1514" s="1">
        <v>11513</v>
      </c>
      <c r="B1514" s="2">
        <v>46074</v>
      </c>
      <c r="C1514" s="1" t="s">
        <v>11</v>
      </c>
      <c r="D1514" s="1" t="s">
        <v>14</v>
      </c>
      <c r="E1514" s="1" t="s">
        <v>16</v>
      </c>
      <c r="F1514" s="1" t="s">
        <v>24</v>
      </c>
      <c r="G1514" s="4">
        <v>82.58</v>
      </c>
      <c r="H1514" s="1">
        <v>8</v>
      </c>
      <c r="I1514" s="1" t="str">
        <f>TEXT(SalesTable[[#This Row],[Order_Date]],"mmm")</f>
        <v>Feb</v>
      </c>
      <c r="J1514" s="1">
        <f>YEAR(SalesTable[[#This Row],[Order_Date]])</f>
        <v>2026</v>
      </c>
      <c r="K1514" s="4">
        <v>-38.85</v>
      </c>
      <c r="L1514" s="9">
        <f>SalesTable[[#This Row],[Profit]]/SalesTable[[#This Row],[Sales]]</f>
        <v>-0.47045289416323566</v>
      </c>
    </row>
    <row r="1515" spans="1:12" ht="14" x14ac:dyDescent="0.15">
      <c r="A1515" s="1">
        <v>11514</v>
      </c>
      <c r="B1515" s="2">
        <v>46075</v>
      </c>
      <c r="C1515" s="1" t="s">
        <v>11</v>
      </c>
      <c r="D1515" s="1" t="s">
        <v>15</v>
      </c>
      <c r="E1515" s="1" t="s">
        <v>20</v>
      </c>
      <c r="F1515" s="1" t="s">
        <v>23</v>
      </c>
      <c r="G1515" s="4">
        <v>522.69000000000005</v>
      </c>
      <c r="H1515" s="1">
        <v>1</v>
      </c>
      <c r="I1515" s="1" t="str">
        <f>TEXT(SalesTable[[#This Row],[Order_Date]],"mmm")</f>
        <v>Feb</v>
      </c>
      <c r="J1515" s="1">
        <f>YEAR(SalesTable[[#This Row],[Order_Date]])</f>
        <v>2026</v>
      </c>
      <c r="K1515" s="4">
        <v>-73.53</v>
      </c>
      <c r="L1515" s="9">
        <f>SalesTable[[#This Row],[Profit]]/SalesTable[[#This Row],[Sales]]</f>
        <v>-0.14067611777535441</v>
      </c>
    </row>
    <row r="1516" spans="1:12" ht="14" x14ac:dyDescent="0.15">
      <c r="A1516" s="1">
        <v>11515</v>
      </c>
      <c r="B1516" s="2">
        <v>46076</v>
      </c>
      <c r="C1516" s="1" t="s">
        <v>10</v>
      </c>
      <c r="D1516" s="1" t="s">
        <v>13</v>
      </c>
      <c r="E1516" s="1" t="s">
        <v>16</v>
      </c>
      <c r="F1516" s="1" t="s">
        <v>22</v>
      </c>
      <c r="G1516" s="4">
        <v>197.1</v>
      </c>
      <c r="H1516" s="1">
        <v>2</v>
      </c>
      <c r="I1516" s="1" t="str">
        <f>TEXT(SalesTable[[#This Row],[Order_Date]],"mmm")</f>
        <v>Feb</v>
      </c>
      <c r="J1516" s="1">
        <f>YEAR(SalesTable[[#This Row],[Order_Date]])</f>
        <v>2026</v>
      </c>
      <c r="K1516" s="4">
        <v>-13.62</v>
      </c>
      <c r="L1516" s="9">
        <f>SalesTable[[#This Row],[Profit]]/SalesTable[[#This Row],[Sales]]</f>
        <v>-6.9101978691019791E-2</v>
      </c>
    </row>
    <row r="1517" spans="1:12" ht="14" x14ac:dyDescent="0.15">
      <c r="A1517" s="1">
        <v>11516</v>
      </c>
      <c r="B1517" s="2">
        <v>46077</v>
      </c>
      <c r="C1517" s="1" t="s">
        <v>12</v>
      </c>
      <c r="D1517" s="1" t="s">
        <v>13</v>
      </c>
      <c r="E1517" s="1" t="s">
        <v>16</v>
      </c>
      <c r="F1517" s="1" t="s">
        <v>25</v>
      </c>
      <c r="G1517" s="4">
        <v>223.78</v>
      </c>
      <c r="H1517" s="1">
        <v>4</v>
      </c>
      <c r="I1517" s="1" t="str">
        <f>TEXT(SalesTable[[#This Row],[Order_Date]],"mmm")</f>
        <v>Feb</v>
      </c>
      <c r="J1517" s="1">
        <f>YEAR(SalesTable[[#This Row],[Order_Date]])</f>
        <v>2026</v>
      </c>
      <c r="K1517" s="4">
        <v>-48.86</v>
      </c>
      <c r="L1517" s="9">
        <f>SalesTable[[#This Row],[Profit]]/SalesTable[[#This Row],[Sales]]</f>
        <v>-0.21833944052194118</v>
      </c>
    </row>
    <row r="1518" spans="1:12" ht="14" x14ac:dyDescent="0.15">
      <c r="A1518" s="1">
        <v>11517</v>
      </c>
      <c r="B1518" s="2">
        <v>46078</v>
      </c>
      <c r="C1518" s="1" t="s">
        <v>9</v>
      </c>
      <c r="D1518" s="1" t="s">
        <v>14</v>
      </c>
      <c r="E1518" s="1" t="s">
        <v>17</v>
      </c>
      <c r="F1518" s="1" t="s">
        <v>25</v>
      </c>
      <c r="G1518" s="4">
        <v>396.8</v>
      </c>
      <c r="H1518" s="1">
        <v>9</v>
      </c>
      <c r="I1518" s="1" t="str">
        <f>TEXT(SalesTable[[#This Row],[Order_Date]],"mmm")</f>
        <v>Feb</v>
      </c>
      <c r="J1518" s="1">
        <f>YEAR(SalesTable[[#This Row],[Order_Date]])</f>
        <v>2026</v>
      </c>
      <c r="K1518" s="4">
        <v>24.96</v>
      </c>
      <c r="L1518" s="9">
        <f>SalesTable[[#This Row],[Profit]]/SalesTable[[#This Row],[Sales]]</f>
        <v>6.2903225806451607E-2</v>
      </c>
    </row>
    <row r="1519" spans="1:12" ht="14" x14ac:dyDescent="0.15">
      <c r="A1519" s="1">
        <v>11518</v>
      </c>
      <c r="B1519" s="2">
        <v>46079</v>
      </c>
      <c r="C1519" s="1" t="s">
        <v>9</v>
      </c>
      <c r="D1519" s="1" t="s">
        <v>13</v>
      </c>
      <c r="E1519" s="1" t="s">
        <v>20</v>
      </c>
      <c r="F1519" s="1" t="s">
        <v>23</v>
      </c>
      <c r="G1519" s="4">
        <v>460.82</v>
      </c>
      <c r="H1519" s="1">
        <v>3</v>
      </c>
      <c r="I1519" s="1" t="str">
        <f>TEXT(SalesTable[[#This Row],[Order_Date]],"mmm")</f>
        <v>Feb</v>
      </c>
      <c r="J1519" s="1">
        <f>YEAR(SalesTable[[#This Row],[Order_Date]])</f>
        <v>2026</v>
      </c>
      <c r="K1519" s="4">
        <v>105.75</v>
      </c>
      <c r="L1519" s="9">
        <f>SalesTable[[#This Row],[Profit]]/SalesTable[[#This Row],[Sales]]</f>
        <v>0.22948222733388307</v>
      </c>
    </row>
    <row r="1520" spans="1:12" ht="14" x14ac:dyDescent="0.15">
      <c r="A1520" s="1">
        <v>11519</v>
      </c>
      <c r="B1520" s="2">
        <v>46080</v>
      </c>
      <c r="C1520" s="1" t="s">
        <v>10</v>
      </c>
      <c r="D1520" s="1" t="s">
        <v>13</v>
      </c>
      <c r="E1520" s="1" t="s">
        <v>18</v>
      </c>
      <c r="F1520" s="1" t="s">
        <v>24</v>
      </c>
      <c r="G1520" s="4">
        <v>642.01</v>
      </c>
      <c r="H1520" s="1">
        <v>6</v>
      </c>
      <c r="I1520" s="1" t="str">
        <f>TEXT(SalesTable[[#This Row],[Order_Date]],"mmm")</f>
        <v>Feb</v>
      </c>
      <c r="J1520" s="1">
        <f>YEAR(SalesTable[[#This Row],[Order_Date]])</f>
        <v>2026</v>
      </c>
      <c r="K1520" s="4">
        <v>135.5</v>
      </c>
      <c r="L1520" s="9">
        <f>SalesTable[[#This Row],[Profit]]/SalesTable[[#This Row],[Sales]]</f>
        <v>0.21105590255603496</v>
      </c>
    </row>
    <row r="1521" spans="1:12" ht="14" x14ac:dyDescent="0.15">
      <c r="A1521" s="1">
        <v>11520</v>
      </c>
      <c r="B1521" s="2">
        <v>46081</v>
      </c>
      <c r="C1521" s="1" t="s">
        <v>11</v>
      </c>
      <c r="D1521" s="1" t="s">
        <v>14</v>
      </c>
      <c r="E1521" s="1" t="s">
        <v>16</v>
      </c>
      <c r="F1521" s="1" t="s">
        <v>22</v>
      </c>
      <c r="G1521" s="4">
        <v>120.71</v>
      </c>
      <c r="H1521" s="1">
        <v>7</v>
      </c>
      <c r="I1521" s="1" t="str">
        <f>TEXT(SalesTable[[#This Row],[Order_Date]],"mmm")</f>
        <v>Feb</v>
      </c>
      <c r="J1521" s="1">
        <f>YEAR(SalesTable[[#This Row],[Order_Date]])</f>
        <v>2026</v>
      </c>
      <c r="K1521" s="4">
        <v>215.95</v>
      </c>
      <c r="L1521" s="9">
        <f>SalesTable[[#This Row],[Profit]]/SalesTable[[#This Row],[Sales]]</f>
        <v>1.7889984259796206</v>
      </c>
    </row>
    <row r="1522" spans="1:12" ht="14" x14ac:dyDescent="0.15">
      <c r="A1522" s="1">
        <v>11521</v>
      </c>
      <c r="B1522" s="2">
        <v>46082</v>
      </c>
      <c r="C1522" s="1" t="s">
        <v>12</v>
      </c>
      <c r="D1522" s="1" t="s">
        <v>13</v>
      </c>
      <c r="E1522" s="1" t="s">
        <v>17</v>
      </c>
      <c r="F1522" s="1" t="s">
        <v>25</v>
      </c>
      <c r="G1522" s="4">
        <v>528.51</v>
      </c>
      <c r="H1522" s="1">
        <v>8</v>
      </c>
      <c r="I1522" s="1" t="str">
        <f>TEXT(SalesTable[[#This Row],[Order_Date]],"mmm")</f>
        <v>Mar</v>
      </c>
      <c r="J1522" s="1">
        <f>YEAR(SalesTable[[#This Row],[Order_Date]])</f>
        <v>2026</v>
      </c>
      <c r="K1522" s="4">
        <v>162.5</v>
      </c>
      <c r="L1522" s="9">
        <f>SalesTable[[#This Row],[Profit]]/SalesTable[[#This Row],[Sales]]</f>
        <v>0.30746816521920117</v>
      </c>
    </row>
    <row r="1523" spans="1:12" ht="14" x14ac:dyDescent="0.15">
      <c r="A1523" s="1">
        <v>11522</v>
      </c>
      <c r="B1523" s="2">
        <v>46083</v>
      </c>
      <c r="C1523" s="1" t="s">
        <v>11</v>
      </c>
      <c r="D1523" s="1" t="s">
        <v>13</v>
      </c>
      <c r="E1523" s="1" t="s">
        <v>20</v>
      </c>
      <c r="F1523" s="1" t="s">
        <v>22</v>
      </c>
      <c r="G1523" s="4">
        <v>223.49</v>
      </c>
      <c r="H1523" s="1">
        <v>7</v>
      </c>
      <c r="I1523" s="1" t="str">
        <f>TEXT(SalesTable[[#This Row],[Order_Date]],"mmm")</f>
        <v>Mar</v>
      </c>
      <c r="J1523" s="1">
        <f>YEAR(SalesTable[[#This Row],[Order_Date]])</f>
        <v>2026</v>
      </c>
      <c r="K1523" s="4">
        <v>143.5</v>
      </c>
      <c r="L1523" s="9">
        <f>SalesTable[[#This Row],[Profit]]/SalesTable[[#This Row],[Sales]]</f>
        <v>0.64208689426819987</v>
      </c>
    </row>
    <row r="1524" spans="1:12" ht="14" x14ac:dyDescent="0.15">
      <c r="A1524" s="1">
        <v>11523</v>
      </c>
      <c r="B1524" s="2">
        <v>46084</v>
      </c>
      <c r="C1524" s="1" t="s">
        <v>11</v>
      </c>
      <c r="D1524" s="1" t="s">
        <v>13</v>
      </c>
      <c r="E1524" s="1" t="s">
        <v>20</v>
      </c>
      <c r="F1524" s="1" t="s">
        <v>25</v>
      </c>
      <c r="G1524" s="4">
        <v>595.28</v>
      </c>
      <c r="H1524" s="1">
        <v>3</v>
      </c>
      <c r="I1524" s="1" t="str">
        <f>TEXT(SalesTable[[#This Row],[Order_Date]],"mmm")</f>
        <v>Mar</v>
      </c>
      <c r="J1524" s="1">
        <f>YEAR(SalesTable[[#This Row],[Order_Date]])</f>
        <v>2026</v>
      </c>
      <c r="K1524" s="4">
        <v>64.709999999999994</v>
      </c>
      <c r="L1524" s="9">
        <f>SalesTable[[#This Row],[Profit]]/SalesTable[[#This Row],[Sales]]</f>
        <v>0.1087051471576401</v>
      </c>
    </row>
    <row r="1525" spans="1:12" ht="14" x14ac:dyDescent="0.15">
      <c r="A1525" s="1">
        <v>11524</v>
      </c>
      <c r="B1525" s="2">
        <v>46085</v>
      </c>
      <c r="C1525" s="1" t="s">
        <v>11</v>
      </c>
      <c r="D1525" s="1" t="s">
        <v>15</v>
      </c>
      <c r="E1525" s="1" t="s">
        <v>19</v>
      </c>
      <c r="F1525" s="1" t="s">
        <v>24</v>
      </c>
      <c r="G1525" s="4">
        <v>655.53</v>
      </c>
      <c r="H1525" s="1">
        <v>6</v>
      </c>
      <c r="I1525" s="1" t="str">
        <f>TEXT(SalesTable[[#This Row],[Order_Date]],"mmm")</f>
        <v>Mar</v>
      </c>
      <c r="J1525" s="1">
        <f>YEAR(SalesTable[[#This Row],[Order_Date]])</f>
        <v>2026</v>
      </c>
      <c r="K1525" s="4">
        <v>89.52</v>
      </c>
      <c r="L1525" s="9">
        <f>SalesTable[[#This Row],[Profit]]/SalesTable[[#This Row],[Sales]]</f>
        <v>0.13656125577776762</v>
      </c>
    </row>
    <row r="1526" spans="1:12" ht="14" x14ac:dyDescent="0.15">
      <c r="A1526" s="1">
        <v>11525</v>
      </c>
      <c r="B1526" s="2">
        <v>46086</v>
      </c>
      <c r="C1526" s="1" t="s">
        <v>11</v>
      </c>
      <c r="D1526" s="1" t="s">
        <v>14</v>
      </c>
      <c r="E1526" s="1" t="s">
        <v>19</v>
      </c>
      <c r="F1526" s="1" t="s">
        <v>25</v>
      </c>
      <c r="G1526" s="4">
        <v>578.87</v>
      </c>
      <c r="H1526" s="1">
        <v>5</v>
      </c>
      <c r="I1526" s="1" t="str">
        <f>TEXT(SalesTable[[#This Row],[Order_Date]],"mmm")</f>
        <v>Mar</v>
      </c>
      <c r="J1526" s="1">
        <f>YEAR(SalesTable[[#This Row],[Order_Date]])</f>
        <v>2026</v>
      </c>
      <c r="K1526" s="4">
        <v>65.81</v>
      </c>
      <c r="L1526" s="9">
        <f>SalesTable[[#This Row],[Profit]]/SalesTable[[#This Row],[Sales]]</f>
        <v>0.11368701090054763</v>
      </c>
    </row>
    <row r="1527" spans="1:12" ht="14" x14ac:dyDescent="0.15">
      <c r="A1527" s="1">
        <v>11526</v>
      </c>
      <c r="B1527" s="2">
        <v>46087</v>
      </c>
      <c r="C1527" s="1" t="s">
        <v>9</v>
      </c>
      <c r="D1527" s="1" t="s">
        <v>14</v>
      </c>
      <c r="E1527" s="1" t="s">
        <v>16</v>
      </c>
      <c r="F1527" s="1" t="s">
        <v>25</v>
      </c>
      <c r="G1527" s="4">
        <v>751.38</v>
      </c>
      <c r="H1527" s="1">
        <v>4</v>
      </c>
      <c r="I1527" s="1" t="str">
        <f>TEXT(SalesTable[[#This Row],[Order_Date]],"mmm")</f>
        <v>Mar</v>
      </c>
      <c r="J1527" s="1">
        <f>YEAR(SalesTable[[#This Row],[Order_Date]])</f>
        <v>2026</v>
      </c>
      <c r="K1527" s="4">
        <v>236.87</v>
      </c>
      <c r="L1527" s="9">
        <f>SalesTable[[#This Row],[Profit]]/SalesTable[[#This Row],[Sales]]</f>
        <v>0.31524661289893263</v>
      </c>
    </row>
    <row r="1528" spans="1:12" ht="14" x14ac:dyDescent="0.15">
      <c r="A1528" s="1">
        <v>11527</v>
      </c>
      <c r="B1528" s="2">
        <v>46088</v>
      </c>
      <c r="C1528" s="1" t="s">
        <v>9</v>
      </c>
      <c r="D1528" s="1" t="s">
        <v>14</v>
      </c>
      <c r="E1528" s="1" t="s">
        <v>19</v>
      </c>
      <c r="F1528" s="1" t="s">
        <v>21</v>
      </c>
      <c r="G1528" s="4">
        <v>368.83</v>
      </c>
      <c r="H1528" s="1">
        <v>1</v>
      </c>
      <c r="I1528" s="1" t="str">
        <f>TEXT(SalesTable[[#This Row],[Order_Date]],"mmm")</f>
        <v>Mar</v>
      </c>
      <c r="J1528" s="1">
        <f>YEAR(SalesTable[[#This Row],[Order_Date]])</f>
        <v>2026</v>
      </c>
      <c r="K1528" s="4">
        <v>-8</v>
      </c>
      <c r="L1528" s="9">
        <f>SalesTable[[#This Row],[Profit]]/SalesTable[[#This Row],[Sales]]</f>
        <v>-2.1690209581650084E-2</v>
      </c>
    </row>
    <row r="1529" spans="1:12" ht="14" x14ac:dyDescent="0.15">
      <c r="A1529" s="1">
        <v>11528</v>
      </c>
      <c r="B1529" s="2">
        <v>46089</v>
      </c>
      <c r="C1529" s="1" t="s">
        <v>11</v>
      </c>
      <c r="D1529" s="1" t="s">
        <v>15</v>
      </c>
      <c r="E1529" s="1" t="s">
        <v>16</v>
      </c>
      <c r="F1529" s="1" t="s">
        <v>24</v>
      </c>
      <c r="G1529" s="4">
        <v>776.85</v>
      </c>
      <c r="H1529" s="1">
        <v>7</v>
      </c>
      <c r="I1529" s="1" t="str">
        <f>TEXT(SalesTable[[#This Row],[Order_Date]],"mmm")</f>
        <v>Mar</v>
      </c>
      <c r="J1529" s="1">
        <f>YEAR(SalesTable[[#This Row],[Order_Date]])</f>
        <v>2026</v>
      </c>
      <c r="K1529" s="4">
        <v>-97.71</v>
      </c>
      <c r="L1529" s="9">
        <f>SalesTable[[#This Row],[Profit]]/SalesTable[[#This Row],[Sales]]</f>
        <v>-0.12577717706120872</v>
      </c>
    </row>
    <row r="1530" spans="1:12" ht="14" x14ac:dyDescent="0.15">
      <c r="A1530" s="1">
        <v>11529</v>
      </c>
      <c r="B1530" s="2">
        <v>46090</v>
      </c>
      <c r="C1530" s="1" t="s">
        <v>12</v>
      </c>
      <c r="D1530" s="1" t="s">
        <v>15</v>
      </c>
      <c r="E1530" s="1" t="s">
        <v>18</v>
      </c>
      <c r="F1530" s="1" t="s">
        <v>23</v>
      </c>
      <c r="G1530" s="4">
        <v>461.13</v>
      </c>
      <c r="H1530" s="1">
        <v>8</v>
      </c>
      <c r="I1530" s="1" t="str">
        <f>TEXT(SalesTable[[#This Row],[Order_Date]],"mmm")</f>
        <v>Mar</v>
      </c>
      <c r="J1530" s="1">
        <f>YEAR(SalesTable[[#This Row],[Order_Date]])</f>
        <v>2026</v>
      </c>
      <c r="K1530" s="4">
        <v>160.53</v>
      </c>
      <c r="L1530" s="9">
        <f>SalesTable[[#This Row],[Profit]]/SalesTable[[#This Row],[Sales]]</f>
        <v>0.34812308893370636</v>
      </c>
    </row>
    <row r="1531" spans="1:12" ht="14" x14ac:dyDescent="0.15">
      <c r="A1531" s="1">
        <v>11530</v>
      </c>
      <c r="B1531" s="2">
        <v>46091</v>
      </c>
      <c r="C1531" s="1" t="s">
        <v>10</v>
      </c>
      <c r="D1531" s="1" t="s">
        <v>14</v>
      </c>
      <c r="E1531" s="1" t="s">
        <v>16</v>
      </c>
      <c r="F1531" s="1" t="s">
        <v>23</v>
      </c>
      <c r="G1531" s="4">
        <v>509.98</v>
      </c>
      <c r="H1531" s="1">
        <v>2</v>
      </c>
      <c r="I1531" s="1" t="str">
        <f>TEXT(SalesTable[[#This Row],[Order_Date]],"mmm")</f>
        <v>Mar</v>
      </c>
      <c r="J1531" s="1">
        <f>YEAR(SalesTable[[#This Row],[Order_Date]])</f>
        <v>2026</v>
      </c>
      <c r="K1531" s="4">
        <v>-19.02</v>
      </c>
      <c r="L1531" s="9">
        <f>SalesTable[[#This Row],[Profit]]/SalesTable[[#This Row],[Sales]]</f>
        <v>-3.7295580218832107E-2</v>
      </c>
    </row>
    <row r="1532" spans="1:12" ht="14" x14ac:dyDescent="0.15">
      <c r="A1532" s="1">
        <v>11531</v>
      </c>
      <c r="B1532" s="2">
        <v>46092</v>
      </c>
      <c r="C1532" s="1" t="s">
        <v>12</v>
      </c>
      <c r="D1532" s="1" t="s">
        <v>15</v>
      </c>
      <c r="E1532" s="1" t="s">
        <v>19</v>
      </c>
      <c r="F1532" s="1" t="s">
        <v>24</v>
      </c>
      <c r="G1532" s="4">
        <v>665.7</v>
      </c>
      <c r="H1532" s="1">
        <v>7</v>
      </c>
      <c r="I1532" s="1" t="str">
        <f>TEXT(SalesTable[[#This Row],[Order_Date]],"mmm")</f>
        <v>Mar</v>
      </c>
      <c r="J1532" s="1">
        <f>YEAR(SalesTable[[#This Row],[Order_Date]])</f>
        <v>2026</v>
      </c>
      <c r="K1532" s="4">
        <v>256.05</v>
      </c>
      <c r="L1532" s="9">
        <f>SalesTable[[#This Row],[Profit]]/SalesTable[[#This Row],[Sales]]</f>
        <v>0.38463271744028843</v>
      </c>
    </row>
    <row r="1533" spans="1:12" ht="14" x14ac:dyDescent="0.15">
      <c r="A1533" s="1">
        <v>11532</v>
      </c>
      <c r="B1533" s="2">
        <v>46093</v>
      </c>
      <c r="C1533" s="1" t="s">
        <v>12</v>
      </c>
      <c r="D1533" s="1" t="s">
        <v>14</v>
      </c>
      <c r="E1533" s="1" t="s">
        <v>18</v>
      </c>
      <c r="F1533" s="1" t="s">
        <v>23</v>
      </c>
      <c r="G1533" s="4">
        <v>67.44</v>
      </c>
      <c r="H1533" s="1">
        <v>6</v>
      </c>
      <c r="I1533" s="1" t="str">
        <f>TEXT(SalesTable[[#This Row],[Order_Date]],"mmm")</f>
        <v>Mar</v>
      </c>
      <c r="J1533" s="1">
        <f>YEAR(SalesTable[[#This Row],[Order_Date]])</f>
        <v>2026</v>
      </c>
      <c r="K1533" s="4">
        <v>243.62</v>
      </c>
      <c r="L1533" s="9">
        <f>SalesTable[[#This Row],[Profit]]/SalesTable[[#This Row],[Sales]]</f>
        <v>3.6123962040332147</v>
      </c>
    </row>
    <row r="1534" spans="1:12" ht="14" x14ac:dyDescent="0.15">
      <c r="A1534" s="1">
        <v>11533</v>
      </c>
      <c r="B1534" s="2">
        <v>46094</v>
      </c>
      <c r="C1534" s="1" t="s">
        <v>12</v>
      </c>
      <c r="D1534" s="1" t="s">
        <v>15</v>
      </c>
      <c r="E1534" s="1" t="s">
        <v>19</v>
      </c>
      <c r="F1534" s="1" t="s">
        <v>24</v>
      </c>
      <c r="G1534" s="4">
        <v>671.29</v>
      </c>
      <c r="H1534" s="1">
        <v>5</v>
      </c>
      <c r="I1534" s="1" t="str">
        <f>TEXT(SalesTable[[#This Row],[Order_Date]],"mmm")</f>
        <v>Mar</v>
      </c>
      <c r="J1534" s="1">
        <f>YEAR(SalesTable[[#This Row],[Order_Date]])</f>
        <v>2026</v>
      </c>
      <c r="K1534" s="4">
        <v>-69.31</v>
      </c>
      <c r="L1534" s="9">
        <f>SalesTable[[#This Row],[Profit]]/SalesTable[[#This Row],[Sales]]</f>
        <v>-0.10324896840411746</v>
      </c>
    </row>
    <row r="1535" spans="1:12" ht="14" x14ac:dyDescent="0.15">
      <c r="A1535" s="1">
        <v>11534</v>
      </c>
      <c r="B1535" s="2">
        <v>46095</v>
      </c>
      <c r="C1535" s="1" t="s">
        <v>11</v>
      </c>
      <c r="D1535" s="1" t="s">
        <v>13</v>
      </c>
      <c r="E1535" s="1" t="s">
        <v>16</v>
      </c>
      <c r="F1535" s="1" t="s">
        <v>23</v>
      </c>
      <c r="G1535" s="4">
        <v>637.66</v>
      </c>
      <c r="H1535" s="1">
        <v>4</v>
      </c>
      <c r="I1535" s="1" t="str">
        <f>TEXT(SalesTable[[#This Row],[Order_Date]],"mmm")</f>
        <v>Mar</v>
      </c>
      <c r="J1535" s="1">
        <f>YEAR(SalesTable[[#This Row],[Order_Date]])</f>
        <v>2026</v>
      </c>
      <c r="K1535" s="4">
        <v>-57.44</v>
      </c>
      <c r="L1535" s="9">
        <f>SalesTable[[#This Row],[Profit]]/SalesTable[[#This Row],[Sales]]</f>
        <v>-9.0079352633064644E-2</v>
      </c>
    </row>
    <row r="1536" spans="1:12" ht="14" x14ac:dyDescent="0.15">
      <c r="A1536" s="1">
        <v>11535</v>
      </c>
      <c r="B1536" s="2">
        <v>46096</v>
      </c>
      <c r="C1536" s="1" t="s">
        <v>9</v>
      </c>
      <c r="D1536" s="1" t="s">
        <v>13</v>
      </c>
      <c r="E1536" s="1" t="s">
        <v>17</v>
      </c>
      <c r="F1536" s="1" t="s">
        <v>21</v>
      </c>
      <c r="G1536" s="4">
        <v>344.35</v>
      </c>
      <c r="H1536" s="1">
        <v>2</v>
      </c>
      <c r="I1536" s="1" t="str">
        <f>TEXT(SalesTable[[#This Row],[Order_Date]],"mmm")</f>
        <v>Mar</v>
      </c>
      <c r="J1536" s="1">
        <f>YEAR(SalesTable[[#This Row],[Order_Date]])</f>
        <v>2026</v>
      </c>
      <c r="K1536" s="4">
        <v>98.07</v>
      </c>
      <c r="L1536" s="9">
        <f>SalesTable[[#This Row],[Profit]]/SalesTable[[#This Row],[Sales]]</f>
        <v>0.28479744446057786</v>
      </c>
    </row>
    <row r="1537" spans="1:12" ht="14" x14ac:dyDescent="0.15">
      <c r="A1537" s="1">
        <v>11536</v>
      </c>
      <c r="B1537" s="2">
        <v>46097</v>
      </c>
      <c r="C1537" s="1" t="s">
        <v>12</v>
      </c>
      <c r="D1537" s="1" t="s">
        <v>14</v>
      </c>
      <c r="E1537" s="1" t="s">
        <v>20</v>
      </c>
      <c r="F1537" s="1" t="s">
        <v>23</v>
      </c>
      <c r="G1537" s="4">
        <v>131.5</v>
      </c>
      <c r="H1537" s="1">
        <v>6</v>
      </c>
      <c r="I1537" s="1" t="str">
        <f>TEXT(SalesTable[[#This Row],[Order_Date]],"mmm")</f>
        <v>Mar</v>
      </c>
      <c r="J1537" s="1">
        <f>YEAR(SalesTable[[#This Row],[Order_Date]])</f>
        <v>2026</v>
      </c>
      <c r="K1537" s="4">
        <v>143.69</v>
      </c>
      <c r="L1537" s="9">
        <f>SalesTable[[#This Row],[Profit]]/SalesTable[[#This Row],[Sales]]</f>
        <v>1.092699619771863</v>
      </c>
    </row>
    <row r="1538" spans="1:12" ht="14" x14ac:dyDescent="0.15">
      <c r="A1538" s="1">
        <v>11537</v>
      </c>
      <c r="B1538" s="2">
        <v>46098</v>
      </c>
      <c r="C1538" s="1" t="s">
        <v>11</v>
      </c>
      <c r="D1538" s="1" t="s">
        <v>15</v>
      </c>
      <c r="E1538" s="1" t="s">
        <v>19</v>
      </c>
      <c r="F1538" s="1" t="s">
        <v>25</v>
      </c>
      <c r="G1538" s="4">
        <v>136.38999999999999</v>
      </c>
      <c r="H1538" s="1">
        <v>5</v>
      </c>
      <c r="I1538" s="1" t="str">
        <f>TEXT(SalesTable[[#This Row],[Order_Date]],"mmm")</f>
        <v>Mar</v>
      </c>
      <c r="J1538" s="1">
        <f>YEAR(SalesTable[[#This Row],[Order_Date]])</f>
        <v>2026</v>
      </c>
      <c r="K1538" s="4">
        <v>9.9600000000000009</v>
      </c>
      <c r="L1538" s="9">
        <f>SalesTable[[#This Row],[Profit]]/SalesTable[[#This Row],[Sales]]</f>
        <v>7.3025881662878517E-2</v>
      </c>
    </row>
    <row r="1539" spans="1:12" ht="14" x14ac:dyDescent="0.15">
      <c r="A1539" s="1">
        <v>11538</v>
      </c>
      <c r="B1539" s="2">
        <v>46099</v>
      </c>
      <c r="C1539" s="1" t="s">
        <v>12</v>
      </c>
      <c r="D1539" s="1" t="s">
        <v>15</v>
      </c>
      <c r="E1539" s="1" t="s">
        <v>16</v>
      </c>
      <c r="F1539" s="1" t="s">
        <v>24</v>
      </c>
      <c r="G1539" s="4">
        <v>927.06</v>
      </c>
      <c r="H1539" s="1">
        <v>2</v>
      </c>
      <c r="I1539" s="1" t="str">
        <f>TEXT(SalesTable[[#This Row],[Order_Date]],"mmm")</f>
        <v>Mar</v>
      </c>
      <c r="J1539" s="1">
        <f>YEAR(SalesTable[[#This Row],[Order_Date]])</f>
        <v>2026</v>
      </c>
      <c r="K1539" s="4">
        <v>186.72</v>
      </c>
      <c r="L1539" s="9">
        <f>SalesTable[[#This Row],[Profit]]/SalesTable[[#This Row],[Sales]]</f>
        <v>0.20141091191508642</v>
      </c>
    </row>
    <row r="1540" spans="1:12" ht="14" x14ac:dyDescent="0.15">
      <c r="A1540" s="1">
        <v>11539</v>
      </c>
      <c r="B1540" s="2">
        <v>46100</v>
      </c>
      <c r="C1540" s="1" t="s">
        <v>12</v>
      </c>
      <c r="D1540" s="1" t="s">
        <v>13</v>
      </c>
      <c r="E1540" s="1" t="s">
        <v>18</v>
      </c>
      <c r="F1540" s="1" t="s">
        <v>22</v>
      </c>
      <c r="G1540" s="4">
        <v>704.82</v>
      </c>
      <c r="H1540" s="1">
        <v>7</v>
      </c>
      <c r="I1540" s="1" t="str">
        <f>TEXT(SalesTable[[#This Row],[Order_Date]],"mmm")</f>
        <v>Mar</v>
      </c>
      <c r="J1540" s="1">
        <f>YEAR(SalesTable[[#This Row],[Order_Date]])</f>
        <v>2026</v>
      </c>
      <c r="K1540" s="4">
        <v>137.97</v>
      </c>
      <c r="L1540" s="9">
        <f>SalesTable[[#This Row],[Profit]]/SalesTable[[#This Row],[Sales]]</f>
        <v>0.19575210692091596</v>
      </c>
    </row>
    <row r="1541" spans="1:12" ht="14" x14ac:dyDescent="0.15">
      <c r="A1541" s="1">
        <v>11540</v>
      </c>
      <c r="B1541" s="2">
        <v>46101</v>
      </c>
      <c r="C1541" s="1" t="s">
        <v>11</v>
      </c>
      <c r="D1541" s="1" t="s">
        <v>13</v>
      </c>
      <c r="E1541" s="1" t="s">
        <v>19</v>
      </c>
      <c r="F1541" s="1" t="s">
        <v>22</v>
      </c>
      <c r="G1541" s="4">
        <v>170.75</v>
      </c>
      <c r="H1541" s="1">
        <v>6</v>
      </c>
      <c r="I1541" s="1" t="str">
        <f>TEXT(SalesTable[[#This Row],[Order_Date]],"mmm")</f>
        <v>Mar</v>
      </c>
      <c r="J1541" s="1">
        <f>YEAR(SalesTable[[#This Row],[Order_Date]])</f>
        <v>2026</v>
      </c>
      <c r="K1541" s="4">
        <v>29.93</v>
      </c>
      <c r="L1541" s="9">
        <f>SalesTable[[#This Row],[Profit]]/SalesTable[[#This Row],[Sales]]</f>
        <v>0.17528550512445096</v>
      </c>
    </row>
    <row r="1542" spans="1:12" ht="14" x14ac:dyDescent="0.15">
      <c r="A1542" s="1">
        <v>11541</v>
      </c>
      <c r="B1542" s="2">
        <v>46102</v>
      </c>
      <c r="C1542" s="1" t="s">
        <v>9</v>
      </c>
      <c r="D1542" s="1" t="s">
        <v>15</v>
      </c>
      <c r="E1542" s="1" t="s">
        <v>19</v>
      </c>
      <c r="F1542" s="1" t="s">
        <v>24</v>
      </c>
      <c r="G1542" s="4">
        <v>388.89</v>
      </c>
      <c r="H1542" s="1">
        <v>9</v>
      </c>
      <c r="I1542" s="1" t="str">
        <f>TEXT(SalesTable[[#This Row],[Order_Date]],"mmm")</f>
        <v>Mar</v>
      </c>
      <c r="J1542" s="1">
        <f>YEAR(SalesTable[[#This Row],[Order_Date]])</f>
        <v>2026</v>
      </c>
      <c r="K1542" s="4">
        <v>-89.85</v>
      </c>
      <c r="L1542" s="9">
        <f>SalesTable[[#This Row],[Profit]]/SalesTable[[#This Row],[Sales]]</f>
        <v>-0.23104219702229423</v>
      </c>
    </row>
    <row r="1543" spans="1:12" ht="14" x14ac:dyDescent="0.15">
      <c r="A1543" s="1">
        <v>11542</v>
      </c>
      <c r="B1543" s="2">
        <v>46103</v>
      </c>
      <c r="C1543" s="1" t="s">
        <v>9</v>
      </c>
      <c r="D1543" s="1" t="s">
        <v>15</v>
      </c>
      <c r="E1543" s="1" t="s">
        <v>20</v>
      </c>
      <c r="F1543" s="1" t="s">
        <v>21</v>
      </c>
      <c r="G1543" s="4">
        <v>612.86</v>
      </c>
      <c r="H1543" s="1">
        <v>5</v>
      </c>
      <c r="I1543" s="1" t="str">
        <f>TEXT(SalesTable[[#This Row],[Order_Date]],"mmm")</f>
        <v>Mar</v>
      </c>
      <c r="J1543" s="1">
        <f>YEAR(SalesTable[[#This Row],[Order_Date]])</f>
        <v>2026</v>
      </c>
      <c r="K1543" s="4">
        <v>200.06</v>
      </c>
      <c r="L1543" s="9">
        <f>SalesTable[[#This Row],[Profit]]/SalesTable[[#This Row],[Sales]]</f>
        <v>0.32643670658878049</v>
      </c>
    </row>
    <row r="1544" spans="1:12" ht="14" x14ac:dyDescent="0.15">
      <c r="A1544" s="1">
        <v>11543</v>
      </c>
      <c r="B1544" s="2">
        <v>46104</v>
      </c>
      <c r="C1544" s="1" t="s">
        <v>10</v>
      </c>
      <c r="D1544" s="1" t="s">
        <v>15</v>
      </c>
      <c r="E1544" s="1" t="s">
        <v>16</v>
      </c>
      <c r="F1544" s="1" t="s">
        <v>23</v>
      </c>
      <c r="G1544" s="4">
        <v>843.79</v>
      </c>
      <c r="H1544" s="1">
        <v>9</v>
      </c>
      <c r="I1544" s="1" t="str">
        <f>TEXT(SalesTable[[#This Row],[Order_Date]],"mmm")</f>
        <v>Mar</v>
      </c>
      <c r="J1544" s="1">
        <f>YEAR(SalesTable[[#This Row],[Order_Date]])</f>
        <v>2026</v>
      </c>
      <c r="K1544" s="4">
        <v>-14.1</v>
      </c>
      <c r="L1544" s="9">
        <f>SalesTable[[#This Row],[Profit]]/SalesTable[[#This Row],[Sales]]</f>
        <v>-1.6710318918214249E-2</v>
      </c>
    </row>
    <row r="1545" spans="1:12" ht="14" x14ac:dyDescent="0.15">
      <c r="A1545" s="1">
        <v>11544</v>
      </c>
      <c r="B1545" s="2">
        <v>46105</v>
      </c>
      <c r="C1545" s="1" t="s">
        <v>11</v>
      </c>
      <c r="D1545" s="1" t="s">
        <v>15</v>
      </c>
      <c r="E1545" s="1" t="s">
        <v>17</v>
      </c>
      <c r="F1545" s="1" t="s">
        <v>21</v>
      </c>
      <c r="G1545" s="4">
        <v>91.48</v>
      </c>
      <c r="H1545" s="1">
        <v>9</v>
      </c>
      <c r="I1545" s="1" t="str">
        <f>TEXT(SalesTable[[#This Row],[Order_Date]],"mmm")</f>
        <v>Mar</v>
      </c>
      <c r="J1545" s="1">
        <f>YEAR(SalesTable[[#This Row],[Order_Date]])</f>
        <v>2026</v>
      </c>
      <c r="K1545" s="4">
        <v>233.79</v>
      </c>
      <c r="L1545" s="9">
        <f>SalesTable[[#This Row],[Profit]]/SalesTable[[#This Row],[Sales]]</f>
        <v>2.5556405771753385</v>
      </c>
    </row>
    <row r="1546" spans="1:12" ht="14" x14ac:dyDescent="0.15">
      <c r="A1546" s="1">
        <v>11545</v>
      </c>
      <c r="B1546" s="2">
        <v>46106</v>
      </c>
      <c r="C1546" s="1" t="s">
        <v>10</v>
      </c>
      <c r="D1546" s="1" t="s">
        <v>15</v>
      </c>
      <c r="E1546" s="1" t="s">
        <v>18</v>
      </c>
      <c r="F1546" s="1" t="s">
        <v>22</v>
      </c>
      <c r="G1546" s="4">
        <v>274.8</v>
      </c>
      <c r="H1546" s="1">
        <v>1</v>
      </c>
      <c r="I1546" s="1" t="str">
        <f>TEXT(SalesTable[[#This Row],[Order_Date]],"mmm")</f>
        <v>Mar</v>
      </c>
      <c r="J1546" s="1">
        <f>YEAR(SalesTable[[#This Row],[Order_Date]])</f>
        <v>2026</v>
      </c>
      <c r="K1546" s="4">
        <v>68.12</v>
      </c>
      <c r="L1546" s="9">
        <f>SalesTable[[#This Row],[Profit]]/SalesTable[[#This Row],[Sales]]</f>
        <v>0.24788937409024747</v>
      </c>
    </row>
    <row r="1547" spans="1:12" ht="14" x14ac:dyDescent="0.15">
      <c r="A1547" s="1">
        <v>11546</v>
      </c>
      <c r="B1547" s="2">
        <v>46107</v>
      </c>
      <c r="C1547" s="1" t="s">
        <v>10</v>
      </c>
      <c r="D1547" s="1" t="s">
        <v>15</v>
      </c>
      <c r="E1547" s="1" t="s">
        <v>16</v>
      </c>
      <c r="F1547" s="1" t="s">
        <v>24</v>
      </c>
      <c r="G1547" s="4">
        <v>895.26</v>
      </c>
      <c r="H1547" s="1">
        <v>5</v>
      </c>
      <c r="I1547" s="1" t="str">
        <f>TEXT(SalesTable[[#This Row],[Order_Date]],"mmm")</f>
        <v>Mar</v>
      </c>
      <c r="J1547" s="1">
        <f>YEAR(SalesTable[[#This Row],[Order_Date]])</f>
        <v>2026</v>
      </c>
      <c r="K1547" s="4">
        <v>130.83000000000001</v>
      </c>
      <c r="L1547" s="9">
        <f>SalesTable[[#This Row],[Profit]]/SalesTable[[#This Row],[Sales]]</f>
        <v>0.14613631794115678</v>
      </c>
    </row>
    <row r="1548" spans="1:12" ht="14" x14ac:dyDescent="0.15">
      <c r="A1548" s="1">
        <v>11547</v>
      </c>
      <c r="B1548" s="2">
        <v>46108</v>
      </c>
      <c r="C1548" s="1" t="s">
        <v>10</v>
      </c>
      <c r="D1548" s="1" t="s">
        <v>14</v>
      </c>
      <c r="E1548" s="1" t="s">
        <v>18</v>
      </c>
      <c r="F1548" s="1" t="s">
        <v>24</v>
      </c>
      <c r="G1548" s="4">
        <v>58.71</v>
      </c>
      <c r="H1548" s="1">
        <v>9</v>
      </c>
      <c r="I1548" s="1" t="str">
        <f>TEXT(SalesTable[[#This Row],[Order_Date]],"mmm")</f>
        <v>Mar</v>
      </c>
      <c r="J1548" s="1">
        <f>YEAR(SalesTable[[#This Row],[Order_Date]])</f>
        <v>2026</v>
      </c>
      <c r="K1548" s="4">
        <v>249.18</v>
      </c>
      <c r="L1548" s="9">
        <f>SalesTable[[#This Row],[Profit]]/SalesTable[[#This Row],[Sales]]</f>
        <v>4.2442514052120597</v>
      </c>
    </row>
    <row r="1549" spans="1:12" ht="14" x14ac:dyDescent="0.15">
      <c r="A1549" s="1">
        <v>11548</v>
      </c>
      <c r="B1549" s="2">
        <v>46109</v>
      </c>
      <c r="C1549" s="1" t="s">
        <v>9</v>
      </c>
      <c r="D1549" s="1" t="s">
        <v>15</v>
      </c>
      <c r="E1549" s="1" t="s">
        <v>19</v>
      </c>
      <c r="F1549" s="1" t="s">
        <v>21</v>
      </c>
      <c r="G1549" s="4">
        <v>241.33</v>
      </c>
      <c r="H1549" s="1">
        <v>7</v>
      </c>
      <c r="I1549" s="1" t="str">
        <f>TEXT(SalesTable[[#This Row],[Order_Date]],"mmm")</f>
        <v>Mar</v>
      </c>
      <c r="J1549" s="1">
        <f>YEAR(SalesTable[[#This Row],[Order_Date]])</f>
        <v>2026</v>
      </c>
      <c r="K1549" s="4">
        <v>245.45</v>
      </c>
      <c r="L1549" s="9">
        <f>SalesTable[[#This Row],[Profit]]/SalesTable[[#This Row],[Sales]]</f>
        <v>1.0170720590063398</v>
      </c>
    </row>
    <row r="1550" spans="1:12" ht="14" x14ac:dyDescent="0.15">
      <c r="A1550" s="1">
        <v>11549</v>
      </c>
      <c r="B1550" s="2">
        <v>46110</v>
      </c>
      <c r="C1550" s="1" t="s">
        <v>11</v>
      </c>
      <c r="D1550" s="1" t="s">
        <v>13</v>
      </c>
      <c r="E1550" s="1" t="s">
        <v>20</v>
      </c>
      <c r="F1550" s="1" t="s">
        <v>21</v>
      </c>
      <c r="G1550" s="4">
        <v>961.07</v>
      </c>
      <c r="H1550" s="1">
        <v>6</v>
      </c>
      <c r="I1550" s="1" t="str">
        <f>TEXT(SalesTable[[#This Row],[Order_Date]],"mmm")</f>
        <v>Mar</v>
      </c>
      <c r="J1550" s="1">
        <f>YEAR(SalesTable[[#This Row],[Order_Date]])</f>
        <v>2026</v>
      </c>
      <c r="K1550" s="4">
        <v>48.61</v>
      </c>
      <c r="L1550" s="9">
        <f>SalesTable[[#This Row],[Profit]]/SalesTable[[#This Row],[Sales]]</f>
        <v>5.0579042109315658E-2</v>
      </c>
    </row>
    <row r="1551" spans="1:12" ht="14" x14ac:dyDescent="0.15">
      <c r="A1551" s="1">
        <v>11550</v>
      </c>
      <c r="B1551" s="2">
        <v>46111</v>
      </c>
      <c r="C1551" s="1" t="s">
        <v>10</v>
      </c>
      <c r="D1551" s="1" t="s">
        <v>14</v>
      </c>
      <c r="E1551" s="1" t="s">
        <v>20</v>
      </c>
      <c r="F1551" s="1" t="s">
        <v>23</v>
      </c>
      <c r="G1551" s="4">
        <v>632.73</v>
      </c>
      <c r="H1551" s="1">
        <v>6</v>
      </c>
      <c r="I1551" s="1" t="str">
        <f>TEXT(SalesTable[[#This Row],[Order_Date]],"mmm")</f>
        <v>Mar</v>
      </c>
      <c r="J1551" s="1">
        <f>YEAR(SalesTable[[#This Row],[Order_Date]])</f>
        <v>2026</v>
      </c>
      <c r="K1551" s="4">
        <v>-16.440000000000001</v>
      </c>
      <c r="L1551" s="9">
        <f>SalesTable[[#This Row],[Profit]]/SalesTable[[#This Row],[Sales]]</f>
        <v>-2.5982646626523161E-2</v>
      </c>
    </row>
    <row r="1552" spans="1:12" ht="14" x14ac:dyDescent="0.15">
      <c r="A1552" s="1">
        <v>11551</v>
      </c>
      <c r="B1552" s="2">
        <v>46112</v>
      </c>
      <c r="C1552" s="1" t="s">
        <v>11</v>
      </c>
      <c r="D1552" s="1" t="s">
        <v>15</v>
      </c>
      <c r="E1552" s="1" t="s">
        <v>17</v>
      </c>
      <c r="F1552" s="1" t="s">
        <v>25</v>
      </c>
      <c r="G1552" s="4">
        <v>298.58999999999997</v>
      </c>
      <c r="H1552" s="1">
        <v>7</v>
      </c>
      <c r="I1552" s="1" t="str">
        <f>TEXT(SalesTable[[#This Row],[Order_Date]],"mmm")</f>
        <v>Mar</v>
      </c>
      <c r="J1552" s="1">
        <f>YEAR(SalesTable[[#This Row],[Order_Date]])</f>
        <v>2026</v>
      </c>
      <c r="K1552" s="4">
        <v>210.06</v>
      </c>
      <c r="L1552" s="9">
        <f>SalesTable[[#This Row],[Profit]]/SalesTable[[#This Row],[Sales]]</f>
        <v>0.70350648045815334</v>
      </c>
    </row>
    <row r="1553" spans="1:12" ht="14" x14ac:dyDescent="0.15">
      <c r="A1553" s="1">
        <v>11552</v>
      </c>
      <c r="B1553" s="2">
        <v>46113</v>
      </c>
      <c r="C1553" s="1" t="s">
        <v>11</v>
      </c>
      <c r="D1553" s="1" t="s">
        <v>13</v>
      </c>
      <c r="E1553" s="1" t="s">
        <v>20</v>
      </c>
      <c r="F1553" s="1" t="s">
        <v>25</v>
      </c>
      <c r="G1553" s="4">
        <v>113.64</v>
      </c>
      <c r="H1553" s="1">
        <v>1</v>
      </c>
      <c r="I1553" s="1" t="str">
        <f>TEXT(SalesTable[[#This Row],[Order_Date]],"mmm")</f>
        <v>Apr</v>
      </c>
      <c r="J1553" s="1">
        <f>YEAR(SalesTable[[#This Row],[Order_Date]])</f>
        <v>2026</v>
      </c>
      <c r="K1553" s="4">
        <v>73.23</v>
      </c>
      <c r="L1553" s="9">
        <f>SalesTable[[#This Row],[Profit]]/SalesTable[[#This Row],[Sales]]</f>
        <v>0.64440337909186907</v>
      </c>
    </row>
    <row r="1554" spans="1:12" ht="14" x14ac:dyDescent="0.15">
      <c r="A1554" s="1">
        <v>11553</v>
      </c>
      <c r="B1554" s="2">
        <v>46114</v>
      </c>
      <c r="C1554" s="1" t="s">
        <v>9</v>
      </c>
      <c r="D1554" s="1" t="s">
        <v>14</v>
      </c>
      <c r="E1554" s="1" t="s">
        <v>19</v>
      </c>
      <c r="F1554" s="1" t="s">
        <v>23</v>
      </c>
      <c r="G1554" s="4">
        <v>76.78</v>
      </c>
      <c r="H1554" s="1">
        <v>4</v>
      </c>
      <c r="I1554" s="1" t="str">
        <f>TEXT(SalesTable[[#This Row],[Order_Date]],"mmm")</f>
        <v>Apr</v>
      </c>
      <c r="J1554" s="1">
        <f>YEAR(SalesTable[[#This Row],[Order_Date]])</f>
        <v>2026</v>
      </c>
      <c r="K1554" s="4">
        <v>-23.18</v>
      </c>
      <c r="L1554" s="9">
        <f>SalesTable[[#This Row],[Profit]]/SalesTable[[#This Row],[Sales]]</f>
        <v>-0.30190153685855692</v>
      </c>
    </row>
    <row r="1555" spans="1:12" ht="14" x14ac:dyDescent="0.15">
      <c r="A1555" s="1">
        <v>11554</v>
      </c>
      <c r="B1555" s="2">
        <v>46115</v>
      </c>
      <c r="C1555" s="1" t="s">
        <v>10</v>
      </c>
      <c r="D1555" s="1" t="s">
        <v>13</v>
      </c>
      <c r="E1555" s="1" t="s">
        <v>17</v>
      </c>
      <c r="F1555" s="1" t="s">
        <v>25</v>
      </c>
      <c r="G1555" s="4">
        <v>282.51</v>
      </c>
      <c r="H1555" s="1">
        <v>1</v>
      </c>
      <c r="I1555" s="1" t="str">
        <f>TEXT(SalesTable[[#This Row],[Order_Date]],"mmm")</f>
        <v>Apr</v>
      </c>
      <c r="J1555" s="1">
        <f>YEAR(SalesTable[[#This Row],[Order_Date]])</f>
        <v>2026</v>
      </c>
      <c r="K1555" s="4">
        <v>261.77</v>
      </c>
      <c r="L1555" s="9">
        <f>SalesTable[[#This Row],[Profit]]/SalesTable[[#This Row],[Sales]]</f>
        <v>0.92658666949842483</v>
      </c>
    </row>
    <row r="1556" spans="1:12" ht="14" x14ac:dyDescent="0.15">
      <c r="A1556" s="1">
        <v>11555</v>
      </c>
      <c r="B1556" s="2">
        <v>46116</v>
      </c>
      <c r="C1556" s="1" t="s">
        <v>10</v>
      </c>
      <c r="D1556" s="1" t="s">
        <v>15</v>
      </c>
      <c r="E1556" s="1" t="s">
        <v>16</v>
      </c>
      <c r="F1556" s="1" t="s">
        <v>22</v>
      </c>
      <c r="G1556" s="4">
        <v>887.41</v>
      </c>
      <c r="H1556" s="1">
        <v>6</v>
      </c>
      <c r="I1556" s="1" t="str">
        <f>TEXT(SalesTable[[#This Row],[Order_Date]],"mmm")</f>
        <v>Apr</v>
      </c>
      <c r="J1556" s="1">
        <f>YEAR(SalesTable[[#This Row],[Order_Date]])</f>
        <v>2026</v>
      </c>
      <c r="K1556" s="4">
        <v>-20.76</v>
      </c>
      <c r="L1556" s="9">
        <f>SalesTable[[#This Row],[Profit]]/SalesTable[[#This Row],[Sales]]</f>
        <v>-2.3393921637123768E-2</v>
      </c>
    </row>
    <row r="1557" spans="1:12" ht="14" x14ac:dyDescent="0.15">
      <c r="A1557" s="1">
        <v>11556</v>
      </c>
      <c r="B1557" s="2">
        <v>46117</v>
      </c>
      <c r="C1557" s="1" t="s">
        <v>11</v>
      </c>
      <c r="D1557" s="1" t="s">
        <v>15</v>
      </c>
      <c r="E1557" s="1" t="s">
        <v>20</v>
      </c>
      <c r="F1557" s="1" t="s">
        <v>25</v>
      </c>
      <c r="G1557" s="4">
        <v>445.12</v>
      </c>
      <c r="H1557" s="1">
        <v>4</v>
      </c>
      <c r="I1557" s="1" t="str">
        <f>TEXT(SalesTable[[#This Row],[Order_Date]],"mmm")</f>
        <v>Apr</v>
      </c>
      <c r="J1557" s="1">
        <f>YEAR(SalesTable[[#This Row],[Order_Date]])</f>
        <v>2026</v>
      </c>
      <c r="K1557" s="4">
        <v>-89.68</v>
      </c>
      <c r="L1557" s="9">
        <f>SalesTable[[#This Row],[Profit]]/SalesTable[[#This Row],[Sales]]</f>
        <v>-0.20147375988497485</v>
      </c>
    </row>
    <row r="1558" spans="1:12" ht="14" x14ac:dyDescent="0.15">
      <c r="A1558" s="1">
        <v>11557</v>
      </c>
      <c r="B1558" s="2">
        <v>46118</v>
      </c>
      <c r="C1558" s="1" t="s">
        <v>12</v>
      </c>
      <c r="D1558" s="1" t="s">
        <v>15</v>
      </c>
      <c r="E1558" s="1" t="s">
        <v>17</v>
      </c>
      <c r="F1558" s="1" t="s">
        <v>23</v>
      </c>
      <c r="G1558" s="4">
        <v>734.32</v>
      </c>
      <c r="H1558" s="1">
        <v>1</v>
      </c>
      <c r="I1558" s="1" t="str">
        <f>TEXT(SalesTable[[#This Row],[Order_Date]],"mmm")</f>
        <v>Apr</v>
      </c>
      <c r="J1558" s="1">
        <f>YEAR(SalesTable[[#This Row],[Order_Date]])</f>
        <v>2026</v>
      </c>
      <c r="K1558" s="4">
        <v>-91.89</v>
      </c>
      <c r="L1558" s="9">
        <f>SalesTable[[#This Row],[Profit]]/SalesTable[[#This Row],[Sales]]</f>
        <v>-0.12513618041180954</v>
      </c>
    </row>
    <row r="1559" spans="1:12" ht="14" x14ac:dyDescent="0.15">
      <c r="A1559" s="1">
        <v>11558</v>
      </c>
      <c r="B1559" s="2">
        <v>46119</v>
      </c>
      <c r="C1559" s="1" t="s">
        <v>9</v>
      </c>
      <c r="D1559" s="1" t="s">
        <v>15</v>
      </c>
      <c r="E1559" s="1" t="s">
        <v>19</v>
      </c>
      <c r="F1559" s="1" t="s">
        <v>25</v>
      </c>
      <c r="G1559" s="4">
        <v>922.37</v>
      </c>
      <c r="H1559" s="1">
        <v>9</v>
      </c>
      <c r="I1559" s="1" t="str">
        <f>TEXT(SalesTable[[#This Row],[Order_Date]],"mmm")</f>
        <v>Apr</v>
      </c>
      <c r="J1559" s="1">
        <f>YEAR(SalesTable[[#This Row],[Order_Date]])</f>
        <v>2026</v>
      </c>
      <c r="K1559" s="4">
        <v>148.93</v>
      </c>
      <c r="L1559" s="9">
        <f>SalesTable[[#This Row],[Profit]]/SalesTable[[#This Row],[Sales]]</f>
        <v>0.16146448822056225</v>
      </c>
    </row>
    <row r="1560" spans="1:12" ht="14" x14ac:dyDescent="0.15">
      <c r="A1560" s="1">
        <v>11559</v>
      </c>
      <c r="B1560" s="2">
        <v>46120</v>
      </c>
      <c r="C1560" s="1" t="s">
        <v>9</v>
      </c>
      <c r="D1560" s="1" t="s">
        <v>14</v>
      </c>
      <c r="E1560" s="1" t="s">
        <v>18</v>
      </c>
      <c r="F1560" s="1" t="s">
        <v>24</v>
      </c>
      <c r="G1560" s="4">
        <v>437.64</v>
      </c>
      <c r="H1560" s="1">
        <v>4</v>
      </c>
      <c r="I1560" s="1" t="str">
        <f>TEXT(SalesTable[[#This Row],[Order_Date]],"mmm")</f>
        <v>Apr</v>
      </c>
      <c r="J1560" s="1">
        <f>YEAR(SalesTable[[#This Row],[Order_Date]])</f>
        <v>2026</v>
      </c>
      <c r="K1560" s="4">
        <v>164.67</v>
      </c>
      <c r="L1560" s="9">
        <f>SalesTable[[#This Row],[Profit]]/SalesTable[[#This Row],[Sales]]</f>
        <v>0.37626816561557441</v>
      </c>
    </row>
    <row r="1561" spans="1:12" ht="14" x14ac:dyDescent="0.15">
      <c r="A1561" s="1">
        <v>11560</v>
      </c>
      <c r="B1561" s="2">
        <v>46121</v>
      </c>
      <c r="C1561" s="1" t="s">
        <v>9</v>
      </c>
      <c r="D1561" s="1" t="s">
        <v>14</v>
      </c>
      <c r="E1561" s="1" t="s">
        <v>18</v>
      </c>
      <c r="F1561" s="1" t="s">
        <v>21</v>
      </c>
      <c r="G1561" s="4">
        <v>231.71</v>
      </c>
      <c r="H1561" s="1">
        <v>6</v>
      </c>
      <c r="I1561" s="1" t="str">
        <f>TEXT(SalesTable[[#This Row],[Order_Date]],"mmm")</f>
        <v>Apr</v>
      </c>
      <c r="J1561" s="1">
        <f>YEAR(SalesTable[[#This Row],[Order_Date]])</f>
        <v>2026</v>
      </c>
      <c r="K1561" s="4">
        <v>24.42</v>
      </c>
      <c r="L1561" s="9">
        <f>SalesTable[[#This Row],[Profit]]/SalesTable[[#This Row],[Sales]]</f>
        <v>0.10539035863795261</v>
      </c>
    </row>
    <row r="1562" spans="1:12" ht="14" x14ac:dyDescent="0.15">
      <c r="A1562" s="1">
        <v>11561</v>
      </c>
      <c r="B1562" s="2">
        <v>46122</v>
      </c>
      <c r="C1562" s="1" t="s">
        <v>9</v>
      </c>
      <c r="D1562" s="1" t="s">
        <v>13</v>
      </c>
      <c r="E1562" s="1" t="s">
        <v>19</v>
      </c>
      <c r="F1562" s="1" t="s">
        <v>22</v>
      </c>
      <c r="G1562" s="4">
        <v>541.26</v>
      </c>
      <c r="H1562" s="1">
        <v>7</v>
      </c>
      <c r="I1562" s="1" t="str">
        <f>TEXT(SalesTable[[#This Row],[Order_Date]],"mmm")</f>
        <v>Apr</v>
      </c>
      <c r="J1562" s="1">
        <f>YEAR(SalesTable[[#This Row],[Order_Date]])</f>
        <v>2026</v>
      </c>
      <c r="K1562" s="4">
        <v>28</v>
      </c>
      <c r="L1562" s="9">
        <f>SalesTable[[#This Row],[Profit]]/SalesTable[[#This Row],[Sales]]</f>
        <v>5.1731145844880463E-2</v>
      </c>
    </row>
    <row r="1563" spans="1:12" ht="14" x14ac:dyDescent="0.15">
      <c r="A1563" s="1">
        <v>11562</v>
      </c>
      <c r="B1563" s="2">
        <v>46123</v>
      </c>
      <c r="C1563" s="1" t="s">
        <v>10</v>
      </c>
      <c r="D1563" s="1" t="s">
        <v>15</v>
      </c>
      <c r="E1563" s="1" t="s">
        <v>19</v>
      </c>
      <c r="F1563" s="1" t="s">
        <v>24</v>
      </c>
      <c r="G1563" s="4">
        <v>912.68</v>
      </c>
      <c r="H1563" s="1">
        <v>8</v>
      </c>
      <c r="I1563" s="1" t="str">
        <f>TEXT(SalesTable[[#This Row],[Order_Date]],"mmm")</f>
        <v>Apr</v>
      </c>
      <c r="J1563" s="1">
        <f>YEAR(SalesTable[[#This Row],[Order_Date]])</f>
        <v>2026</v>
      </c>
      <c r="K1563" s="4">
        <v>35.799999999999997</v>
      </c>
      <c r="L1563" s="9">
        <f>SalesTable[[#This Row],[Profit]]/SalesTable[[#This Row],[Sales]]</f>
        <v>3.9225139150633297E-2</v>
      </c>
    </row>
    <row r="1564" spans="1:12" ht="14" x14ac:dyDescent="0.15">
      <c r="A1564" s="1">
        <v>11563</v>
      </c>
      <c r="B1564" s="2">
        <v>46124</v>
      </c>
      <c r="C1564" s="1" t="s">
        <v>10</v>
      </c>
      <c r="D1564" s="1" t="s">
        <v>13</v>
      </c>
      <c r="E1564" s="1" t="s">
        <v>18</v>
      </c>
      <c r="F1564" s="1" t="s">
        <v>24</v>
      </c>
      <c r="G1564" s="4">
        <v>814.16</v>
      </c>
      <c r="H1564" s="1">
        <v>9</v>
      </c>
      <c r="I1564" s="1" t="str">
        <f>TEXT(SalesTable[[#This Row],[Order_Date]],"mmm")</f>
        <v>Apr</v>
      </c>
      <c r="J1564" s="1">
        <f>YEAR(SalesTable[[#This Row],[Order_Date]])</f>
        <v>2026</v>
      </c>
      <c r="K1564" s="4">
        <v>172.06</v>
      </c>
      <c r="L1564" s="9">
        <f>SalesTable[[#This Row],[Profit]]/SalesTable[[#This Row],[Sales]]</f>
        <v>0.21133438144836397</v>
      </c>
    </row>
    <row r="1565" spans="1:12" ht="14" x14ac:dyDescent="0.15">
      <c r="A1565" s="1">
        <v>11564</v>
      </c>
      <c r="B1565" s="2">
        <v>46125</v>
      </c>
      <c r="C1565" s="1" t="s">
        <v>12</v>
      </c>
      <c r="D1565" s="1" t="s">
        <v>14</v>
      </c>
      <c r="E1565" s="1" t="s">
        <v>17</v>
      </c>
      <c r="F1565" s="1" t="s">
        <v>23</v>
      </c>
      <c r="G1565" s="4">
        <v>112.54</v>
      </c>
      <c r="H1565" s="1">
        <v>9</v>
      </c>
      <c r="I1565" s="1" t="str">
        <f>TEXT(SalesTable[[#This Row],[Order_Date]],"mmm")</f>
        <v>Apr</v>
      </c>
      <c r="J1565" s="1">
        <f>YEAR(SalesTable[[#This Row],[Order_Date]])</f>
        <v>2026</v>
      </c>
      <c r="K1565" s="4">
        <v>-76.75</v>
      </c>
      <c r="L1565" s="9">
        <f>SalesTable[[#This Row],[Profit]]/SalesTable[[#This Row],[Sales]]</f>
        <v>-0.68197974053669808</v>
      </c>
    </row>
    <row r="1566" spans="1:12" ht="14" x14ac:dyDescent="0.15">
      <c r="A1566" s="1">
        <v>11565</v>
      </c>
      <c r="B1566" s="2">
        <v>46126</v>
      </c>
      <c r="C1566" s="1" t="s">
        <v>9</v>
      </c>
      <c r="D1566" s="1" t="s">
        <v>15</v>
      </c>
      <c r="E1566" s="1" t="s">
        <v>18</v>
      </c>
      <c r="F1566" s="1" t="s">
        <v>21</v>
      </c>
      <c r="G1566" s="4">
        <v>707.94</v>
      </c>
      <c r="H1566" s="1">
        <v>8</v>
      </c>
      <c r="I1566" s="1" t="str">
        <f>TEXT(SalesTable[[#This Row],[Order_Date]],"mmm")</f>
        <v>Apr</v>
      </c>
      <c r="J1566" s="1">
        <f>YEAR(SalesTable[[#This Row],[Order_Date]])</f>
        <v>2026</v>
      </c>
      <c r="K1566" s="4">
        <v>271.64999999999998</v>
      </c>
      <c r="L1566" s="9">
        <f>SalesTable[[#This Row],[Profit]]/SalesTable[[#This Row],[Sales]]</f>
        <v>0.38371895923383331</v>
      </c>
    </row>
    <row r="1567" spans="1:12" ht="14" x14ac:dyDescent="0.15">
      <c r="A1567" s="1">
        <v>11566</v>
      </c>
      <c r="B1567" s="2">
        <v>46127</v>
      </c>
      <c r="C1567" s="1" t="s">
        <v>9</v>
      </c>
      <c r="D1567" s="1" t="s">
        <v>15</v>
      </c>
      <c r="E1567" s="1" t="s">
        <v>19</v>
      </c>
      <c r="F1567" s="1" t="s">
        <v>21</v>
      </c>
      <c r="G1567" s="4">
        <v>593.29999999999995</v>
      </c>
      <c r="H1567" s="1">
        <v>3</v>
      </c>
      <c r="I1567" s="1" t="str">
        <f>TEXT(SalesTable[[#This Row],[Order_Date]],"mmm")</f>
        <v>Apr</v>
      </c>
      <c r="J1567" s="1">
        <f>YEAR(SalesTable[[#This Row],[Order_Date]])</f>
        <v>2026</v>
      </c>
      <c r="K1567" s="4">
        <v>-10.99</v>
      </c>
      <c r="L1567" s="9">
        <f>SalesTable[[#This Row],[Profit]]/SalesTable[[#This Row],[Sales]]</f>
        <v>-1.8523512556885221E-2</v>
      </c>
    </row>
    <row r="1568" spans="1:12" ht="14" x14ac:dyDescent="0.15">
      <c r="A1568" s="1">
        <v>11567</v>
      </c>
      <c r="B1568" s="2">
        <v>46128</v>
      </c>
      <c r="C1568" s="1" t="s">
        <v>11</v>
      </c>
      <c r="D1568" s="1" t="s">
        <v>14</v>
      </c>
      <c r="E1568" s="1" t="s">
        <v>20</v>
      </c>
      <c r="F1568" s="1" t="s">
        <v>22</v>
      </c>
      <c r="G1568" s="4">
        <v>912.09</v>
      </c>
      <c r="H1568" s="1">
        <v>2</v>
      </c>
      <c r="I1568" s="1" t="str">
        <f>TEXT(SalesTable[[#This Row],[Order_Date]],"mmm")</f>
        <v>Apr</v>
      </c>
      <c r="J1568" s="1">
        <f>YEAR(SalesTable[[#This Row],[Order_Date]])</f>
        <v>2026</v>
      </c>
      <c r="K1568" s="4">
        <v>299.87</v>
      </c>
      <c r="L1568" s="9">
        <f>SalesTable[[#This Row],[Profit]]/SalesTable[[#This Row],[Sales]]</f>
        <v>0.32877237991864838</v>
      </c>
    </row>
    <row r="1569" spans="1:12" ht="14" x14ac:dyDescent="0.15">
      <c r="A1569" s="1">
        <v>11568</v>
      </c>
      <c r="B1569" s="2">
        <v>46129</v>
      </c>
      <c r="C1569" s="1" t="s">
        <v>10</v>
      </c>
      <c r="D1569" s="1" t="s">
        <v>14</v>
      </c>
      <c r="E1569" s="1" t="s">
        <v>16</v>
      </c>
      <c r="F1569" s="1" t="s">
        <v>23</v>
      </c>
      <c r="G1569" s="4">
        <v>166.36</v>
      </c>
      <c r="H1569" s="1">
        <v>5</v>
      </c>
      <c r="I1569" s="1" t="str">
        <f>TEXT(SalesTable[[#This Row],[Order_Date]],"mmm")</f>
        <v>Apr</v>
      </c>
      <c r="J1569" s="1">
        <f>YEAR(SalesTable[[#This Row],[Order_Date]])</f>
        <v>2026</v>
      </c>
      <c r="K1569" s="4">
        <v>-31.39</v>
      </c>
      <c r="L1569" s="9">
        <f>SalesTable[[#This Row],[Profit]]/SalesTable[[#This Row],[Sales]]</f>
        <v>-0.18868718441933155</v>
      </c>
    </row>
    <row r="1570" spans="1:12" ht="14" x14ac:dyDescent="0.15">
      <c r="A1570" s="1">
        <v>11569</v>
      </c>
      <c r="B1570" s="2">
        <v>46130</v>
      </c>
      <c r="C1570" s="1" t="s">
        <v>9</v>
      </c>
      <c r="D1570" s="1" t="s">
        <v>14</v>
      </c>
      <c r="E1570" s="1" t="s">
        <v>20</v>
      </c>
      <c r="F1570" s="1" t="s">
        <v>22</v>
      </c>
      <c r="G1570" s="4">
        <v>557.33000000000004</v>
      </c>
      <c r="H1570" s="1">
        <v>1</v>
      </c>
      <c r="I1570" s="1" t="str">
        <f>TEXT(SalesTable[[#This Row],[Order_Date]],"mmm")</f>
        <v>Apr</v>
      </c>
      <c r="J1570" s="1">
        <f>YEAR(SalesTable[[#This Row],[Order_Date]])</f>
        <v>2026</v>
      </c>
      <c r="K1570" s="4">
        <v>208.62</v>
      </c>
      <c r="L1570" s="9">
        <f>SalesTable[[#This Row],[Profit]]/SalesTable[[#This Row],[Sales]]</f>
        <v>0.37432042057667808</v>
      </c>
    </row>
    <row r="1571" spans="1:12" ht="14" x14ac:dyDescent="0.15">
      <c r="A1571" s="1">
        <v>11570</v>
      </c>
      <c r="B1571" s="2">
        <v>46131</v>
      </c>
      <c r="C1571" s="1" t="s">
        <v>12</v>
      </c>
      <c r="D1571" s="1" t="s">
        <v>14</v>
      </c>
      <c r="E1571" s="1" t="s">
        <v>20</v>
      </c>
      <c r="F1571" s="1" t="s">
        <v>25</v>
      </c>
      <c r="G1571" s="4">
        <v>885.49</v>
      </c>
      <c r="H1571" s="1">
        <v>3</v>
      </c>
      <c r="I1571" s="1" t="str">
        <f>TEXT(SalesTable[[#This Row],[Order_Date]],"mmm")</f>
        <v>Apr</v>
      </c>
      <c r="J1571" s="1">
        <f>YEAR(SalesTable[[#This Row],[Order_Date]])</f>
        <v>2026</v>
      </c>
      <c r="K1571" s="4">
        <v>-10.63</v>
      </c>
      <c r="L1571" s="9">
        <f>SalesTable[[#This Row],[Profit]]/SalesTable[[#This Row],[Sales]]</f>
        <v>-1.2004652791110008E-2</v>
      </c>
    </row>
    <row r="1572" spans="1:12" ht="14" x14ac:dyDescent="0.15">
      <c r="A1572" s="1">
        <v>11571</v>
      </c>
      <c r="B1572" s="2">
        <v>46132</v>
      </c>
      <c r="C1572" s="1" t="s">
        <v>12</v>
      </c>
      <c r="D1572" s="1" t="s">
        <v>14</v>
      </c>
      <c r="E1572" s="1" t="s">
        <v>19</v>
      </c>
      <c r="F1572" s="1" t="s">
        <v>24</v>
      </c>
      <c r="G1572" s="4">
        <v>439.52</v>
      </c>
      <c r="H1572" s="1">
        <v>1</v>
      </c>
      <c r="I1572" s="1" t="str">
        <f>TEXT(SalesTable[[#This Row],[Order_Date]],"mmm")</f>
        <v>Apr</v>
      </c>
      <c r="J1572" s="1">
        <f>YEAR(SalesTable[[#This Row],[Order_Date]])</f>
        <v>2026</v>
      </c>
      <c r="K1572" s="4">
        <v>-67.66</v>
      </c>
      <c r="L1572" s="9">
        <f>SalesTable[[#This Row],[Profit]]/SalesTable[[#This Row],[Sales]]</f>
        <v>-0.15394066254095376</v>
      </c>
    </row>
    <row r="1573" spans="1:12" ht="14" x14ac:dyDescent="0.15">
      <c r="A1573" s="1">
        <v>11572</v>
      </c>
      <c r="B1573" s="2">
        <v>46133</v>
      </c>
      <c r="C1573" s="1" t="s">
        <v>10</v>
      </c>
      <c r="D1573" s="1" t="s">
        <v>15</v>
      </c>
      <c r="E1573" s="1" t="s">
        <v>18</v>
      </c>
      <c r="F1573" s="1" t="s">
        <v>22</v>
      </c>
      <c r="G1573" s="4">
        <v>507.9</v>
      </c>
      <c r="H1573" s="1">
        <v>3</v>
      </c>
      <c r="I1573" s="1" t="str">
        <f>TEXT(SalesTable[[#This Row],[Order_Date]],"mmm")</f>
        <v>Apr</v>
      </c>
      <c r="J1573" s="1">
        <f>YEAR(SalesTable[[#This Row],[Order_Date]])</f>
        <v>2026</v>
      </c>
      <c r="K1573" s="4">
        <v>249.97</v>
      </c>
      <c r="L1573" s="9">
        <f>SalesTable[[#This Row],[Profit]]/SalesTable[[#This Row],[Sales]]</f>
        <v>0.49216381177397128</v>
      </c>
    </row>
    <row r="1574" spans="1:12" ht="14" x14ac:dyDescent="0.15">
      <c r="A1574" s="1">
        <v>11573</v>
      </c>
      <c r="B1574" s="2">
        <v>46134</v>
      </c>
      <c r="C1574" s="1" t="s">
        <v>12</v>
      </c>
      <c r="D1574" s="1" t="s">
        <v>14</v>
      </c>
      <c r="E1574" s="1" t="s">
        <v>17</v>
      </c>
      <c r="F1574" s="1" t="s">
        <v>24</v>
      </c>
      <c r="G1574" s="4">
        <v>116.94</v>
      </c>
      <c r="H1574" s="1">
        <v>4</v>
      </c>
      <c r="I1574" s="1" t="str">
        <f>TEXT(SalesTable[[#This Row],[Order_Date]],"mmm")</f>
        <v>Apr</v>
      </c>
      <c r="J1574" s="1">
        <f>YEAR(SalesTable[[#This Row],[Order_Date]])</f>
        <v>2026</v>
      </c>
      <c r="K1574" s="4">
        <v>243.5</v>
      </c>
      <c r="L1574" s="9">
        <f>SalesTable[[#This Row],[Profit]]/SalesTable[[#This Row],[Sales]]</f>
        <v>2.0822644090986833</v>
      </c>
    </row>
    <row r="1575" spans="1:12" ht="14" x14ac:dyDescent="0.15">
      <c r="A1575" s="1">
        <v>11574</v>
      </c>
      <c r="B1575" s="2">
        <v>46135</v>
      </c>
      <c r="C1575" s="1" t="s">
        <v>12</v>
      </c>
      <c r="D1575" s="1" t="s">
        <v>15</v>
      </c>
      <c r="E1575" s="1" t="s">
        <v>20</v>
      </c>
      <c r="F1575" s="1" t="s">
        <v>23</v>
      </c>
      <c r="G1575" s="4">
        <v>314.24</v>
      </c>
      <c r="H1575" s="1">
        <v>7</v>
      </c>
      <c r="I1575" s="1" t="str">
        <f>TEXT(SalesTable[[#This Row],[Order_Date]],"mmm")</f>
        <v>Apr</v>
      </c>
      <c r="J1575" s="1">
        <f>YEAR(SalesTable[[#This Row],[Order_Date]])</f>
        <v>2026</v>
      </c>
      <c r="K1575" s="4">
        <v>61.43</v>
      </c>
      <c r="L1575" s="9">
        <f>SalesTable[[#This Row],[Profit]]/SalesTable[[#This Row],[Sales]]</f>
        <v>0.19548752545824846</v>
      </c>
    </row>
    <row r="1576" spans="1:12" ht="14" x14ac:dyDescent="0.15">
      <c r="A1576" s="1">
        <v>11575</v>
      </c>
      <c r="B1576" s="2">
        <v>46136</v>
      </c>
      <c r="C1576" s="1" t="s">
        <v>10</v>
      </c>
      <c r="D1576" s="1" t="s">
        <v>15</v>
      </c>
      <c r="E1576" s="1" t="s">
        <v>18</v>
      </c>
      <c r="F1576" s="1" t="s">
        <v>25</v>
      </c>
      <c r="G1576" s="4">
        <v>358.28</v>
      </c>
      <c r="H1576" s="1">
        <v>5</v>
      </c>
      <c r="I1576" s="1" t="str">
        <f>TEXT(SalesTable[[#This Row],[Order_Date]],"mmm")</f>
        <v>Apr</v>
      </c>
      <c r="J1576" s="1">
        <f>YEAR(SalesTable[[#This Row],[Order_Date]])</f>
        <v>2026</v>
      </c>
      <c r="K1576" s="4">
        <v>180.96</v>
      </c>
      <c r="L1576" s="9">
        <f>SalesTable[[#This Row],[Profit]]/SalesTable[[#This Row],[Sales]]</f>
        <v>0.50507982583454292</v>
      </c>
    </row>
    <row r="1577" spans="1:12" ht="14" x14ac:dyDescent="0.15">
      <c r="A1577" s="1">
        <v>11576</v>
      </c>
      <c r="B1577" s="2">
        <v>46137</v>
      </c>
      <c r="C1577" s="1" t="s">
        <v>9</v>
      </c>
      <c r="D1577" s="1" t="s">
        <v>14</v>
      </c>
      <c r="E1577" s="1" t="s">
        <v>17</v>
      </c>
      <c r="F1577" s="1" t="s">
        <v>23</v>
      </c>
      <c r="G1577" s="4">
        <v>947.87</v>
      </c>
      <c r="H1577" s="1">
        <v>5</v>
      </c>
      <c r="I1577" s="1" t="str">
        <f>TEXT(SalesTable[[#This Row],[Order_Date]],"mmm")</f>
        <v>Apr</v>
      </c>
      <c r="J1577" s="1">
        <f>YEAR(SalesTable[[#This Row],[Order_Date]])</f>
        <v>2026</v>
      </c>
      <c r="K1577" s="4">
        <v>122.83</v>
      </c>
      <c r="L1577" s="9">
        <f>SalesTable[[#This Row],[Profit]]/SalesTable[[#This Row],[Sales]]</f>
        <v>0.12958528068195005</v>
      </c>
    </row>
    <row r="1578" spans="1:12" ht="14" x14ac:dyDescent="0.15">
      <c r="A1578" s="1">
        <v>11577</v>
      </c>
      <c r="B1578" s="2">
        <v>46138</v>
      </c>
      <c r="C1578" s="1" t="s">
        <v>9</v>
      </c>
      <c r="D1578" s="1" t="s">
        <v>14</v>
      </c>
      <c r="E1578" s="1" t="s">
        <v>20</v>
      </c>
      <c r="F1578" s="1" t="s">
        <v>25</v>
      </c>
      <c r="G1578" s="4">
        <v>318.52999999999997</v>
      </c>
      <c r="H1578" s="1">
        <v>1</v>
      </c>
      <c r="I1578" s="1" t="str">
        <f>TEXT(SalesTable[[#This Row],[Order_Date]],"mmm")</f>
        <v>Apr</v>
      </c>
      <c r="J1578" s="1">
        <f>YEAR(SalesTable[[#This Row],[Order_Date]])</f>
        <v>2026</v>
      </c>
      <c r="K1578" s="4">
        <v>241.18</v>
      </c>
      <c r="L1578" s="9">
        <f>SalesTable[[#This Row],[Profit]]/SalesTable[[#This Row],[Sales]]</f>
        <v>0.75716573007252075</v>
      </c>
    </row>
    <row r="1579" spans="1:12" ht="14" x14ac:dyDescent="0.15">
      <c r="A1579" s="1">
        <v>11578</v>
      </c>
      <c r="B1579" s="2">
        <v>46139</v>
      </c>
      <c r="C1579" s="1" t="s">
        <v>12</v>
      </c>
      <c r="D1579" s="1" t="s">
        <v>15</v>
      </c>
      <c r="E1579" s="1" t="s">
        <v>17</v>
      </c>
      <c r="F1579" s="1" t="s">
        <v>25</v>
      </c>
      <c r="G1579" s="4">
        <v>487.83</v>
      </c>
      <c r="H1579" s="1">
        <v>8</v>
      </c>
      <c r="I1579" s="1" t="str">
        <f>TEXT(SalesTable[[#This Row],[Order_Date]],"mmm")</f>
        <v>Apr</v>
      </c>
      <c r="J1579" s="1">
        <f>YEAR(SalesTable[[#This Row],[Order_Date]])</f>
        <v>2026</v>
      </c>
      <c r="K1579" s="4">
        <v>26.02</v>
      </c>
      <c r="L1579" s="9">
        <f>SalesTable[[#This Row],[Profit]]/SalesTable[[#This Row],[Sales]]</f>
        <v>5.3338253079966383E-2</v>
      </c>
    </row>
    <row r="1580" spans="1:12" ht="14" x14ac:dyDescent="0.15">
      <c r="A1580" s="1">
        <v>11579</v>
      </c>
      <c r="B1580" s="2">
        <v>46140</v>
      </c>
      <c r="C1580" s="1" t="s">
        <v>12</v>
      </c>
      <c r="D1580" s="1" t="s">
        <v>14</v>
      </c>
      <c r="E1580" s="1" t="s">
        <v>18</v>
      </c>
      <c r="F1580" s="1" t="s">
        <v>24</v>
      </c>
      <c r="G1580" s="4">
        <v>687.74</v>
      </c>
      <c r="H1580" s="1">
        <v>4</v>
      </c>
      <c r="I1580" s="1" t="str">
        <f>TEXT(SalesTable[[#This Row],[Order_Date]],"mmm")</f>
        <v>Apr</v>
      </c>
      <c r="J1580" s="1">
        <f>YEAR(SalesTable[[#This Row],[Order_Date]])</f>
        <v>2026</v>
      </c>
      <c r="K1580" s="4">
        <v>109.47</v>
      </c>
      <c r="L1580" s="9">
        <f>SalesTable[[#This Row],[Profit]]/SalesTable[[#This Row],[Sales]]</f>
        <v>0.15917352487858782</v>
      </c>
    </row>
    <row r="1581" spans="1:12" ht="14" x14ac:dyDescent="0.15">
      <c r="A1581" s="1">
        <v>11580</v>
      </c>
      <c r="B1581" s="2">
        <v>46141</v>
      </c>
      <c r="C1581" s="1" t="s">
        <v>9</v>
      </c>
      <c r="D1581" s="1" t="s">
        <v>14</v>
      </c>
      <c r="E1581" s="1" t="s">
        <v>16</v>
      </c>
      <c r="F1581" s="1" t="s">
        <v>23</v>
      </c>
      <c r="G1581" s="4">
        <v>204.07</v>
      </c>
      <c r="H1581" s="1">
        <v>5</v>
      </c>
      <c r="I1581" s="1" t="str">
        <f>TEXT(SalesTable[[#This Row],[Order_Date]],"mmm")</f>
        <v>Apr</v>
      </c>
      <c r="J1581" s="1">
        <f>YEAR(SalesTable[[#This Row],[Order_Date]])</f>
        <v>2026</v>
      </c>
      <c r="K1581" s="4">
        <v>94.15</v>
      </c>
      <c r="L1581" s="9">
        <f>SalesTable[[#This Row],[Profit]]/SalesTable[[#This Row],[Sales]]</f>
        <v>0.46136129759396288</v>
      </c>
    </row>
    <row r="1582" spans="1:12" ht="14" x14ac:dyDescent="0.15">
      <c r="A1582" s="1">
        <v>11581</v>
      </c>
      <c r="B1582" s="2">
        <v>46142</v>
      </c>
      <c r="C1582" s="1" t="s">
        <v>10</v>
      </c>
      <c r="D1582" s="1" t="s">
        <v>14</v>
      </c>
      <c r="E1582" s="1" t="s">
        <v>18</v>
      </c>
      <c r="F1582" s="1" t="s">
        <v>23</v>
      </c>
      <c r="G1582" s="4">
        <v>512.12</v>
      </c>
      <c r="H1582" s="1">
        <v>2</v>
      </c>
      <c r="I1582" s="1" t="str">
        <f>TEXT(SalesTable[[#This Row],[Order_Date]],"mmm")</f>
        <v>Apr</v>
      </c>
      <c r="J1582" s="1">
        <f>YEAR(SalesTable[[#This Row],[Order_Date]])</f>
        <v>2026</v>
      </c>
      <c r="K1582" s="4">
        <v>41.56</v>
      </c>
      <c r="L1582" s="9">
        <f>SalesTable[[#This Row],[Profit]]/SalesTable[[#This Row],[Sales]]</f>
        <v>8.1152854799656338E-2</v>
      </c>
    </row>
    <row r="1583" spans="1:12" ht="14" x14ac:dyDescent="0.15">
      <c r="A1583" s="1">
        <v>11582</v>
      </c>
      <c r="B1583" s="2">
        <v>46143</v>
      </c>
      <c r="C1583" s="1" t="s">
        <v>12</v>
      </c>
      <c r="D1583" s="1" t="s">
        <v>13</v>
      </c>
      <c r="E1583" s="1" t="s">
        <v>19</v>
      </c>
      <c r="F1583" s="1" t="s">
        <v>22</v>
      </c>
      <c r="G1583" s="4">
        <v>751.61</v>
      </c>
      <c r="H1583" s="1">
        <v>1</v>
      </c>
      <c r="I1583" s="1" t="str">
        <f>TEXT(SalesTable[[#This Row],[Order_Date]],"mmm")</f>
        <v>May</v>
      </c>
      <c r="J1583" s="1">
        <f>YEAR(SalesTable[[#This Row],[Order_Date]])</f>
        <v>2026</v>
      </c>
      <c r="K1583" s="4">
        <v>256.58</v>
      </c>
      <c r="L1583" s="9">
        <f>SalesTable[[#This Row],[Profit]]/SalesTable[[#This Row],[Sales]]</f>
        <v>0.34137385080028204</v>
      </c>
    </row>
    <row r="1584" spans="1:12" ht="14" x14ac:dyDescent="0.15">
      <c r="A1584" s="1">
        <v>11583</v>
      </c>
      <c r="B1584" s="2">
        <v>46144</v>
      </c>
      <c r="C1584" s="1" t="s">
        <v>11</v>
      </c>
      <c r="D1584" s="1" t="s">
        <v>15</v>
      </c>
      <c r="E1584" s="1" t="s">
        <v>17</v>
      </c>
      <c r="F1584" s="1" t="s">
        <v>23</v>
      </c>
      <c r="G1584" s="4">
        <v>873.51</v>
      </c>
      <c r="H1584" s="1">
        <v>9</v>
      </c>
      <c r="I1584" s="1" t="str">
        <f>TEXT(SalesTable[[#This Row],[Order_Date]],"mmm")</f>
        <v>May</v>
      </c>
      <c r="J1584" s="1">
        <f>YEAR(SalesTable[[#This Row],[Order_Date]])</f>
        <v>2026</v>
      </c>
      <c r="K1584" s="4">
        <v>-33.65</v>
      </c>
      <c r="L1584" s="9">
        <f>SalesTable[[#This Row],[Profit]]/SalesTable[[#This Row],[Sales]]</f>
        <v>-3.8522741582809585E-2</v>
      </c>
    </row>
    <row r="1585" spans="1:12" ht="14" x14ac:dyDescent="0.15">
      <c r="A1585" s="1">
        <v>11584</v>
      </c>
      <c r="B1585" s="2">
        <v>46145</v>
      </c>
      <c r="C1585" s="1" t="s">
        <v>10</v>
      </c>
      <c r="D1585" s="1" t="s">
        <v>13</v>
      </c>
      <c r="E1585" s="1" t="s">
        <v>16</v>
      </c>
      <c r="F1585" s="1" t="s">
        <v>22</v>
      </c>
      <c r="G1585" s="4">
        <v>644.95000000000005</v>
      </c>
      <c r="H1585" s="1">
        <v>2</v>
      </c>
      <c r="I1585" s="1" t="str">
        <f>TEXT(SalesTable[[#This Row],[Order_Date]],"mmm")</f>
        <v>May</v>
      </c>
      <c r="J1585" s="1">
        <f>YEAR(SalesTable[[#This Row],[Order_Date]])</f>
        <v>2026</v>
      </c>
      <c r="K1585" s="4">
        <v>-40.200000000000003</v>
      </c>
      <c r="L1585" s="9">
        <f>SalesTable[[#This Row],[Profit]]/SalesTable[[#This Row],[Sales]]</f>
        <v>-6.2330413210326382E-2</v>
      </c>
    </row>
    <row r="1586" spans="1:12" ht="14" x14ac:dyDescent="0.15">
      <c r="A1586" s="1">
        <v>11585</v>
      </c>
      <c r="B1586" s="2">
        <v>46146</v>
      </c>
      <c r="C1586" s="1" t="s">
        <v>12</v>
      </c>
      <c r="D1586" s="1" t="s">
        <v>14</v>
      </c>
      <c r="E1586" s="1" t="s">
        <v>17</v>
      </c>
      <c r="F1586" s="1" t="s">
        <v>21</v>
      </c>
      <c r="G1586" s="4">
        <v>685.6</v>
      </c>
      <c r="H1586" s="1">
        <v>6</v>
      </c>
      <c r="I1586" s="1" t="str">
        <f>TEXT(SalesTable[[#This Row],[Order_Date]],"mmm")</f>
        <v>May</v>
      </c>
      <c r="J1586" s="1">
        <f>YEAR(SalesTable[[#This Row],[Order_Date]])</f>
        <v>2026</v>
      </c>
      <c r="K1586" s="4">
        <v>130.76</v>
      </c>
      <c r="L1586" s="9">
        <f>SalesTable[[#This Row],[Profit]]/SalesTable[[#This Row],[Sales]]</f>
        <v>0.19072345390898482</v>
      </c>
    </row>
    <row r="1587" spans="1:12" ht="14" x14ac:dyDescent="0.15">
      <c r="A1587" s="1">
        <v>11586</v>
      </c>
      <c r="B1587" s="2">
        <v>46147</v>
      </c>
      <c r="C1587" s="1" t="s">
        <v>12</v>
      </c>
      <c r="D1587" s="1" t="s">
        <v>13</v>
      </c>
      <c r="E1587" s="1" t="s">
        <v>17</v>
      </c>
      <c r="F1587" s="1" t="s">
        <v>21</v>
      </c>
      <c r="G1587" s="4">
        <v>169.97</v>
      </c>
      <c r="H1587" s="1">
        <v>1</v>
      </c>
      <c r="I1587" s="1" t="str">
        <f>TEXT(SalesTable[[#This Row],[Order_Date]],"mmm")</f>
        <v>May</v>
      </c>
      <c r="J1587" s="1">
        <f>YEAR(SalesTable[[#This Row],[Order_Date]])</f>
        <v>2026</v>
      </c>
      <c r="K1587" s="4">
        <v>163</v>
      </c>
      <c r="L1587" s="9">
        <f>SalesTable[[#This Row],[Profit]]/SalesTable[[#This Row],[Sales]]</f>
        <v>0.95899276342884043</v>
      </c>
    </row>
    <row r="1588" spans="1:12" ht="14" x14ac:dyDescent="0.15">
      <c r="A1588" s="1">
        <v>11587</v>
      </c>
      <c r="B1588" s="2">
        <v>46148</v>
      </c>
      <c r="C1588" s="1" t="s">
        <v>11</v>
      </c>
      <c r="D1588" s="1" t="s">
        <v>14</v>
      </c>
      <c r="E1588" s="1" t="s">
        <v>20</v>
      </c>
      <c r="F1588" s="1" t="s">
        <v>21</v>
      </c>
      <c r="G1588" s="4">
        <v>948.49</v>
      </c>
      <c r="H1588" s="1">
        <v>1</v>
      </c>
      <c r="I1588" s="1" t="str">
        <f>TEXT(SalesTable[[#This Row],[Order_Date]],"mmm")</f>
        <v>May</v>
      </c>
      <c r="J1588" s="1">
        <f>YEAR(SalesTable[[#This Row],[Order_Date]])</f>
        <v>2026</v>
      </c>
      <c r="K1588" s="4">
        <v>-22.15</v>
      </c>
      <c r="L1588" s="9">
        <f>SalesTable[[#This Row],[Profit]]/SalesTable[[#This Row],[Sales]]</f>
        <v>-2.3352908306887788E-2</v>
      </c>
    </row>
    <row r="1589" spans="1:12" ht="14" x14ac:dyDescent="0.15">
      <c r="A1589" s="1">
        <v>11588</v>
      </c>
      <c r="B1589" s="2">
        <v>46149</v>
      </c>
      <c r="C1589" s="1" t="s">
        <v>11</v>
      </c>
      <c r="D1589" s="1" t="s">
        <v>13</v>
      </c>
      <c r="E1589" s="1" t="s">
        <v>19</v>
      </c>
      <c r="F1589" s="1" t="s">
        <v>23</v>
      </c>
      <c r="G1589" s="4">
        <v>175.95</v>
      </c>
      <c r="H1589" s="1">
        <v>9</v>
      </c>
      <c r="I1589" s="1" t="str">
        <f>TEXT(SalesTable[[#This Row],[Order_Date]],"mmm")</f>
        <v>May</v>
      </c>
      <c r="J1589" s="1">
        <f>YEAR(SalesTable[[#This Row],[Order_Date]])</f>
        <v>2026</v>
      </c>
      <c r="K1589" s="4">
        <v>56.29</v>
      </c>
      <c r="L1589" s="9">
        <f>SalesTable[[#This Row],[Profit]]/SalesTable[[#This Row],[Sales]]</f>
        <v>0.31992043194089231</v>
      </c>
    </row>
    <row r="1590" spans="1:12" ht="14" x14ac:dyDescent="0.15">
      <c r="A1590" s="1">
        <v>11589</v>
      </c>
      <c r="B1590" s="2">
        <v>46150</v>
      </c>
      <c r="C1590" s="1" t="s">
        <v>9</v>
      </c>
      <c r="D1590" s="1" t="s">
        <v>14</v>
      </c>
      <c r="E1590" s="1" t="s">
        <v>17</v>
      </c>
      <c r="F1590" s="1" t="s">
        <v>23</v>
      </c>
      <c r="G1590" s="4">
        <v>785.94</v>
      </c>
      <c r="H1590" s="1">
        <v>4</v>
      </c>
      <c r="I1590" s="1" t="str">
        <f>TEXT(SalesTable[[#This Row],[Order_Date]],"mmm")</f>
        <v>May</v>
      </c>
      <c r="J1590" s="1">
        <f>YEAR(SalesTable[[#This Row],[Order_Date]])</f>
        <v>2026</v>
      </c>
      <c r="K1590" s="4">
        <v>278.63</v>
      </c>
      <c r="L1590" s="9">
        <f>SalesTable[[#This Row],[Profit]]/SalesTable[[#This Row],[Sales]]</f>
        <v>0.35451815660228514</v>
      </c>
    </row>
    <row r="1591" spans="1:12" ht="14" x14ac:dyDescent="0.15">
      <c r="A1591" s="1">
        <v>11590</v>
      </c>
      <c r="B1591" s="2">
        <v>46151</v>
      </c>
      <c r="C1591" s="1" t="s">
        <v>10</v>
      </c>
      <c r="D1591" s="1" t="s">
        <v>13</v>
      </c>
      <c r="E1591" s="1" t="s">
        <v>18</v>
      </c>
      <c r="F1591" s="1" t="s">
        <v>22</v>
      </c>
      <c r="G1591" s="4">
        <v>301.58</v>
      </c>
      <c r="H1591" s="1">
        <v>9</v>
      </c>
      <c r="I1591" s="1" t="str">
        <f>TEXT(SalesTable[[#This Row],[Order_Date]],"mmm")</f>
        <v>May</v>
      </c>
      <c r="J1591" s="1">
        <f>YEAR(SalesTable[[#This Row],[Order_Date]])</f>
        <v>2026</v>
      </c>
      <c r="K1591" s="4">
        <v>-1.35</v>
      </c>
      <c r="L1591" s="9">
        <f>SalesTable[[#This Row],[Profit]]/SalesTable[[#This Row],[Sales]]</f>
        <v>-4.4764241660587576E-3</v>
      </c>
    </row>
    <row r="1592" spans="1:12" ht="14" x14ac:dyDescent="0.15">
      <c r="A1592" s="1">
        <v>11591</v>
      </c>
      <c r="B1592" s="2">
        <v>46152</v>
      </c>
      <c r="C1592" s="1" t="s">
        <v>10</v>
      </c>
      <c r="D1592" s="1" t="s">
        <v>13</v>
      </c>
      <c r="E1592" s="1" t="s">
        <v>18</v>
      </c>
      <c r="F1592" s="1" t="s">
        <v>25</v>
      </c>
      <c r="G1592" s="4">
        <v>936.91</v>
      </c>
      <c r="H1592" s="1">
        <v>5</v>
      </c>
      <c r="I1592" s="1" t="str">
        <f>TEXT(SalesTable[[#This Row],[Order_Date]],"mmm")</f>
        <v>May</v>
      </c>
      <c r="J1592" s="1">
        <f>YEAR(SalesTable[[#This Row],[Order_Date]])</f>
        <v>2026</v>
      </c>
      <c r="K1592" s="4">
        <v>167.34</v>
      </c>
      <c r="L1592" s="9">
        <f>SalesTable[[#This Row],[Profit]]/SalesTable[[#This Row],[Sales]]</f>
        <v>0.17860840422239063</v>
      </c>
    </row>
    <row r="1593" spans="1:12" ht="14" x14ac:dyDescent="0.15">
      <c r="A1593" s="1">
        <v>11592</v>
      </c>
      <c r="B1593" s="2">
        <v>46153</v>
      </c>
      <c r="C1593" s="1" t="s">
        <v>9</v>
      </c>
      <c r="D1593" s="1" t="s">
        <v>13</v>
      </c>
      <c r="E1593" s="1" t="s">
        <v>20</v>
      </c>
      <c r="F1593" s="1" t="s">
        <v>22</v>
      </c>
      <c r="G1593" s="4">
        <v>733.96</v>
      </c>
      <c r="H1593" s="1">
        <v>7</v>
      </c>
      <c r="I1593" s="1" t="str">
        <f>TEXT(SalesTable[[#This Row],[Order_Date]],"mmm")</f>
        <v>May</v>
      </c>
      <c r="J1593" s="1">
        <f>YEAR(SalesTable[[#This Row],[Order_Date]])</f>
        <v>2026</v>
      </c>
      <c r="K1593" s="4">
        <v>196.06</v>
      </c>
      <c r="L1593" s="9">
        <f>SalesTable[[#This Row],[Profit]]/SalesTable[[#This Row],[Sales]]</f>
        <v>0.26712627391138483</v>
      </c>
    </row>
    <row r="1594" spans="1:12" ht="14" x14ac:dyDescent="0.15">
      <c r="A1594" s="1">
        <v>11593</v>
      </c>
      <c r="B1594" s="2">
        <v>46154</v>
      </c>
      <c r="C1594" s="1" t="s">
        <v>10</v>
      </c>
      <c r="D1594" s="1" t="s">
        <v>15</v>
      </c>
      <c r="E1594" s="1" t="s">
        <v>19</v>
      </c>
      <c r="F1594" s="1" t="s">
        <v>21</v>
      </c>
      <c r="G1594" s="4">
        <v>766.12</v>
      </c>
      <c r="H1594" s="1">
        <v>1</v>
      </c>
      <c r="I1594" s="1" t="str">
        <f>TEXT(SalesTable[[#This Row],[Order_Date]],"mmm")</f>
        <v>May</v>
      </c>
      <c r="J1594" s="1">
        <f>YEAR(SalesTable[[#This Row],[Order_Date]])</f>
        <v>2026</v>
      </c>
      <c r="K1594" s="4">
        <v>79.25</v>
      </c>
      <c r="L1594" s="9">
        <f>SalesTable[[#This Row],[Profit]]/SalesTable[[#This Row],[Sales]]</f>
        <v>0.10344332480551349</v>
      </c>
    </row>
    <row r="1595" spans="1:12" ht="14" x14ac:dyDescent="0.15">
      <c r="A1595" s="1">
        <v>11594</v>
      </c>
      <c r="B1595" s="2">
        <v>46155</v>
      </c>
      <c r="C1595" s="1" t="s">
        <v>10</v>
      </c>
      <c r="D1595" s="1" t="s">
        <v>13</v>
      </c>
      <c r="E1595" s="1" t="s">
        <v>19</v>
      </c>
      <c r="F1595" s="1" t="s">
        <v>22</v>
      </c>
      <c r="G1595" s="4">
        <v>258.11</v>
      </c>
      <c r="H1595" s="1">
        <v>6</v>
      </c>
      <c r="I1595" s="1" t="str">
        <f>TEXT(SalesTable[[#This Row],[Order_Date]],"mmm")</f>
        <v>May</v>
      </c>
      <c r="J1595" s="1">
        <f>YEAR(SalesTable[[#This Row],[Order_Date]])</f>
        <v>2026</v>
      </c>
      <c r="K1595" s="4">
        <v>275.01</v>
      </c>
      <c r="L1595" s="9">
        <f>SalesTable[[#This Row],[Profit]]/SalesTable[[#This Row],[Sales]]</f>
        <v>1.0654759598620742</v>
      </c>
    </row>
    <row r="1596" spans="1:12" ht="14" x14ac:dyDescent="0.15">
      <c r="A1596" s="1">
        <v>11595</v>
      </c>
      <c r="B1596" s="2">
        <v>46156</v>
      </c>
      <c r="C1596" s="1" t="s">
        <v>10</v>
      </c>
      <c r="D1596" s="1" t="s">
        <v>15</v>
      </c>
      <c r="E1596" s="1" t="s">
        <v>18</v>
      </c>
      <c r="F1596" s="1" t="s">
        <v>25</v>
      </c>
      <c r="G1596" s="4">
        <v>470.89</v>
      </c>
      <c r="H1596" s="1">
        <v>8</v>
      </c>
      <c r="I1596" s="1" t="str">
        <f>TEXT(SalesTable[[#This Row],[Order_Date]],"mmm")</f>
        <v>May</v>
      </c>
      <c r="J1596" s="1">
        <f>YEAR(SalesTable[[#This Row],[Order_Date]])</f>
        <v>2026</v>
      </c>
      <c r="K1596" s="4">
        <v>194.66</v>
      </c>
      <c r="L1596" s="9">
        <f>SalesTable[[#This Row],[Profit]]/SalesTable[[#This Row],[Sales]]</f>
        <v>0.41338741531992612</v>
      </c>
    </row>
    <row r="1597" spans="1:12" ht="14" x14ac:dyDescent="0.15">
      <c r="A1597" s="1">
        <v>11596</v>
      </c>
      <c r="B1597" s="2">
        <v>46157</v>
      </c>
      <c r="C1597" s="1" t="s">
        <v>10</v>
      </c>
      <c r="D1597" s="1" t="s">
        <v>14</v>
      </c>
      <c r="E1597" s="1" t="s">
        <v>16</v>
      </c>
      <c r="F1597" s="1" t="s">
        <v>23</v>
      </c>
      <c r="G1597" s="4">
        <v>636.91999999999996</v>
      </c>
      <c r="H1597" s="1">
        <v>1</v>
      </c>
      <c r="I1597" s="1" t="str">
        <f>TEXT(SalesTable[[#This Row],[Order_Date]],"mmm")</f>
        <v>May</v>
      </c>
      <c r="J1597" s="1">
        <f>YEAR(SalesTable[[#This Row],[Order_Date]])</f>
        <v>2026</v>
      </c>
      <c r="K1597" s="4">
        <v>83.17</v>
      </c>
      <c r="L1597" s="9">
        <f>SalesTable[[#This Row],[Profit]]/SalesTable[[#This Row],[Sales]]</f>
        <v>0.13058154870313385</v>
      </c>
    </row>
    <row r="1598" spans="1:12" ht="14" x14ac:dyDescent="0.15">
      <c r="A1598" s="1">
        <v>11597</v>
      </c>
      <c r="B1598" s="2">
        <v>46158</v>
      </c>
      <c r="C1598" s="1" t="s">
        <v>10</v>
      </c>
      <c r="D1598" s="1" t="s">
        <v>13</v>
      </c>
      <c r="E1598" s="1" t="s">
        <v>20</v>
      </c>
      <c r="F1598" s="1" t="s">
        <v>22</v>
      </c>
      <c r="G1598" s="4">
        <v>781.47</v>
      </c>
      <c r="H1598" s="1">
        <v>9</v>
      </c>
      <c r="I1598" s="1" t="str">
        <f>TEXT(SalesTable[[#This Row],[Order_Date]],"mmm")</f>
        <v>May</v>
      </c>
      <c r="J1598" s="1">
        <f>YEAR(SalesTable[[#This Row],[Order_Date]])</f>
        <v>2026</v>
      </c>
      <c r="K1598" s="4">
        <v>127.73</v>
      </c>
      <c r="L1598" s="9">
        <f>SalesTable[[#This Row],[Profit]]/SalesTable[[#This Row],[Sales]]</f>
        <v>0.1634483729381806</v>
      </c>
    </row>
    <row r="1599" spans="1:12" ht="14" x14ac:dyDescent="0.15">
      <c r="A1599" s="1">
        <v>11598</v>
      </c>
      <c r="B1599" s="2">
        <v>46159</v>
      </c>
      <c r="C1599" s="1" t="s">
        <v>11</v>
      </c>
      <c r="D1599" s="1" t="s">
        <v>14</v>
      </c>
      <c r="E1599" s="1" t="s">
        <v>20</v>
      </c>
      <c r="F1599" s="1" t="s">
        <v>21</v>
      </c>
      <c r="G1599" s="4">
        <v>148.76</v>
      </c>
      <c r="H1599" s="1">
        <v>3</v>
      </c>
      <c r="I1599" s="1" t="str">
        <f>TEXT(SalesTable[[#This Row],[Order_Date]],"mmm")</f>
        <v>May</v>
      </c>
      <c r="J1599" s="1">
        <f>YEAR(SalesTable[[#This Row],[Order_Date]])</f>
        <v>2026</v>
      </c>
      <c r="K1599" s="4">
        <v>177.05</v>
      </c>
      <c r="L1599" s="9">
        <f>SalesTable[[#This Row],[Profit]]/SalesTable[[#This Row],[Sales]]</f>
        <v>1.1901720892713097</v>
      </c>
    </row>
    <row r="1600" spans="1:12" ht="14" x14ac:dyDescent="0.15">
      <c r="A1600" s="1">
        <v>11599</v>
      </c>
      <c r="B1600" s="2">
        <v>46160</v>
      </c>
      <c r="C1600" s="1" t="s">
        <v>10</v>
      </c>
      <c r="D1600" s="1" t="s">
        <v>14</v>
      </c>
      <c r="E1600" s="1" t="s">
        <v>18</v>
      </c>
      <c r="F1600" s="1" t="s">
        <v>21</v>
      </c>
      <c r="G1600" s="4">
        <v>964.25</v>
      </c>
      <c r="H1600" s="1">
        <v>1</v>
      </c>
      <c r="I1600" s="1" t="str">
        <f>TEXT(SalesTable[[#This Row],[Order_Date]],"mmm")</f>
        <v>May</v>
      </c>
      <c r="J1600" s="1">
        <f>YEAR(SalesTable[[#This Row],[Order_Date]])</f>
        <v>2026</v>
      </c>
      <c r="K1600" s="4">
        <v>136.88</v>
      </c>
      <c r="L1600" s="9">
        <f>SalesTable[[#This Row],[Profit]]/SalesTable[[#This Row],[Sales]]</f>
        <v>0.14195488721804511</v>
      </c>
    </row>
    <row r="1601" spans="1:12" ht="14" x14ac:dyDescent="0.15">
      <c r="A1601" s="1">
        <v>11600</v>
      </c>
      <c r="B1601" s="2">
        <v>46161</v>
      </c>
      <c r="C1601" s="1" t="s">
        <v>11</v>
      </c>
      <c r="D1601" s="1" t="s">
        <v>13</v>
      </c>
      <c r="E1601" s="1" t="s">
        <v>18</v>
      </c>
      <c r="F1601" s="1" t="s">
        <v>23</v>
      </c>
      <c r="G1601" s="4">
        <v>895.71</v>
      </c>
      <c r="H1601" s="1">
        <v>1</v>
      </c>
      <c r="I1601" s="1" t="str">
        <f>TEXT(SalesTable[[#This Row],[Order_Date]],"mmm")</f>
        <v>May</v>
      </c>
      <c r="J1601" s="1">
        <f>YEAR(SalesTable[[#This Row],[Order_Date]])</f>
        <v>2026</v>
      </c>
      <c r="K1601" s="4">
        <v>251.48</v>
      </c>
      <c r="L1601" s="9">
        <f>SalesTable[[#This Row],[Profit]]/SalesTable[[#This Row],[Sales]]</f>
        <v>0.28076051400564911</v>
      </c>
    </row>
    <row r="1602" spans="1:12" ht="14" x14ac:dyDescent="0.15">
      <c r="A1602" s="1">
        <v>11601</v>
      </c>
      <c r="B1602" s="2">
        <v>46162</v>
      </c>
      <c r="C1602" s="1" t="s">
        <v>10</v>
      </c>
      <c r="D1602" s="1" t="s">
        <v>15</v>
      </c>
      <c r="E1602" s="1" t="s">
        <v>16</v>
      </c>
      <c r="F1602" s="1" t="s">
        <v>22</v>
      </c>
      <c r="G1602" s="4">
        <v>306.83</v>
      </c>
      <c r="H1602" s="1">
        <v>6</v>
      </c>
      <c r="I1602" s="1" t="str">
        <f>TEXT(SalesTable[[#This Row],[Order_Date]],"mmm")</f>
        <v>May</v>
      </c>
      <c r="J1602" s="1">
        <f>YEAR(SalesTable[[#This Row],[Order_Date]])</f>
        <v>2026</v>
      </c>
      <c r="K1602" s="4">
        <v>42.76</v>
      </c>
      <c r="L1602" s="9">
        <f>SalesTable[[#This Row],[Profit]]/SalesTable[[#This Row],[Sales]]</f>
        <v>0.13936055796369326</v>
      </c>
    </row>
    <row r="1603" spans="1:12" ht="14" x14ac:dyDescent="0.15">
      <c r="A1603" s="1">
        <v>11602</v>
      </c>
      <c r="B1603" s="2">
        <v>46163</v>
      </c>
      <c r="C1603" s="1" t="s">
        <v>9</v>
      </c>
      <c r="D1603" s="1" t="s">
        <v>13</v>
      </c>
      <c r="E1603" s="1" t="s">
        <v>16</v>
      </c>
      <c r="F1603" s="1" t="s">
        <v>25</v>
      </c>
      <c r="G1603" s="4">
        <v>831.62</v>
      </c>
      <c r="H1603" s="1">
        <v>6</v>
      </c>
      <c r="I1603" s="1" t="str">
        <f>TEXT(SalesTable[[#This Row],[Order_Date]],"mmm")</f>
        <v>May</v>
      </c>
      <c r="J1603" s="1">
        <f>YEAR(SalesTable[[#This Row],[Order_Date]])</f>
        <v>2026</v>
      </c>
      <c r="K1603" s="4">
        <v>19.95</v>
      </c>
      <c r="L1603" s="9">
        <f>SalesTable[[#This Row],[Profit]]/SalesTable[[#This Row],[Sales]]</f>
        <v>2.3989322046126835E-2</v>
      </c>
    </row>
    <row r="1604" spans="1:12" ht="14" x14ac:dyDescent="0.15">
      <c r="A1604" s="1">
        <v>11603</v>
      </c>
      <c r="B1604" s="2">
        <v>46164</v>
      </c>
      <c r="C1604" s="1" t="s">
        <v>12</v>
      </c>
      <c r="D1604" s="1" t="s">
        <v>14</v>
      </c>
      <c r="E1604" s="1" t="s">
        <v>19</v>
      </c>
      <c r="F1604" s="1" t="s">
        <v>23</v>
      </c>
      <c r="G1604" s="4">
        <v>542.41</v>
      </c>
      <c r="H1604" s="1">
        <v>1</v>
      </c>
      <c r="I1604" s="1" t="str">
        <f>TEXT(SalesTable[[#This Row],[Order_Date]],"mmm")</f>
        <v>May</v>
      </c>
      <c r="J1604" s="1">
        <f>YEAR(SalesTable[[#This Row],[Order_Date]])</f>
        <v>2026</v>
      </c>
      <c r="K1604" s="4">
        <v>-14.46</v>
      </c>
      <c r="L1604" s="9">
        <f>SalesTable[[#This Row],[Profit]]/SalesTable[[#This Row],[Sales]]</f>
        <v>-2.6658800538338162E-2</v>
      </c>
    </row>
    <row r="1605" spans="1:12" ht="14" x14ac:dyDescent="0.15">
      <c r="A1605" s="1">
        <v>11604</v>
      </c>
      <c r="B1605" s="2">
        <v>46165</v>
      </c>
      <c r="C1605" s="1" t="s">
        <v>11</v>
      </c>
      <c r="D1605" s="1" t="s">
        <v>14</v>
      </c>
      <c r="E1605" s="1" t="s">
        <v>20</v>
      </c>
      <c r="F1605" s="1" t="s">
        <v>22</v>
      </c>
      <c r="G1605" s="4">
        <v>488.72</v>
      </c>
      <c r="H1605" s="1">
        <v>3</v>
      </c>
      <c r="I1605" s="1" t="str">
        <f>TEXT(SalesTable[[#This Row],[Order_Date]],"mmm")</f>
        <v>May</v>
      </c>
      <c r="J1605" s="1">
        <f>YEAR(SalesTable[[#This Row],[Order_Date]])</f>
        <v>2026</v>
      </c>
      <c r="K1605" s="4">
        <v>-84.89</v>
      </c>
      <c r="L1605" s="9">
        <f>SalesTable[[#This Row],[Profit]]/SalesTable[[#This Row],[Sales]]</f>
        <v>-0.17369864134882959</v>
      </c>
    </row>
    <row r="1606" spans="1:12" ht="14" x14ac:dyDescent="0.15">
      <c r="A1606" s="1">
        <v>11605</v>
      </c>
      <c r="B1606" s="2">
        <v>46166</v>
      </c>
      <c r="C1606" s="1" t="s">
        <v>10</v>
      </c>
      <c r="D1606" s="1" t="s">
        <v>13</v>
      </c>
      <c r="E1606" s="1" t="s">
        <v>20</v>
      </c>
      <c r="F1606" s="1" t="s">
        <v>24</v>
      </c>
      <c r="G1606" s="4">
        <v>348.71</v>
      </c>
      <c r="H1606" s="1">
        <v>7</v>
      </c>
      <c r="I1606" s="1" t="str">
        <f>TEXT(SalesTable[[#This Row],[Order_Date]],"mmm")</f>
        <v>May</v>
      </c>
      <c r="J1606" s="1">
        <f>YEAR(SalesTable[[#This Row],[Order_Date]])</f>
        <v>2026</v>
      </c>
      <c r="K1606" s="4">
        <v>-82.79</v>
      </c>
      <c r="L1606" s="9">
        <f>SalesTable[[#This Row],[Profit]]/SalesTable[[#This Row],[Sales]]</f>
        <v>-0.23741791173181157</v>
      </c>
    </row>
    <row r="1607" spans="1:12" ht="14" x14ac:dyDescent="0.15">
      <c r="A1607" s="1">
        <v>11606</v>
      </c>
      <c r="B1607" s="2">
        <v>46167</v>
      </c>
      <c r="C1607" s="1" t="s">
        <v>9</v>
      </c>
      <c r="D1607" s="1" t="s">
        <v>15</v>
      </c>
      <c r="E1607" s="1" t="s">
        <v>18</v>
      </c>
      <c r="F1607" s="1" t="s">
        <v>21</v>
      </c>
      <c r="G1607" s="4">
        <v>601.91999999999996</v>
      </c>
      <c r="H1607" s="1">
        <v>3</v>
      </c>
      <c r="I1607" s="1" t="str">
        <f>TEXT(SalesTable[[#This Row],[Order_Date]],"mmm")</f>
        <v>May</v>
      </c>
      <c r="J1607" s="1">
        <f>YEAR(SalesTable[[#This Row],[Order_Date]])</f>
        <v>2026</v>
      </c>
      <c r="K1607" s="4">
        <v>248.02</v>
      </c>
      <c r="L1607" s="9">
        <f>SalesTable[[#This Row],[Profit]]/SalesTable[[#This Row],[Sales]]</f>
        <v>0.4120481127060075</v>
      </c>
    </row>
    <row r="1608" spans="1:12" ht="14" x14ac:dyDescent="0.15">
      <c r="A1608" s="1">
        <v>11607</v>
      </c>
      <c r="B1608" s="2">
        <v>46168</v>
      </c>
      <c r="C1608" s="1" t="s">
        <v>12</v>
      </c>
      <c r="D1608" s="1" t="s">
        <v>15</v>
      </c>
      <c r="E1608" s="1" t="s">
        <v>19</v>
      </c>
      <c r="F1608" s="1" t="s">
        <v>25</v>
      </c>
      <c r="G1608" s="4">
        <v>743.39</v>
      </c>
      <c r="H1608" s="1">
        <v>3</v>
      </c>
      <c r="I1608" s="1" t="str">
        <f>TEXT(SalesTable[[#This Row],[Order_Date]],"mmm")</f>
        <v>May</v>
      </c>
      <c r="J1608" s="1">
        <f>YEAR(SalesTable[[#This Row],[Order_Date]])</f>
        <v>2026</v>
      </c>
      <c r="K1608" s="4">
        <v>171.36</v>
      </c>
      <c r="L1608" s="9">
        <f>SalesTable[[#This Row],[Profit]]/SalesTable[[#This Row],[Sales]]</f>
        <v>0.23051157535075803</v>
      </c>
    </row>
    <row r="1609" spans="1:12" ht="14" x14ac:dyDescent="0.15">
      <c r="A1609" s="1">
        <v>11608</v>
      </c>
      <c r="B1609" s="2">
        <v>46169</v>
      </c>
      <c r="C1609" s="1" t="s">
        <v>11</v>
      </c>
      <c r="D1609" s="1" t="s">
        <v>14</v>
      </c>
      <c r="E1609" s="1" t="s">
        <v>20</v>
      </c>
      <c r="F1609" s="1" t="s">
        <v>25</v>
      </c>
      <c r="G1609" s="4">
        <v>440.39</v>
      </c>
      <c r="H1609" s="1">
        <v>3</v>
      </c>
      <c r="I1609" s="1" t="str">
        <f>TEXT(SalesTable[[#This Row],[Order_Date]],"mmm")</f>
        <v>May</v>
      </c>
      <c r="J1609" s="1">
        <f>YEAR(SalesTable[[#This Row],[Order_Date]])</f>
        <v>2026</v>
      </c>
      <c r="K1609" s="4">
        <v>164.21</v>
      </c>
      <c r="L1609" s="9">
        <f>SalesTable[[#This Row],[Profit]]/SalesTable[[#This Row],[Sales]]</f>
        <v>0.37287404346147734</v>
      </c>
    </row>
    <row r="1610" spans="1:12" ht="14" x14ac:dyDescent="0.15">
      <c r="A1610" s="1">
        <v>11609</v>
      </c>
      <c r="B1610" s="2">
        <v>46170</v>
      </c>
      <c r="C1610" s="1" t="s">
        <v>12</v>
      </c>
      <c r="D1610" s="1" t="s">
        <v>14</v>
      </c>
      <c r="E1610" s="1" t="s">
        <v>19</v>
      </c>
      <c r="F1610" s="1" t="s">
        <v>25</v>
      </c>
      <c r="G1610" s="4">
        <v>647.76</v>
      </c>
      <c r="H1610" s="1">
        <v>7</v>
      </c>
      <c r="I1610" s="1" t="str">
        <f>TEXT(SalesTable[[#This Row],[Order_Date]],"mmm")</f>
        <v>May</v>
      </c>
      <c r="J1610" s="1">
        <f>YEAR(SalesTable[[#This Row],[Order_Date]])</f>
        <v>2026</v>
      </c>
      <c r="K1610" s="4">
        <v>145.86000000000001</v>
      </c>
      <c r="L1610" s="9">
        <f>SalesTable[[#This Row],[Profit]]/SalesTable[[#This Row],[Sales]]</f>
        <v>0.22517599110781775</v>
      </c>
    </row>
    <row r="1611" spans="1:12" ht="14" x14ac:dyDescent="0.15">
      <c r="A1611" s="1">
        <v>11610</v>
      </c>
      <c r="B1611" s="2">
        <v>46171</v>
      </c>
      <c r="C1611" s="1" t="s">
        <v>9</v>
      </c>
      <c r="D1611" s="1" t="s">
        <v>15</v>
      </c>
      <c r="E1611" s="1" t="s">
        <v>19</v>
      </c>
      <c r="F1611" s="1" t="s">
        <v>21</v>
      </c>
      <c r="G1611" s="4">
        <v>714.35</v>
      </c>
      <c r="H1611" s="1">
        <v>4</v>
      </c>
      <c r="I1611" s="1" t="str">
        <f>TEXT(SalesTable[[#This Row],[Order_Date]],"mmm")</f>
        <v>May</v>
      </c>
      <c r="J1611" s="1">
        <f>YEAR(SalesTable[[#This Row],[Order_Date]])</f>
        <v>2026</v>
      </c>
      <c r="K1611" s="4">
        <v>239.69</v>
      </c>
      <c r="L1611" s="9">
        <f>SalesTable[[#This Row],[Profit]]/SalesTable[[#This Row],[Sales]]</f>
        <v>0.33553580177783998</v>
      </c>
    </row>
    <row r="1612" spans="1:12" ht="14" x14ac:dyDescent="0.15">
      <c r="A1612" s="1">
        <v>11611</v>
      </c>
      <c r="B1612" s="2">
        <v>46172</v>
      </c>
      <c r="C1612" s="1" t="s">
        <v>11</v>
      </c>
      <c r="D1612" s="1" t="s">
        <v>13</v>
      </c>
      <c r="E1612" s="1" t="s">
        <v>18</v>
      </c>
      <c r="F1612" s="1" t="s">
        <v>22</v>
      </c>
      <c r="G1612" s="4">
        <v>725.57</v>
      </c>
      <c r="H1612" s="1">
        <v>4</v>
      </c>
      <c r="I1612" s="1" t="str">
        <f>TEXT(SalesTable[[#This Row],[Order_Date]],"mmm")</f>
        <v>May</v>
      </c>
      <c r="J1612" s="1">
        <f>YEAR(SalesTable[[#This Row],[Order_Date]])</f>
        <v>2026</v>
      </c>
      <c r="K1612" s="4">
        <v>92.11</v>
      </c>
      <c r="L1612" s="9">
        <f>SalesTable[[#This Row],[Profit]]/SalesTable[[#This Row],[Sales]]</f>
        <v>0.12694846810094132</v>
      </c>
    </row>
    <row r="1613" spans="1:12" ht="14" x14ac:dyDescent="0.15">
      <c r="A1613" s="1">
        <v>11612</v>
      </c>
      <c r="B1613" s="2">
        <v>46173</v>
      </c>
      <c r="C1613" s="1" t="s">
        <v>12</v>
      </c>
      <c r="D1613" s="1" t="s">
        <v>14</v>
      </c>
      <c r="E1613" s="1" t="s">
        <v>19</v>
      </c>
      <c r="F1613" s="1" t="s">
        <v>23</v>
      </c>
      <c r="G1613" s="4">
        <v>99.37</v>
      </c>
      <c r="H1613" s="1">
        <v>3</v>
      </c>
      <c r="I1613" s="1" t="str">
        <f>TEXT(SalesTable[[#This Row],[Order_Date]],"mmm")</f>
        <v>May</v>
      </c>
      <c r="J1613" s="1">
        <f>YEAR(SalesTable[[#This Row],[Order_Date]])</f>
        <v>2026</v>
      </c>
      <c r="K1613" s="4">
        <v>248.16</v>
      </c>
      <c r="L1613" s="9">
        <f>SalesTable[[#This Row],[Profit]]/SalesTable[[#This Row],[Sales]]</f>
        <v>2.4973331991546743</v>
      </c>
    </row>
    <row r="1614" spans="1:12" ht="14" x14ac:dyDescent="0.15">
      <c r="A1614" s="1">
        <v>11613</v>
      </c>
      <c r="B1614" s="2">
        <v>46174</v>
      </c>
      <c r="C1614" s="1" t="s">
        <v>10</v>
      </c>
      <c r="D1614" s="1" t="s">
        <v>15</v>
      </c>
      <c r="E1614" s="1" t="s">
        <v>16</v>
      </c>
      <c r="F1614" s="1" t="s">
        <v>22</v>
      </c>
      <c r="G1614" s="4">
        <v>866.76</v>
      </c>
      <c r="H1614" s="1">
        <v>9</v>
      </c>
      <c r="I1614" s="1" t="str">
        <f>TEXT(SalesTable[[#This Row],[Order_Date]],"mmm")</f>
        <v>Jun</v>
      </c>
      <c r="J1614" s="1">
        <f>YEAR(SalesTable[[#This Row],[Order_Date]])</f>
        <v>2026</v>
      </c>
      <c r="K1614" s="4">
        <v>43.78</v>
      </c>
      <c r="L1614" s="9">
        <f>SalesTable[[#This Row],[Profit]]/SalesTable[[#This Row],[Sales]]</f>
        <v>5.0509945082837238E-2</v>
      </c>
    </row>
    <row r="1615" spans="1:12" ht="14" x14ac:dyDescent="0.15">
      <c r="A1615" s="1">
        <v>11614</v>
      </c>
      <c r="B1615" s="2">
        <v>46175</v>
      </c>
      <c r="C1615" s="1" t="s">
        <v>11</v>
      </c>
      <c r="D1615" s="1" t="s">
        <v>14</v>
      </c>
      <c r="E1615" s="1" t="s">
        <v>16</v>
      </c>
      <c r="F1615" s="1" t="s">
        <v>23</v>
      </c>
      <c r="G1615" s="4">
        <v>485.34</v>
      </c>
      <c r="H1615" s="1">
        <v>2</v>
      </c>
      <c r="I1615" s="1" t="str">
        <f>TEXT(SalesTable[[#This Row],[Order_Date]],"mmm")</f>
        <v>Jun</v>
      </c>
      <c r="J1615" s="1">
        <f>YEAR(SalesTable[[#This Row],[Order_Date]])</f>
        <v>2026</v>
      </c>
      <c r="K1615" s="4">
        <v>270.68</v>
      </c>
      <c r="L1615" s="9">
        <f>SalesTable[[#This Row],[Profit]]/SalesTable[[#This Row],[Sales]]</f>
        <v>0.5577121193390201</v>
      </c>
    </row>
    <row r="1616" spans="1:12" ht="14" x14ac:dyDescent="0.15">
      <c r="A1616" s="1">
        <v>11615</v>
      </c>
      <c r="B1616" s="2">
        <v>46176</v>
      </c>
      <c r="C1616" s="1" t="s">
        <v>12</v>
      </c>
      <c r="D1616" s="1" t="s">
        <v>13</v>
      </c>
      <c r="E1616" s="1" t="s">
        <v>17</v>
      </c>
      <c r="F1616" s="1" t="s">
        <v>25</v>
      </c>
      <c r="G1616" s="4">
        <v>299.3</v>
      </c>
      <c r="H1616" s="1">
        <v>4</v>
      </c>
      <c r="I1616" s="1" t="str">
        <f>TEXT(SalesTable[[#This Row],[Order_Date]],"mmm")</f>
        <v>Jun</v>
      </c>
      <c r="J1616" s="1">
        <f>YEAR(SalesTable[[#This Row],[Order_Date]])</f>
        <v>2026</v>
      </c>
      <c r="K1616" s="4">
        <v>179.46</v>
      </c>
      <c r="L1616" s="9">
        <f>SalesTable[[#This Row],[Profit]]/SalesTable[[#This Row],[Sales]]</f>
        <v>0.59959906448379552</v>
      </c>
    </row>
    <row r="1617" spans="1:12" ht="14" x14ac:dyDescent="0.15">
      <c r="A1617" s="1">
        <v>11616</v>
      </c>
      <c r="B1617" s="2">
        <v>46177</v>
      </c>
      <c r="C1617" s="1" t="s">
        <v>9</v>
      </c>
      <c r="D1617" s="1" t="s">
        <v>15</v>
      </c>
      <c r="E1617" s="1" t="s">
        <v>18</v>
      </c>
      <c r="F1617" s="1" t="s">
        <v>22</v>
      </c>
      <c r="G1617" s="4">
        <v>279.68</v>
      </c>
      <c r="H1617" s="1">
        <v>8</v>
      </c>
      <c r="I1617" s="1" t="str">
        <f>TEXT(SalesTable[[#This Row],[Order_Date]],"mmm")</f>
        <v>Jun</v>
      </c>
      <c r="J1617" s="1">
        <f>YEAR(SalesTable[[#This Row],[Order_Date]])</f>
        <v>2026</v>
      </c>
      <c r="K1617" s="4">
        <v>2.87</v>
      </c>
      <c r="L1617" s="9">
        <f>SalesTable[[#This Row],[Profit]]/SalesTable[[#This Row],[Sales]]</f>
        <v>1.0261727688787185E-2</v>
      </c>
    </row>
    <row r="1618" spans="1:12" ht="14" x14ac:dyDescent="0.15">
      <c r="A1618" s="1">
        <v>11617</v>
      </c>
      <c r="B1618" s="2">
        <v>46178</v>
      </c>
      <c r="C1618" s="1" t="s">
        <v>9</v>
      </c>
      <c r="D1618" s="1" t="s">
        <v>14</v>
      </c>
      <c r="E1618" s="1" t="s">
        <v>17</v>
      </c>
      <c r="F1618" s="1" t="s">
        <v>25</v>
      </c>
      <c r="G1618" s="4">
        <v>508.86</v>
      </c>
      <c r="H1618" s="1">
        <v>6</v>
      </c>
      <c r="I1618" s="1" t="str">
        <f>TEXT(SalesTable[[#This Row],[Order_Date]],"mmm")</f>
        <v>Jun</v>
      </c>
      <c r="J1618" s="1">
        <f>YEAR(SalesTable[[#This Row],[Order_Date]])</f>
        <v>2026</v>
      </c>
      <c r="K1618" s="4">
        <v>125.63</v>
      </c>
      <c r="L1618" s="9">
        <f>SalesTable[[#This Row],[Profit]]/SalesTable[[#This Row],[Sales]]</f>
        <v>0.24688519435601147</v>
      </c>
    </row>
    <row r="1619" spans="1:12" ht="14" x14ac:dyDescent="0.15">
      <c r="A1619" s="1">
        <v>11618</v>
      </c>
      <c r="B1619" s="2">
        <v>46179</v>
      </c>
      <c r="C1619" s="1" t="s">
        <v>11</v>
      </c>
      <c r="D1619" s="1" t="s">
        <v>13</v>
      </c>
      <c r="E1619" s="1" t="s">
        <v>16</v>
      </c>
      <c r="F1619" s="1" t="s">
        <v>24</v>
      </c>
      <c r="G1619" s="4">
        <v>892.49</v>
      </c>
      <c r="H1619" s="1">
        <v>7</v>
      </c>
      <c r="I1619" s="1" t="str">
        <f>TEXT(SalesTable[[#This Row],[Order_Date]],"mmm")</f>
        <v>Jun</v>
      </c>
      <c r="J1619" s="1">
        <f>YEAR(SalesTable[[#This Row],[Order_Date]])</f>
        <v>2026</v>
      </c>
      <c r="K1619" s="4">
        <v>113.21</v>
      </c>
      <c r="L1619" s="9">
        <f>SalesTable[[#This Row],[Profit]]/SalesTable[[#This Row],[Sales]]</f>
        <v>0.12684735963428162</v>
      </c>
    </row>
    <row r="1620" spans="1:12" ht="14" x14ac:dyDescent="0.15">
      <c r="A1620" s="1">
        <v>11619</v>
      </c>
      <c r="B1620" s="2">
        <v>46180</v>
      </c>
      <c r="C1620" s="1" t="s">
        <v>12</v>
      </c>
      <c r="D1620" s="1" t="s">
        <v>14</v>
      </c>
      <c r="E1620" s="1" t="s">
        <v>17</v>
      </c>
      <c r="F1620" s="1" t="s">
        <v>25</v>
      </c>
      <c r="G1620" s="4">
        <v>409.43</v>
      </c>
      <c r="H1620" s="1">
        <v>7</v>
      </c>
      <c r="I1620" s="1" t="str">
        <f>TEXT(SalesTable[[#This Row],[Order_Date]],"mmm")</f>
        <v>Jun</v>
      </c>
      <c r="J1620" s="1">
        <f>YEAR(SalesTable[[#This Row],[Order_Date]])</f>
        <v>2026</v>
      </c>
      <c r="K1620" s="4">
        <v>-44.84</v>
      </c>
      <c r="L1620" s="9">
        <f>SalesTable[[#This Row],[Profit]]/SalesTable[[#This Row],[Sales]]</f>
        <v>-0.10951811054392693</v>
      </c>
    </row>
    <row r="1621" spans="1:12" ht="14" x14ac:dyDescent="0.15">
      <c r="A1621" s="1">
        <v>11620</v>
      </c>
      <c r="B1621" s="2">
        <v>46181</v>
      </c>
      <c r="C1621" s="1" t="s">
        <v>11</v>
      </c>
      <c r="D1621" s="1" t="s">
        <v>13</v>
      </c>
      <c r="E1621" s="1" t="s">
        <v>18</v>
      </c>
      <c r="F1621" s="1" t="s">
        <v>25</v>
      </c>
      <c r="G1621" s="4">
        <v>762.24</v>
      </c>
      <c r="H1621" s="1">
        <v>2</v>
      </c>
      <c r="I1621" s="1" t="str">
        <f>TEXT(SalesTable[[#This Row],[Order_Date]],"mmm")</f>
        <v>Jun</v>
      </c>
      <c r="J1621" s="1">
        <f>YEAR(SalesTable[[#This Row],[Order_Date]])</f>
        <v>2026</v>
      </c>
      <c r="K1621" s="4">
        <v>136.5</v>
      </c>
      <c r="L1621" s="9">
        <f>SalesTable[[#This Row],[Profit]]/SalesTable[[#This Row],[Sales]]</f>
        <v>0.17907745591939547</v>
      </c>
    </row>
    <row r="1622" spans="1:12" ht="14" x14ac:dyDescent="0.15">
      <c r="A1622" s="1">
        <v>11621</v>
      </c>
      <c r="B1622" s="2">
        <v>46182</v>
      </c>
      <c r="C1622" s="1" t="s">
        <v>11</v>
      </c>
      <c r="D1622" s="1" t="s">
        <v>13</v>
      </c>
      <c r="E1622" s="1" t="s">
        <v>18</v>
      </c>
      <c r="F1622" s="1" t="s">
        <v>23</v>
      </c>
      <c r="G1622" s="4">
        <v>141.97999999999999</v>
      </c>
      <c r="H1622" s="1">
        <v>4</v>
      </c>
      <c r="I1622" s="1" t="str">
        <f>TEXT(SalesTable[[#This Row],[Order_Date]],"mmm")</f>
        <v>Jun</v>
      </c>
      <c r="J1622" s="1">
        <f>YEAR(SalesTable[[#This Row],[Order_Date]])</f>
        <v>2026</v>
      </c>
      <c r="K1622" s="4">
        <v>25.91</v>
      </c>
      <c r="L1622" s="9">
        <f>SalesTable[[#This Row],[Profit]]/SalesTable[[#This Row],[Sales]]</f>
        <v>0.18249049161853784</v>
      </c>
    </row>
    <row r="1623" spans="1:12" ht="14" x14ac:dyDescent="0.15">
      <c r="A1623" s="1">
        <v>11622</v>
      </c>
      <c r="B1623" s="2">
        <v>46183</v>
      </c>
      <c r="C1623" s="1" t="s">
        <v>12</v>
      </c>
      <c r="D1623" s="1" t="s">
        <v>15</v>
      </c>
      <c r="E1623" s="1" t="s">
        <v>19</v>
      </c>
      <c r="F1623" s="1" t="s">
        <v>24</v>
      </c>
      <c r="G1623" s="4">
        <v>502.25</v>
      </c>
      <c r="H1623" s="1">
        <v>6</v>
      </c>
      <c r="I1623" s="1" t="str">
        <f>TEXT(SalesTable[[#This Row],[Order_Date]],"mmm")</f>
        <v>Jun</v>
      </c>
      <c r="J1623" s="1">
        <f>YEAR(SalesTable[[#This Row],[Order_Date]])</f>
        <v>2026</v>
      </c>
      <c r="K1623" s="4">
        <v>-79.06</v>
      </c>
      <c r="L1623" s="9">
        <f>SalesTable[[#This Row],[Profit]]/SalesTable[[#This Row],[Sales]]</f>
        <v>-0.15741164758586362</v>
      </c>
    </row>
    <row r="1624" spans="1:12" ht="14" x14ac:dyDescent="0.15">
      <c r="A1624" s="1">
        <v>11623</v>
      </c>
      <c r="B1624" s="2">
        <v>46184</v>
      </c>
      <c r="C1624" s="1" t="s">
        <v>12</v>
      </c>
      <c r="D1624" s="1" t="s">
        <v>13</v>
      </c>
      <c r="E1624" s="1" t="s">
        <v>20</v>
      </c>
      <c r="F1624" s="1" t="s">
        <v>25</v>
      </c>
      <c r="G1624" s="4">
        <v>992.1</v>
      </c>
      <c r="H1624" s="1">
        <v>3</v>
      </c>
      <c r="I1624" s="1" t="str">
        <f>TEXT(SalesTable[[#This Row],[Order_Date]],"mmm")</f>
        <v>Jun</v>
      </c>
      <c r="J1624" s="1">
        <f>YEAR(SalesTable[[#This Row],[Order_Date]])</f>
        <v>2026</v>
      </c>
      <c r="K1624" s="4">
        <v>279.45999999999998</v>
      </c>
      <c r="L1624" s="9">
        <f>SalesTable[[#This Row],[Profit]]/SalesTable[[#This Row],[Sales]]</f>
        <v>0.2816853139804455</v>
      </c>
    </row>
    <row r="1625" spans="1:12" ht="14" x14ac:dyDescent="0.15">
      <c r="A1625" s="1">
        <v>11624</v>
      </c>
      <c r="B1625" s="2">
        <v>46185</v>
      </c>
      <c r="C1625" s="1" t="s">
        <v>10</v>
      </c>
      <c r="D1625" s="1" t="s">
        <v>14</v>
      </c>
      <c r="E1625" s="1" t="s">
        <v>19</v>
      </c>
      <c r="F1625" s="1" t="s">
        <v>25</v>
      </c>
      <c r="G1625" s="4">
        <v>781.92</v>
      </c>
      <c r="H1625" s="1">
        <v>9</v>
      </c>
      <c r="I1625" s="1" t="str">
        <f>TEXT(SalesTable[[#This Row],[Order_Date]],"mmm")</f>
        <v>Jun</v>
      </c>
      <c r="J1625" s="1">
        <f>YEAR(SalesTable[[#This Row],[Order_Date]])</f>
        <v>2026</v>
      </c>
      <c r="K1625" s="4">
        <v>156.6</v>
      </c>
      <c r="L1625" s="9">
        <f>SalesTable[[#This Row],[Profit]]/SalesTable[[#This Row],[Sales]]</f>
        <v>0.20027624309392267</v>
      </c>
    </row>
    <row r="1626" spans="1:12" ht="14" x14ac:dyDescent="0.15">
      <c r="A1626" s="1">
        <v>11625</v>
      </c>
      <c r="B1626" s="2">
        <v>46186</v>
      </c>
      <c r="C1626" s="1" t="s">
        <v>12</v>
      </c>
      <c r="D1626" s="1" t="s">
        <v>13</v>
      </c>
      <c r="E1626" s="1" t="s">
        <v>18</v>
      </c>
      <c r="F1626" s="1" t="s">
        <v>24</v>
      </c>
      <c r="G1626" s="4">
        <v>250</v>
      </c>
      <c r="H1626" s="1">
        <v>4</v>
      </c>
      <c r="I1626" s="1" t="str">
        <f>TEXT(SalesTable[[#This Row],[Order_Date]],"mmm")</f>
        <v>Jun</v>
      </c>
      <c r="J1626" s="1">
        <f>YEAR(SalesTable[[#This Row],[Order_Date]])</f>
        <v>2026</v>
      </c>
      <c r="K1626" s="4">
        <v>250.77</v>
      </c>
      <c r="L1626" s="9">
        <f>SalesTable[[#This Row],[Profit]]/SalesTable[[#This Row],[Sales]]</f>
        <v>1.00308</v>
      </c>
    </row>
    <row r="1627" spans="1:12" ht="14" x14ac:dyDescent="0.15">
      <c r="A1627" s="1">
        <v>11626</v>
      </c>
      <c r="B1627" s="2">
        <v>46187</v>
      </c>
      <c r="C1627" s="1" t="s">
        <v>9</v>
      </c>
      <c r="D1627" s="1" t="s">
        <v>13</v>
      </c>
      <c r="E1627" s="1" t="s">
        <v>16</v>
      </c>
      <c r="F1627" s="1" t="s">
        <v>24</v>
      </c>
      <c r="G1627" s="4">
        <v>526.37</v>
      </c>
      <c r="H1627" s="1">
        <v>2</v>
      </c>
      <c r="I1627" s="1" t="str">
        <f>TEXT(SalesTable[[#This Row],[Order_Date]],"mmm")</f>
        <v>Jun</v>
      </c>
      <c r="J1627" s="1">
        <f>YEAR(SalesTable[[#This Row],[Order_Date]])</f>
        <v>2026</v>
      </c>
      <c r="K1627" s="4">
        <v>170.42</v>
      </c>
      <c r="L1627" s="9">
        <f>SalesTable[[#This Row],[Profit]]/SalesTable[[#This Row],[Sales]]</f>
        <v>0.32376465224081918</v>
      </c>
    </row>
    <row r="1628" spans="1:12" ht="14" x14ac:dyDescent="0.15">
      <c r="A1628" s="1">
        <v>11627</v>
      </c>
      <c r="B1628" s="2">
        <v>46188</v>
      </c>
      <c r="C1628" s="1" t="s">
        <v>11</v>
      </c>
      <c r="D1628" s="1" t="s">
        <v>15</v>
      </c>
      <c r="E1628" s="1" t="s">
        <v>16</v>
      </c>
      <c r="F1628" s="1" t="s">
        <v>22</v>
      </c>
      <c r="G1628" s="4">
        <v>271.94</v>
      </c>
      <c r="H1628" s="1">
        <v>6</v>
      </c>
      <c r="I1628" s="1" t="str">
        <f>TEXT(SalesTable[[#This Row],[Order_Date]],"mmm")</f>
        <v>Jun</v>
      </c>
      <c r="J1628" s="1">
        <f>YEAR(SalesTable[[#This Row],[Order_Date]])</f>
        <v>2026</v>
      </c>
      <c r="K1628" s="4">
        <v>42.79</v>
      </c>
      <c r="L1628" s="9">
        <f>SalesTable[[#This Row],[Profit]]/SalesTable[[#This Row],[Sales]]</f>
        <v>0.15735088622490254</v>
      </c>
    </row>
    <row r="1629" spans="1:12" ht="14" x14ac:dyDescent="0.15">
      <c r="A1629" s="1">
        <v>11628</v>
      </c>
      <c r="B1629" s="2">
        <v>46189</v>
      </c>
      <c r="C1629" s="1" t="s">
        <v>11</v>
      </c>
      <c r="D1629" s="1" t="s">
        <v>13</v>
      </c>
      <c r="E1629" s="1" t="s">
        <v>19</v>
      </c>
      <c r="F1629" s="1" t="s">
        <v>23</v>
      </c>
      <c r="G1629" s="4">
        <v>439.08</v>
      </c>
      <c r="H1629" s="1">
        <v>1</v>
      </c>
      <c r="I1629" s="1" t="str">
        <f>TEXT(SalesTable[[#This Row],[Order_Date]],"mmm")</f>
        <v>Jun</v>
      </c>
      <c r="J1629" s="1">
        <f>YEAR(SalesTable[[#This Row],[Order_Date]])</f>
        <v>2026</v>
      </c>
      <c r="K1629" s="4">
        <v>105.08</v>
      </c>
      <c r="L1629" s="9">
        <f>SalesTable[[#This Row],[Profit]]/SalesTable[[#This Row],[Sales]]</f>
        <v>0.23931857520269656</v>
      </c>
    </row>
    <row r="1630" spans="1:12" ht="14" x14ac:dyDescent="0.15">
      <c r="A1630" s="1">
        <v>11629</v>
      </c>
      <c r="B1630" s="2">
        <v>46190</v>
      </c>
      <c r="C1630" s="1" t="s">
        <v>9</v>
      </c>
      <c r="D1630" s="1" t="s">
        <v>13</v>
      </c>
      <c r="E1630" s="1" t="s">
        <v>18</v>
      </c>
      <c r="F1630" s="1" t="s">
        <v>24</v>
      </c>
      <c r="G1630" s="4">
        <v>791.08</v>
      </c>
      <c r="H1630" s="1">
        <v>6</v>
      </c>
      <c r="I1630" s="1" t="str">
        <f>TEXT(SalesTable[[#This Row],[Order_Date]],"mmm")</f>
        <v>Jun</v>
      </c>
      <c r="J1630" s="1">
        <f>YEAR(SalesTable[[#This Row],[Order_Date]])</f>
        <v>2026</v>
      </c>
      <c r="K1630" s="4">
        <v>170.3</v>
      </c>
      <c r="L1630" s="9">
        <f>SalesTable[[#This Row],[Profit]]/SalesTable[[#This Row],[Sales]]</f>
        <v>0.21527531981594783</v>
      </c>
    </row>
    <row r="1631" spans="1:12" ht="14" x14ac:dyDescent="0.15">
      <c r="A1631" s="1">
        <v>11630</v>
      </c>
      <c r="B1631" s="2">
        <v>46191</v>
      </c>
      <c r="C1631" s="1" t="s">
        <v>12</v>
      </c>
      <c r="D1631" s="1" t="s">
        <v>14</v>
      </c>
      <c r="E1631" s="1" t="s">
        <v>16</v>
      </c>
      <c r="F1631" s="1" t="s">
        <v>24</v>
      </c>
      <c r="G1631" s="4">
        <v>782.66</v>
      </c>
      <c r="H1631" s="1">
        <v>1</v>
      </c>
      <c r="I1631" s="1" t="str">
        <f>TEXT(SalesTable[[#This Row],[Order_Date]],"mmm")</f>
        <v>Jun</v>
      </c>
      <c r="J1631" s="1">
        <f>YEAR(SalesTable[[#This Row],[Order_Date]])</f>
        <v>2026</v>
      </c>
      <c r="K1631" s="4">
        <v>284.10000000000002</v>
      </c>
      <c r="L1631" s="9">
        <f>SalesTable[[#This Row],[Profit]]/SalesTable[[#This Row],[Sales]]</f>
        <v>0.36299287046738049</v>
      </c>
    </row>
    <row r="1632" spans="1:12" ht="14" x14ac:dyDescent="0.15">
      <c r="A1632" s="1">
        <v>11631</v>
      </c>
      <c r="B1632" s="2">
        <v>46192</v>
      </c>
      <c r="C1632" s="1" t="s">
        <v>9</v>
      </c>
      <c r="D1632" s="1" t="s">
        <v>15</v>
      </c>
      <c r="E1632" s="1" t="s">
        <v>18</v>
      </c>
      <c r="F1632" s="1" t="s">
        <v>21</v>
      </c>
      <c r="G1632" s="4">
        <v>266.7</v>
      </c>
      <c r="H1632" s="1">
        <v>8</v>
      </c>
      <c r="I1632" s="1" t="str">
        <f>TEXT(SalesTable[[#This Row],[Order_Date]],"mmm")</f>
        <v>Jun</v>
      </c>
      <c r="J1632" s="1">
        <f>YEAR(SalesTable[[#This Row],[Order_Date]])</f>
        <v>2026</v>
      </c>
      <c r="K1632" s="4">
        <v>1.47</v>
      </c>
      <c r="L1632" s="9">
        <f>SalesTable[[#This Row],[Profit]]/SalesTable[[#This Row],[Sales]]</f>
        <v>5.5118110236220472E-3</v>
      </c>
    </row>
    <row r="1633" spans="1:12" ht="14" x14ac:dyDescent="0.15">
      <c r="A1633" s="1">
        <v>11632</v>
      </c>
      <c r="B1633" s="2">
        <v>46193</v>
      </c>
      <c r="C1633" s="1" t="s">
        <v>9</v>
      </c>
      <c r="D1633" s="1" t="s">
        <v>15</v>
      </c>
      <c r="E1633" s="1" t="s">
        <v>16</v>
      </c>
      <c r="F1633" s="1" t="s">
        <v>24</v>
      </c>
      <c r="G1633" s="4">
        <v>926.11</v>
      </c>
      <c r="H1633" s="1">
        <v>5</v>
      </c>
      <c r="I1633" s="1" t="str">
        <f>TEXT(SalesTable[[#This Row],[Order_Date]],"mmm")</f>
        <v>Jun</v>
      </c>
      <c r="J1633" s="1">
        <f>YEAR(SalesTable[[#This Row],[Order_Date]])</f>
        <v>2026</v>
      </c>
      <c r="K1633" s="4">
        <v>249.99</v>
      </c>
      <c r="L1633" s="9">
        <f>SalesTable[[#This Row],[Profit]]/SalesTable[[#This Row],[Sales]]</f>
        <v>0.26993553681528115</v>
      </c>
    </row>
    <row r="1634" spans="1:12" ht="14" x14ac:dyDescent="0.15">
      <c r="A1634" s="1">
        <v>11633</v>
      </c>
      <c r="B1634" s="2">
        <v>46194</v>
      </c>
      <c r="C1634" s="1" t="s">
        <v>10</v>
      </c>
      <c r="D1634" s="1" t="s">
        <v>15</v>
      </c>
      <c r="E1634" s="1" t="s">
        <v>18</v>
      </c>
      <c r="F1634" s="1" t="s">
        <v>23</v>
      </c>
      <c r="G1634" s="4">
        <v>612.94000000000005</v>
      </c>
      <c r="H1634" s="1">
        <v>6</v>
      </c>
      <c r="I1634" s="1" t="str">
        <f>TEXT(SalesTable[[#This Row],[Order_Date]],"mmm")</f>
        <v>Jun</v>
      </c>
      <c r="J1634" s="1">
        <f>YEAR(SalesTable[[#This Row],[Order_Date]])</f>
        <v>2026</v>
      </c>
      <c r="K1634" s="4">
        <v>269.63</v>
      </c>
      <c r="L1634" s="9">
        <f>SalesTable[[#This Row],[Profit]]/SalesTable[[#This Row],[Sales]]</f>
        <v>0.43989623780467901</v>
      </c>
    </row>
    <row r="1635" spans="1:12" ht="14" x14ac:dyDescent="0.15">
      <c r="A1635" s="1">
        <v>11634</v>
      </c>
      <c r="B1635" s="2">
        <v>46195</v>
      </c>
      <c r="C1635" s="1" t="s">
        <v>9</v>
      </c>
      <c r="D1635" s="1" t="s">
        <v>13</v>
      </c>
      <c r="E1635" s="1" t="s">
        <v>17</v>
      </c>
      <c r="F1635" s="1" t="s">
        <v>25</v>
      </c>
      <c r="G1635" s="4">
        <v>410.93</v>
      </c>
      <c r="H1635" s="1">
        <v>2</v>
      </c>
      <c r="I1635" s="1" t="str">
        <f>TEXT(SalesTable[[#This Row],[Order_Date]],"mmm")</f>
        <v>Jun</v>
      </c>
      <c r="J1635" s="1">
        <f>YEAR(SalesTable[[#This Row],[Order_Date]])</f>
        <v>2026</v>
      </c>
      <c r="K1635" s="4">
        <v>168.17</v>
      </c>
      <c r="L1635" s="9">
        <f>SalesTable[[#This Row],[Profit]]/SalesTable[[#This Row],[Sales]]</f>
        <v>0.40924245005232029</v>
      </c>
    </row>
    <row r="1636" spans="1:12" ht="14" x14ac:dyDescent="0.15">
      <c r="A1636" s="1">
        <v>11635</v>
      </c>
      <c r="B1636" s="2">
        <v>46196</v>
      </c>
      <c r="C1636" s="1" t="s">
        <v>11</v>
      </c>
      <c r="D1636" s="1" t="s">
        <v>15</v>
      </c>
      <c r="E1636" s="1" t="s">
        <v>18</v>
      </c>
      <c r="F1636" s="1" t="s">
        <v>25</v>
      </c>
      <c r="G1636" s="4">
        <v>526.84</v>
      </c>
      <c r="H1636" s="1">
        <v>2</v>
      </c>
      <c r="I1636" s="1" t="str">
        <f>TEXT(SalesTable[[#This Row],[Order_Date]],"mmm")</f>
        <v>Jun</v>
      </c>
      <c r="J1636" s="1">
        <f>YEAR(SalesTable[[#This Row],[Order_Date]])</f>
        <v>2026</v>
      </c>
      <c r="K1636" s="4">
        <v>272.51</v>
      </c>
      <c r="L1636" s="9">
        <f>SalesTable[[#This Row],[Profit]]/SalesTable[[#This Row],[Sales]]</f>
        <v>0.51725381520006064</v>
      </c>
    </row>
    <row r="1637" spans="1:12" ht="14" x14ac:dyDescent="0.15">
      <c r="A1637" s="1">
        <v>11636</v>
      </c>
      <c r="B1637" s="2">
        <v>46197</v>
      </c>
      <c r="C1637" s="1" t="s">
        <v>9</v>
      </c>
      <c r="D1637" s="1" t="s">
        <v>13</v>
      </c>
      <c r="E1637" s="1" t="s">
        <v>18</v>
      </c>
      <c r="F1637" s="1" t="s">
        <v>25</v>
      </c>
      <c r="G1637" s="4">
        <v>624.82000000000005</v>
      </c>
      <c r="H1637" s="1">
        <v>9</v>
      </c>
      <c r="I1637" s="1" t="str">
        <f>TEXT(SalesTable[[#This Row],[Order_Date]],"mmm")</f>
        <v>Jun</v>
      </c>
      <c r="J1637" s="1">
        <f>YEAR(SalesTable[[#This Row],[Order_Date]])</f>
        <v>2026</v>
      </c>
      <c r="K1637" s="4">
        <v>59.15</v>
      </c>
      <c r="L1637" s="9">
        <f>SalesTable[[#This Row],[Profit]]/SalesTable[[#This Row],[Sales]]</f>
        <v>9.4667264172081544E-2</v>
      </c>
    </row>
    <row r="1638" spans="1:12" ht="14" x14ac:dyDescent="0.15">
      <c r="A1638" s="1">
        <v>11637</v>
      </c>
      <c r="B1638" s="2">
        <v>46198</v>
      </c>
      <c r="C1638" s="1" t="s">
        <v>11</v>
      </c>
      <c r="D1638" s="1" t="s">
        <v>13</v>
      </c>
      <c r="E1638" s="1" t="s">
        <v>19</v>
      </c>
      <c r="F1638" s="1" t="s">
        <v>25</v>
      </c>
      <c r="G1638" s="4">
        <v>581.9</v>
      </c>
      <c r="H1638" s="1">
        <v>3</v>
      </c>
      <c r="I1638" s="1" t="str">
        <f>TEXT(SalesTable[[#This Row],[Order_Date]],"mmm")</f>
        <v>Jun</v>
      </c>
      <c r="J1638" s="1">
        <f>YEAR(SalesTable[[#This Row],[Order_Date]])</f>
        <v>2026</v>
      </c>
      <c r="K1638" s="4">
        <v>281.20999999999998</v>
      </c>
      <c r="L1638" s="9">
        <f>SalesTable[[#This Row],[Profit]]/SalesTable[[#This Row],[Sales]]</f>
        <v>0.48326172881938478</v>
      </c>
    </row>
    <row r="1639" spans="1:12" ht="14" x14ac:dyDescent="0.15">
      <c r="A1639" s="1">
        <v>11638</v>
      </c>
      <c r="B1639" s="2">
        <v>46199</v>
      </c>
      <c r="C1639" s="1" t="s">
        <v>11</v>
      </c>
      <c r="D1639" s="1" t="s">
        <v>14</v>
      </c>
      <c r="E1639" s="1" t="s">
        <v>17</v>
      </c>
      <c r="F1639" s="1" t="s">
        <v>21</v>
      </c>
      <c r="G1639" s="4">
        <v>512.08000000000004</v>
      </c>
      <c r="H1639" s="1">
        <v>6</v>
      </c>
      <c r="I1639" s="1" t="str">
        <f>TEXT(SalesTable[[#This Row],[Order_Date]],"mmm")</f>
        <v>Jun</v>
      </c>
      <c r="J1639" s="1">
        <f>YEAR(SalesTable[[#This Row],[Order_Date]])</f>
        <v>2026</v>
      </c>
      <c r="K1639" s="4">
        <v>181.11</v>
      </c>
      <c r="L1639" s="9">
        <f>SalesTable[[#This Row],[Profit]]/SalesTable[[#This Row],[Sales]]</f>
        <v>0.35367520699890642</v>
      </c>
    </row>
    <row r="1640" spans="1:12" ht="14" x14ac:dyDescent="0.15">
      <c r="A1640" s="1">
        <v>11639</v>
      </c>
      <c r="B1640" s="2">
        <v>46200</v>
      </c>
      <c r="C1640" s="1" t="s">
        <v>11</v>
      </c>
      <c r="D1640" s="1" t="s">
        <v>14</v>
      </c>
      <c r="E1640" s="1" t="s">
        <v>20</v>
      </c>
      <c r="F1640" s="1" t="s">
        <v>24</v>
      </c>
      <c r="G1640" s="4">
        <v>529.69000000000005</v>
      </c>
      <c r="H1640" s="1">
        <v>5</v>
      </c>
      <c r="I1640" s="1" t="str">
        <f>TEXT(SalesTable[[#This Row],[Order_Date]],"mmm")</f>
        <v>Jun</v>
      </c>
      <c r="J1640" s="1">
        <f>YEAR(SalesTable[[#This Row],[Order_Date]])</f>
        <v>2026</v>
      </c>
      <c r="K1640" s="4">
        <v>-83.2</v>
      </c>
      <c r="L1640" s="9">
        <f>SalesTable[[#This Row],[Profit]]/SalesTable[[#This Row],[Sales]]</f>
        <v>-0.15707300496516829</v>
      </c>
    </row>
    <row r="1641" spans="1:12" ht="14" x14ac:dyDescent="0.15">
      <c r="A1641" s="1">
        <v>11640</v>
      </c>
      <c r="B1641" s="2">
        <v>46201</v>
      </c>
      <c r="C1641" s="1" t="s">
        <v>12</v>
      </c>
      <c r="D1641" s="1" t="s">
        <v>14</v>
      </c>
      <c r="E1641" s="1" t="s">
        <v>19</v>
      </c>
      <c r="F1641" s="1" t="s">
        <v>25</v>
      </c>
      <c r="G1641" s="4">
        <v>217.59</v>
      </c>
      <c r="H1641" s="1">
        <v>4</v>
      </c>
      <c r="I1641" s="1" t="str">
        <f>TEXT(SalesTable[[#This Row],[Order_Date]],"mmm")</f>
        <v>Jun</v>
      </c>
      <c r="J1641" s="1">
        <f>YEAR(SalesTable[[#This Row],[Order_Date]])</f>
        <v>2026</v>
      </c>
      <c r="K1641" s="4">
        <v>262.75</v>
      </c>
      <c r="L1641" s="9">
        <f>SalesTable[[#This Row],[Profit]]/SalesTable[[#This Row],[Sales]]</f>
        <v>1.2075463026793511</v>
      </c>
    </row>
    <row r="1642" spans="1:12" ht="14" x14ac:dyDescent="0.15">
      <c r="A1642" s="1">
        <v>11641</v>
      </c>
      <c r="B1642" s="2">
        <v>46202</v>
      </c>
      <c r="C1642" s="1" t="s">
        <v>10</v>
      </c>
      <c r="D1642" s="1" t="s">
        <v>14</v>
      </c>
      <c r="E1642" s="1" t="s">
        <v>20</v>
      </c>
      <c r="F1642" s="1" t="s">
        <v>22</v>
      </c>
      <c r="G1642" s="4">
        <v>822.1</v>
      </c>
      <c r="H1642" s="1">
        <v>2</v>
      </c>
      <c r="I1642" s="1" t="str">
        <f>TEXT(SalesTable[[#This Row],[Order_Date]],"mmm")</f>
        <v>Jun</v>
      </c>
      <c r="J1642" s="1">
        <f>YEAR(SalesTable[[#This Row],[Order_Date]])</f>
        <v>2026</v>
      </c>
      <c r="K1642" s="4">
        <v>93.79</v>
      </c>
      <c r="L1642" s="9">
        <f>SalesTable[[#This Row],[Profit]]/SalesTable[[#This Row],[Sales]]</f>
        <v>0.11408587763045859</v>
      </c>
    </row>
    <row r="1643" spans="1:12" ht="14" x14ac:dyDescent="0.15">
      <c r="A1643" s="1">
        <v>11642</v>
      </c>
      <c r="B1643" s="2">
        <v>46203</v>
      </c>
      <c r="C1643" s="1" t="s">
        <v>11</v>
      </c>
      <c r="D1643" s="1" t="s">
        <v>14</v>
      </c>
      <c r="E1643" s="1" t="s">
        <v>16</v>
      </c>
      <c r="F1643" s="1" t="s">
        <v>25</v>
      </c>
      <c r="G1643" s="4">
        <v>564.66999999999996</v>
      </c>
      <c r="H1643" s="1">
        <v>8</v>
      </c>
      <c r="I1643" s="1" t="str">
        <f>TEXT(SalesTable[[#This Row],[Order_Date]],"mmm")</f>
        <v>Jun</v>
      </c>
      <c r="J1643" s="1">
        <f>YEAR(SalesTable[[#This Row],[Order_Date]])</f>
        <v>2026</v>
      </c>
      <c r="K1643" s="4">
        <v>84.13</v>
      </c>
      <c r="L1643" s="9">
        <f>SalesTable[[#This Row],[Profit]]/SalesTable[[#This Row],[Sales]]</f>
        <v>0.14898967538562347</v>
      </c>
    </row>
    <row r="1644" spans="1:12" ht="14" x14ac:dyDescent="0.15">
      <c r="A1644" s="1">
        <v>11643</v>
      </c>
      <c r="B1644" s="2">
        <v>46204</v>
      </c>
      <c r="C1644" s="1" t="s">
        <v>11</v>
      </c>
      <c r="D1644" s="1" t="s">
        <v>13</v>
      </c>
      <c r="E1644" s="1" t="s">
        <v>20</v>
      </c>
      <c r="F1644" s="1" t="s">
        <v>24</v>
      </c>
      <c r="G1644" s="4">
        <v>174.53</v>
      </c>
      <c r="H1644" s="1">
        <v>7</v>
      </c>
      <c r="I1644" s="1" t="str">
        <f>TEXT(SalesTable[[#This Row],[Order_Date]],"mmm")</f>
        <v>Jul</v>
      </c>
      <c r="J1644" s="1">
        <f>YEAR(SalesTable[[#This Row],[Order_Date]])</f>
        <v>2026</v>
      </c>
      <c r="K1644" s="4">
        <v>126.59</v>
      </c>
      <c r="L1644" s="9">
        <f>SalesTable[[#This Row],[Profit]]/SalesTable[[#This Row],[Sales]]</f>
        <v>0.72531942932447147</v>
      </c>
    </row>
    <row r="1645" spans="1:12" ht="14" x14ac:dyDescent="0.15">
      <c r="A1645" s="1">
        <v>11644</v>
      </c>
      <c r="B1645" s="2">
        <v>46205</v>
      </c>
      <c r="C1645" s="1" t="s">
        <v>12</v>
      </c>
      <c r="D1645" s="1" t="s">
        <v>13</v>
      </c>
      <c r="E1645" s="1" t="s">
        <v>18</v>
      </c>
      <c r="F1645" s="1" t="s">
        <v>25</v>
      </c>
      <c r="G1645" s="4">
        <v>777.85</v>
      </c>
      <c r="H1645" s="1">
        <v>2</v>
      </c>
      <c r="I1645" s="1" t="str">
        <f>TEXT(SalesTable[[#This Row],[Order_Date]],"mmm")</f>
        <v>Jul</v>
      </c>
      <c r="J1645" s="1">
        <f>YEAR(SalesTable[[#This Row],[Order_Date]])</f>
        <v>2026</v>
      </c>
      <c r="K1645" s="4">
        <v>-40.25</v>
      </c>
      <c r="L1645" s="9">
        <f>SalesTable[[#This Row],[Profit]]/SalesTable[[#This Row],[Sales]]</f>
        <v>-5.1745195089027446E-2</v>
      </c>
    </row>
    <row r="1646" spans="1:12" ht="14" x14ac:dyDescent="0.15">
      <c r="A1646" s="1">
        <v>11645</v>
      </c>
      <c r="B1646" s="2">
        <v>46206</v>
      </c>
      <c r="C1646" s="1" t="s">
        <v>11</v>
      </c>
      <c r="D1646" s="1" t="s">
        <v>15</v>
      </c>
      <c r="E1646" s="1" t="s">
        <v>20</v>
      </c>
      <c r="F1646" s="1" t="s">
        <v>21</v>
      </c>
      <c r="G1646" s="4">
        <v>935.82</v>
      </c>
      <c r="H1646" s="1">
        <v>6</v>
      </c>
      <c r="I1646" s="1" t="str">
        <f>TEXT(SalesTable[[#This Row],[Order_Date]],"mmm")</f>
        <v>Jul</v>
      </c>
      <c r="J1646" s="1">
        <f>YEAR(SalesTable[[#This Row],[Order_Date]])</f>
        <v>2026</v>
      </c>
      <c r="K1646" s="4">
        <v>87.67</v>
      </c>
      <c r="L1646" s="9">
        <f>SalesTable[[#This Row],[Profit]]/SalesTable[[#This Row],[Sales]]</f>
        <v>9.3682545788720054E-2</v>
      </c>
    </row>
    <row r="1647" spans="1:12" ht="14" x14ac:dyDescent="0.15">
      <c r="A1647" s="1">
        <v>11646</v>
      </c>
      <c r="B1647" s="2">
        <v>46207</v>
      </c>
      <c r="C1647" s="1" t="s">
        <v>9</v>
      </c>
      <c r="D1647" s="1" t="s">
        <v>13</v>
      </c>
      <c r="E1647" s="1" t="s">
        <v>19</v>
      </c>
      <c r="F1647" s="1" t="s">
        <v>23</v>
      </c>
      <c r="G1647" s="4">
        <v>949.94</v>
      </c>
      <c r="H1647" s="1">
        <v>8</v>
      </c>
      <c r="I1647" s="1" t="str">
        <f>TEXT(SalesTable[[#This Row],[Order_Date]],"mmm")</f>
        <v>Jul</v>
      </c>
      <c r="J1647" s="1">
        <f>YEAR(SalesTable[[#This Row],[Order_Date]])</f>
        <v>2026</v>
      </c>
      <c r="K1647" s="4">
        <v>232.45</v>
      </c>
      <c r="L1647" s="9">
        <f>SalesTable[[#This Row],[Profit]]/SalesTable[[#This Row],[Sales]]</f>
        <v>0.24469966524201525</v>
      </c>
    </row>
    <row r="1648" spans="1:12" ht="14" x14ac:dyDescent="0.15">
      <c r="A1648" s="1">
        <v>11647</v>
      </c>
      <c r="B1648" s="2">
        <v>46208</v>
      </c>
      <c r="C1648" s="1" t="s">
        <v>9</v>
      </c>
      <c r="D1648" s="1" t="s">
        <v>13</v>
      </c>
      <c r="E1648" s="1" t="s">
        <v>19</v>
      </c>
      <c r="F1648" s="1" t="s">
        <v>23</v>
      </c>
      <c r="G1648" s="4">
        <v>400.57</v>
      </c>
      <c r="H1648" s="1">
        <v>7</v>
      </c>
      <c r="I1648" s="1" t="str">
        <f>TEXT(SalesTable[[#This Row],[Order_Date]],"mmm")</f>
        <v>Jul</v>
      </c>
      <c r="J1648" s="1">
        <f>YEAR(SalesTable[[#This Row],[Order_Date]])</f>
        <v>2026</v>
      </c>
      <c r="K1648" s="4">
        <v>-93.81</v>
      </c>
      <c r="L1648" s="9">
        <f>SalesTable[[#This Row],[Profit]]/SalesTable[[#This Row],[Sales]]</f>
        <v>-0.23419127742966275</v>
      </c>
    </row>
    <row r="1649" spans="1:12" ht="14" x14ac:dyDescent="0.15">
      <c r="A1649" s="1">
        <v>11648</v>
      </c>
      <c r="B1649" s="2">
        <v>46209</v>
      </c>
      <c r="C1649" s="1" t="s">
        <v>10</v>
      </c>
      <c r="D1649" s="1" t="s">
        <v>14</v>
      </c>
      <c r="E1649" s="1" t="s">
        <v>20</v>
      </c>
      <c r="F1649" s="1" t="s">
        <v>24</v>
      </c>
      <c r="G1649" s="4">
        <v>178.74</v>
      </c>
      <c r="H1649" s="1">
        <v>1</v>
      </c>
      <c r="I1649" s="1" t="str">
        <f>TEXT(SalesTable[[#This Row],[Order_Date]],"mmm")</f>
        <v>Jul</v>
      </c>
      <c r="J1649" s="1">
        <f>YEAR(SalesTable[[#This Row],[Order_Date]])</f>
        <v>2026</v>
      </c>
      <c r="K1649" s="4">
        <v>9.17</v>
      </c>
      <c r="L1649" s="9">
        <f>SalesTable[[#This Row],[Profit]]/SalesTable[[#This Row],[Sales]]</f>
        <v>5.1303569430457642E-2</v>
      </c>
    </row>
    <row r="1650" spans="1:12" ht="14" x14ac:dyDescent="0.15">
      <c r="A1650" s="1">
        <v>11649</v>
      </c>
      <c r="B1650" s="2">
        <v>46210</v>
      </c>
      <c r="C1650" s="1" t="s">
        <v>11</v>
      </c>
      <c r="D1650" s="1" t="s">
        <v>13</v>
      </c>
      <c r="E1650" s="1" t="s">
        <v>19</v>
      </c>
      <c r="F1650" s="1" t="s">
        <v>23</v>
      </c>
      <c r="G1650" s="4">
        <v>542.48</v>
      </c>
      <c r="H1650" s="1">
        <v>5</v>
      </c>
      <c r="I1650" s="1" t="str">
        <f>TEXT(SalesTable[[#This Row],[Order_Date]],"mmm")</f>
        <v>Jul</v>
      </c>
      <c r="J1650" s="1">
        <f>YEAR(SalesTable[[#This Row],[Order_Date]])</f>
        <v>2026</v>
      </c>
      <c r="K1650" s="4">
        <v>-99.02</v>
      </c>
      <c r="L1650" s="9">
        <f>SalesTable[[#This Row],[Profit]]/SalesTable[[#This Row],[Sales]]</f>
        <v>-0.18253207491520423</v>
      </c>
    </row>
    <row r="1651" spans="1:12" ht="14" x14ac:dyDescent="0.15">
      <c r="A1651" s="1">
        <v>11650</v>
      </c>
      <c r="B1651" s="2">
        <v>46211</v>
      </c>
      <c r="C1651" s="1" t="s">
        <v>12</v>
      </c>
      <c r="D1651" s="1" t="s">
        <v>14</v>
      </c>
      <c r="E1651" s="1" t="s">
        <v>19</v>
      </c>
      <c r="F1651" s="1" t="s">
        <v>23</v>
      </c>
      <c r="G1651" s="4">
        <v>156.97999999999999</v>
      </c>
      <c r="H1651" s="1">
        <v>2</v>
      </c>
      <c r="I1651" s="1" t="str">
        <f>TEXT(SalesTable[[#This Row],[Order_Date]],"mmm")</f>
        <v>Jul</v>
      </c>
      <c r="J1651" s="1">
        <f>YEAR(SalesTable[[#This Row],[Order_Date]])</f>
        <v>2026</v>
      </c>
      <c r="K1651" s="4">
        <v>66.28</v>
      </c>
      <c r="L1651" s="9">
        <f>SalesTable[[#This Row],[Profit]]/SalesTable[[#This Row],[Sales]]</f>
        <v>0.42221939100522365</v>
      </c>
    </row>
    <row r="1652" spans="1:12" ht="14" x14ac:dyDescent="0.15">
      <c r="A1652" s="1">
        <v>11651</v>
      </c>
      <c r="B1652" s="2">
        <v>46212</v>
      </c>
      <c r="C1652" s="1" t="s">
        <v>9</v>
      </c>
      <c r="D1652" s="1" t="s">
        <v>15</v>
      </c>
      <c r="E1652" s="1" t="s">
        <v>20</v>
      </c>
      <c r="F1652" s="1" t="s">
        <v>22</v>
      </c>
      <c r="G1652" s="4">
        <v>937.29</v>
      </c>
      <c r="H1652" s="1">
        <v>6</v>
      </c>
      <c r="I1652" s="1" t="str">
        <f>TEXT(SalesTable[[#This Row],[Order_Date]],"mmm")</f>
        <v>Jul</v>
      </c>
      <c r="J1652" s="1">
        <f>YEAR(SalesTable[[#This Row],[Order_Date]])</f>
        <v>2026</v>
      </c>
      <c r="K1652" s="4">
        <v>191.33</v>
      </c>
      <c r="L1652" s="9">
        <f>SalesTable[[#This Row],[Profit]]/SalesTable[[#This Row],[Sales]]</f>
        <v>0.20413105869048001</v>
      </c>
    </row>
    <row r="1653" spans="1:12" ht="14" x14ac:dyDescent="0.15">
      <c r="A1653" s="1">
        <v>11652</v>
      </c>
      <c r="B1653" s="2">
        <v>46213</v>
      </c>
      <c r="C1653" s="1" t="s">
        <v>12</v>
      </c>
      <c r="D1653" s="1" t="s">
        <v>15</v>
      </c>
      <c r="E1653" s="1" t="s">
        <v>17</v>
      </c>
      <c r="F1653" s="1" t="s">
        <v>24</v>
      </c>
      <c r="G1653" s="4">
        <v>224.4</v>
      </c>
      <c r="H1653" s="1">
        <v>7</v>
      </c>
      <c r="I1653" s="1" t="str">
        <f>TEXT(SalesTable[[#This Row],[Order_Date]],"mmm")</f>
        <v>Jul</v>
      </c>
      <c r="J1653" s="1">
        <f>YEAR(SalesTable[[#This Row],[Order_Date]])</f>
        <v>2026</v>
      </c>
      <c r="K1653" s="4">
        <v>219.51</v>
      </c>
      <c r="L1653" s="9">
        <f>SalesTable[[#This Row],[Profit]]/SalesTable[[#This Row],[Sales]]</f>
        <v>0.97820855614973257</v>
      </c>
    </row>
    <row r="1654" spans="1:12" ht="14" x14ac:dyDescent="0.15">
      <c r="A1654" s="1">
        <v>11653</v>
      </c>
      <c r="B1654" s="2">
        <v>46214</v>
      </c>
      <c r="C1654" s="1" t="s">
        <v>12</v>
      </c>
      <c r="D1654" s="1" t="s">
        <v>13</v>
      </c>
      <c r="E1654" s="1" t="s">
        <v>17</v>
      </c>
      <c r="F1654" s="1" t="s">
        <v>24</v>
      </c>
      <c r="G1654" s="4">
        <v>290.13</v>
      </c>
      <c r="H1654" s="1">
        <v>7</v>
      </c>
      <c r="I1654" s="1" t="str">
        <f>TEXT(SalesTable[[#This Row],[Order_Date]],"mmm")</f>
        <v>Jul</v>
      </c>
      <c r="J1654" s="1">
        <f>YEAR(SalesTable[[#This Row],[Order_Date]])</f>
        <v>2026</v>
      </c>
      <c r="K1654" s="4">
        <v>278.08</v>
      </c>
      <c r="L1654" s="9">
        <f>SalesTable[[#This Row],[Profit]]/SalesTable[[#This Row],[Sales]]</f>
        <v>0.95846689415089781</v>
      </c>
    </row>
    <row r="1655" spans="1:12" ht="14" x14ac:dyDescent="0.15">
      <c r="A1655" s="1">
        <v>11654</v>
      </c>
      <c r="B1655" s="2">
        <v>46215</v>
      </c>
      <c r="C1655" s="1" t="s">
        <v>9</v>
      </c>
      <c r="D1655" s="1" t="s">
        <v>15</v>
      </c>
      <c r="E1655" s="1" t="s">
        <v>16</v>
      </c>
      <c r="F1655" s="1" t="s">
        <v>23</v>
      </c>
      <c r="G1655" s="4">
        <v>436.3</v>
      </c>
      <c r="H1655" s="1">
        <v>3</v>
      </c>
      <c r="I1655" s="1" t="str">
        <f>TEXT(SalesTable[[#This Row],[Order_Date]],"mmm")</f>
        <v>Jul</v>
      </c>
      <c r="J1655" s="1">
        <f>YEAR(SalesTable[[#This Row],[Order_Date]])</f>
        <v>2026</v>
      </c>
      <c r="K1655" s="4">
        <v>143.4</v>
      </c>
      <c r="L1655" s="9">
        <f>SalesTable[[#This Row],[Profit]]/SalesTable[[#This Row],[Sales]]</f>
        <v>0.32867293146917259</v>
      </c>
    </row>
    <row r="1656" spans="1:12" ht="14" x14ac:dyDescent="0.15">
      <c r="A1656" s="1">
        <v>11655</v>
      </c>
      <c r="B1656" s="2">
        <v>46216</v>
      </c>
      <c r="C1656" s="1" t="s">
        <v>12</v>
      </c>
      <c r="D1656" s="1" t="s">
        <v>13</v>
      </c>
      <c r="E1656" s="1" t="s">
        <v>19</v>
      </c>
      <c r="F1656" s="1" t="s">
        <v>23</v>
      </c>
      <c r="G1656" s="4">
        <v>414.01</v>
      </c>
      <c r="H1656" s="1">
        <v>7</v>
      </c>
      <c r="I1656" s="1" t="str">
        <f>TEXT(SalesTable[[#This Row],[Order_Date]],"mmm")</f>
        <v>Jul</v>
      </c>
      <c r="J1656" s="1">
        <f>YEAR(SalesTable[[#This Row],[Order_Date]])</f>
        <v>2026</v>
      </c>
      <c r="K1656" s="4">
        <v>1.85</v>
      </c>
      <c r="L1656" s="9">
        <f>SalesTable[[#This Row],[Profit]]/SalesTable[[#This Row],[Sales]]</f>
        <v>4.4684910992488103E-3</v>
      </c>
    </row>
    <row r="1657" spans="1:12" ht="14" x14ac:dyDescent="0.15">
      <c r="A1657" s="1">
        <v>11656</v>
      </c>
      <c r="B1657" s="2">
        <v>46217</v>
      </c>
      <c r="C1657" s="1" t="s">
        <v>9</v>
      </c>
      <c r="D1657" s="1" t="s">
        <v>15</v>
      </c>
      <c r="E1657" s="1" t="s">
        <v>20</v>
      </c>
      <c r="F1657" s="1" t="s">
        <v>23</v>
      </c>
      <c r="G1657" s="4">
        <v>804.93</v>
      </c>
      <c r="H1657" s="1">
        <v>5</v>
      </c>
      <c r="I1657" s="1" t="str">
        <f>TEXT(SalesTable[[#This Row],[Order_Date]],"mmm")</f>
        <v>Jul</v>
      </c>
      <c r="J1657" s="1">
        <f>YEAR(SalesTable[[#This Row],[Order_Date]])</f>
        <v>2026</v>
      </c>
      <c r="K1657" s="4">
        <v>269.66000000000003</v>
      </c>
      <c r="L1657" s="9">
        <f>SalesTable[[#This Row],[Profit]]/SalesTable[[#This Row],[Sales]]</f>
        <v>0.33501049780726277</v>
      </c>
    </row>
    <row r="1658" spans="1:12" ht="14" x14ac:dyDescent="0.15">
      <c r="A1658" s="1">
        <v>11657</v>
      </c>
      <c r="B1658" s="2">
        <v>46218</v>
      </c>
      <c r="C1658" s="1" t="s">
        <v>12</v>
      </c>
      <c r="D1658" s="1" t="s">
        <v>14</v>
      </c>
      <c r="E1658" s="1" t="s">
        <v>19</v>
      </c>
      <c r="F1658" s="1" t="s">
        <v>21</v>
      </c>
      <c r="G1658" s="4">
        <v>483.5</v>
      </c>
      <c r="H1658" s="1">
        <v>8</v>
      </c>
      <c r="I1658" s="1" t="str">
        <f>TEXT(SalesTable[[#This Row],[Order_Date]],"mmm")</f>
        <v>Jul</v>
      </c>
      <c r="J1658" s="1">
        <f>YEAR(SalesTable[[#This Row],[Order_Date]])</f>
        <v>2026</v>
      </c>
      <c r="K1658" s="4">
        <v>210.13</v>
      </c>
      <c r="L1658" s="9">
        <f>SalesTable[[#This Row],[Profit]]/SalesTable[[#This Row],[Sales]]</f>
        <v>0.43460186142709412</v>
      </c>
    </row>
    <row r="1659" spans="1:12" ht="14" x14ac:dyDescent="0.15">
      <c r="A1659" s="1">
        <v>11658</v>
      </c>
      <c r="B1659" s="2">
        <v>46219</v>
      </c>
      <c r="C1659" s="1" t="s">
        <v>9</v>
      </c>
      <c r="D1659" s="1" t="s">
        <v>14</v>
      </c>
      <c r="E1659" s="1" t="s">
        <v>18</v>
      </c>
      <c r="F1659" s="1" t="s">
        <v>25</v>
      </c>
      <c r="G1659" s="4">
        <v>212.23</v>
      </c>
      <c r="H1659" s="1">
        <v>8</v>
      </c>
      <c r="I1659" s="1" t="str">
        <f>TEXT(SalesTable[[#This Row],[Order_Date]],"mmm")</f>
        <v>Jul</v>
      </c>
      <c r="J1659" s="1">
        <f>YEAR(SalesTable[[#This Row],[Order_Date]])</f>
        <v>2026</v>
      </c>
      <c r="K1659" s="4">
        <v>129.77000000000001</v>
      </c>
      <c r="L1659" s="9">
        <f>SalesTable[[#This Row],[Profit]]/SalesTable[[#This Row],[Sales]]</f>
        <v>0.61145926589077892</v>
      </c>
    </row>
    <row r="1660" spans="1:12" ht="14" x14ac:dyDescent="0.15">
      <c r="A1660" s="1">
        <v>11659</v>
      </c>
      <c r="B1660" s="2">
        <v>46220</v>
      </c>
      <c r="C1660" s="1" t="s">
        <v>11</v>
      </c>
      <c r="D1660" s="1" t="s">
        <v>14</v>
      </c>
      <c r="E1660" s="1" t="s">
        <v>19</v>
      </c>
      <c r="F1660" s="1" t="s">
        <v>21</v>
      </c>
      <c r="G1660" s="4">
        <v>303.85000000000002</v>
      </c>
      <c r="H1660" s="1">
        <v>7</v>
      </c>
      <c r="I1660" s="1" t="str">
        <f>TEXT(SalesTable[[#This Row],[Order_Date]],"mmm")</f>
        <v>Jul</v>
      </c>
      <c r="J1660" s="1">
        <f>YEAR(SalesTable[[#This Row],[Order_Date]])</f>
        <v>2026</v>
      </c>
      <c r="K1660" s="4">
        <v>178.26</v>
      </c>
      <c r="L1660" s="9">
        <f>SalesTable[[#This Row],[Profit]]/SalesTable[[#This Row],[Sales]]</f>
        <v>0.58667105479677462</v>
      </c>
    </row>
    <row r="1661" spans="1:12" ht="14" x14ac:dyDescent="0.15">
      <c r="A1661" s="1">
        <v>11660</v>
      </c>
      <c r="B1661" s="2">
        <v>46221</v>
      </c>
      <c r="C1661" s="1" t="s">
        <v>10</v>
      </c>
      <c r="D1661" s="1" t="s">
        <v>14</v>
      </c>
      <c r="E1661" s="1" t="s">
        <v>19</v>
      </c>
      <c r="F1661" s="1" t="s">
        <v>24</v>
      </c>
      <c r="G1661" s="4">
        <v>533.66</v>
      </c>
      <c r="H1661" s="1">
        <v>6</v>
      </c>
      <c r="I1661" s="1" t="str">
        <f>TEXT(SalesTable[[#This Row],[Order_Date]],"mmm")</f>
        <v>Jul</v>
      </c>
      <c r="J1661" s="1">
        <f>YEAR(SalesTable[[#This Row],[Order_Date]])</f>
        <v>2026</v>
      </c>
      <c r="K1661" s="4">
        <v>269.73</v>
      </c>
      <c r="L1661" s="9">
        <f>SalesTable[[#This Row],[Profit]]/SalesTable[[#This Row],[Sales]]</f>
        <v>0.50543417156991344</v>
      </c>
    </row>
    <row r="1662" spans="1:12" ht="14" x14ac:dyDescent="0.15">
      <c r="A1662" s="1">
        <v>11661</v>
      </c>
      <c r="B1662" s="2">
        <v>46222</v>
      </c>
      <c r="C1662" s="1" t="s">
        <v>9</v>
      </c>
      <c r="D1662" s="1" t="s">
        <v>13</v>
      </c>
      <c r="E1662" s="1" t="s">
        <v>17</v>
      </c>
      <c r="F1662" s="1" t="s">
        <v>22</v>
      </c>
      <c r="G1662" s="4">
        <v>190.08</v>
      </c>
      <c r="H1662" s="1">
        <v>2</v>
      </c>
      <c r="I1662" s="1" t="str">
        <f>TEXT(SalesTable[[#This Row],[Order_Date]],"mmm")</f>
        <v>Jul</v>
      </c>
      <c r="J1662" s="1">
        <f>YEAR(SalesTable[[#This Row],[Order_Date]])</f>
        <v>2026</v>
      </c>
      <c r="K1662" s="4">
        <v>184.96</v>
      </c>
      <c r="L1662" s="9">
        <f>SalesTable[[#This Row],[Profit]]/SalesTable[[#This Row],[Sales]]</f>
        <v>0.97306397306397308</v>
      </c>
    </row>
    <row r="1663" spans="1:12" ht="14" x14ac:dyDescent="0.15">
      <c r="A1663" s="1">
        <v>11662</v>
      </c>
      <c r="B1663" s="2">
        <v>46223</v>
      </c>
      <c r="C1663" s="1" t="s">
        <v>9</v>
      </c>
      <c r="D1663" s="1" t="s">
        <v>15</v>
      </c>
      <c r="E1663" s="1" t="s">
        <v>20</v>
      </c>
      <c r="F1663" s="1" t="s">
        <v>25</v>
      </c>
      <c r="G1663" s="4">
        <v>631.07000000000005</v>
      </c>
      <c r="H1663" s="1">
        <v>6</v>
      </c>
      <c r="I1663" s="1" t="str">
        <f>TEXT(SalesTable[[#This Row],[Order_Date]],"mmm")</f>
        <v>Jul</v>
      </c>
      <c r="J1663" s="1">
        <f>YEAR(SalesTable[[#This Row],[Order_Date]])</f>
        <v>2026</v>
      </c>
      <c r="K1663" s="4">
        <v>47.35</v>
      </c>
      <c r="L1663" s="9">
        <f>SalesTable[[#This Row],[Profit]]/SalesTable[[#This Row],[Sales]]</f>
        <v>7.5031296052735827E-2</v>
      </c>
    </row>
    <row r="1664" spans="1:12" ht="14" x14ac:dyDescent="0.15">
      <c r="A1664" s="1">
        <v>11663</v>
      </c>
      <c r="B1664" s="2">
        <v>46224</v>
      </c>
      <c r="C1664" s="1" t="s">
        <v>10</v>
      </c>
      <c r="D1664" s="1" t="s">
        <v>13</v>
      </c>
      <c r="E1664" s="1" t="s">
        <v>19</v>
      </c>
      <c r="F1664" s="1" t="s">
        <v>22</v>
      </c>
      <c r="G1664" s="4">
        <v>587.46</v>
      </c>
      <c r="H1664" s="1">
        <v>9</v>
      </c>
      <c r="I1664" s="1" t="str">
        <f>TEXT(SalesTable[[#This Row],[Order_Date]],"mmm")</f>
        <v>Jul</v>
      </c>
      <c r="J1664" s="1">
        <f>YEAR(SalesTable[[#This Row],[Order_Date]])</f>
        <v>2026</v>
      </c>
      <c r="K1664" s="4">
        <v>185.21</v>
      </c>
      <c r="L1664" s="9">
        <f>SalesTable[[#This Row],[Profit]]/SalesTable[[#This Row],[Sales]]</f>
        <v>0.31527252919347698</v>
      </c>
    </row>
    <row r="1665" spans="1:12" ht="14" x14ac:dyDescent="0.15">
      <c r="A1665" s="1">
        <v>11664</v>
      </c>
      <c r="B1665" s="2">
        <v>46225</v>
      </c>
      <c r="C1665" s="1" t="s">
        <v>9</v>
      </c>
      <c r="D1665" s="1" t="s">
        <v>14</v>
      </c>
      <c r="E1665" s="1" t="s">
        <v>17</v>
      </c>
      <c r="F1665" s="1" t="s">
        <v>24</v>
      </c>
      <c r="G1665" s="4">
        <v>728.97</v>
      </c>
      <c r="H1665" s="1">
        <v>2</v>
      </c>
      <c r="I1665" s="1" t="str">
        <f>TEXT(SalesTable[[#This Row],[Order_Date]],"mmm")</f>
        <v>Jul</v>
      </c>
      <c r="J1665" s="1">
        <f>YEAR(SalesTable[[#This Row],[Order_Date]])</f>
        <v>2026</v>
      </c>
      <c r="K1665" s="4">
        <v>-83.89</v>
      </c>
      <c r="L1665" s="9">
        <f>SalesTable[[#This Row],[Profit]]/SalesTable[[#This Row],[Sales]]</f>
        <v>-0.11508018162613001</v>
      </c>
    </row>
    <row r="1666" spans="1:12" ht="14" x14ac:dyDescent="0.15">
      <c r="A1666" s="1">
        <v>11665</v>
      </c>
      <c r="B1666" s="2">
        <v>46226</v>
      </c>
      <c r="C1666" s="1" t="s">
        <v>9</v>
      </c>
      <c r="D1666" s="1" t="s">
        <v>13</v>
      </c>
      <c r="E1666" s="1" t="s">
        <v>16</v>
      </c>
      <c r="F1666" s="1" t="s">
        <v>24</v>
      </c>
      <c r="G1666" s="4">
        <v>940.82</v>
      </c>
      <c r="H1666" s="1">
        <v>1</v>
      </c>
      <c r="I1666" s="1" t="str">
        <f>TEXT(SalesTable[[#This Row],[Order_Date]],"mmm")</f>
        <v>Jul</v>
      </c>
      <c r="J1666" s="1">
        <f>YEAR(SalesTable[[#This Row],[Order_Date]])</f>
        <v>2026</v>
      </c>
      <c r="K1666" s="4">
        <v>54.57</v>
      </c>
      <c r="L1666" s="9">
        <f>SalesTable[[#This Row],[Profit]]/SalesTable[[#This Row],[Sales]]</f>
        <v>5.8002593482281414E-2</v>
      </c>
    </row>
    <row r="1667" spans="1:12" ht="14" x14ac:dyDescent="0.15">
      <c r="A1667" s="1">
        <v>11666</v>
      </c>
      <c r="B1667" s="2">
        <v>46227</v>
      </c>
      <c r="C1667" s="1" t="s">
        <v>12</v>
      </c>
      <c r="D1667" s="1" t="s">
        <v>15</v>
      </c>
      <c r="E1667" s="1" t="s">
        <v>17</v>
      </c>
      <c r="F1667" s="1" t="s">
        <v>22</v>
      </c>
      <c r="G1667" s="4">
        <v>916.64</v>
      </c>
      <c r="H1667" s="1">
        <v>5</v>
      </c>
      <c r="I1667" s="1" t="str">
        <f>TEXT(SalesTable[[#This Row],[Order_Date]],"mmm")</f>
        <v>Jul</v>
      </c>
      <c r="J1667" s="1">
        <f>YEAR(SalesTable[[#This Row],[Order_Date]])</f>
        <v>2026</v>
      </c>
      <c r="K1667" s="4">
        <v>62.53</v>
      </c>
      <c r="L1667" s="9">
        <f>SalesTable[[#This Row],[Profit]]/SalesTable[[#This Row],[Sales]]</f>
        <v>6.8216529935416312E-2</v>
      </c>
    </row>
    <row r="1668" spans="1:12" ht="14" x14ac:dyDescent="0.15">
      <c r="A1668" s="1">
        <v>11667</v>
      </c>
      <c r="B1668" s="2">
        <v>46228</v>
      </c>
      <c r="C1668" s="1" t="s">
        <v>10</v>
      </c>
      <c r="D1668" s="1" t="s">
        <v>13</v>
      </c>
      <c r="E1668" s="1" t="s">
        <v>17</v>
      </c>
      <c r="F1668" s="1" t="s">
        <v>22</v>
      </c>
      <c r="G1668" s="4">
        <v>948.77</v>
      </c>
      <c r="H1668" s="1">
        <v>6</v>
      </c>
      <c r="I1668" s="1" t="str">
        <f>TEXT(SalesTable[[#This Row],[Order_Date]],"mmm")</f>
        <v>Jul</v>
      </c>
      <c r="J1668" s="1">
        <f>YEAR(SalesTable[[#This Row],[Order_Date]])</f>
        <v>2026</v>
      </c>
      <c r="K1668" s="4">
        <v>-33.26</v>
      </c>
      <c r="L1668" s="9">
        <f>SalesTable[[#This Row],[Profit]]/SalesTable[[#This Row],[Sales]]</f>
        <v>-3.5055914499826091E-2</v>
      </c>
    </row>
    <row r="1669" spans="1:12" ht="14" x14ac:dyDescent="0.15">
      <c r="A1669" s="1">
        <v>11668</v>
      </c>
      <c r="B1669" s="2">
        <v>46229</v>
      </c>
      <c r="C1669" s="1" t="s">
        <v>11</v>
      </c>
      <c r="D1669" s="1" t="s">
        <v>15</v>
      </c>
      <c r="E1669" s="1" t="s">
        <v>17</v>
      </c>
      <c r="F1669" s="1" t="s">
        <v>22</v>
      </c>
      <c r="G1669" s="4">
        <v>282.48</v>
      </c>
      <c r="H1669" s="1">
        <v>3</v>
      </c>
      <c r="I1669" s="1" t="str">
        <f>TEXT(SalesTable[[#This Row],[Order_Date]],"mmm")</f>
        <v>Jul</v>
      </c>
      <c r="J1669" s="1">
        <f>YEAR(SalesTable[[#This Row],[Order_Date]])</f>
        <v>2026</v>
      </c>
      <c r="K1669" s="4">
        <v>-90.77</v>
      </c>
      <c r="L1669" s="9">
        <f>SalesTable[[#This Row],[Profit]]/SalesTable[[#This Row],[Sales]]</f>
        <v>-0.32133248371566125</v>
      </c>
    </row>
    <row r="1670" spans="1:12" ht="14" x14ac:dyDescent="0.15">
      <c r="A1670" s="1">
        <v>11669</v>
      </c>
      <c r="B1670" s="2">
        <v>46230</v>
      </c>
      <c r="C1670" s="1" t="s">
        <v>9</v>
      </c>
      <c r="D1670" s="1" t="s">
        <v>13</v>
      </c>
      <c r="E1670" s="1" t="s">
        <v>19</v>
      </c>
      <c r="F1670" s="1" t="s">
        <v>24</v>
      </c>
      <c r="G1670" s="4">
        <v>174.99</v>
      </c>
      <c r="H1670" s="1">
        <v>8</v>
      </c>
      <c r="I1670" s="1" t="str">
        <f>TEXT(SalesTable[[#This Row],[Order_Date]],"mmm")</f>
        <v>Jul</v>
      </c>
      <c r="J1670" s="1">
        <f>YEAR(SalesTable[[#This Row],[Order_Date]])</f>
        <v>2026</v>
      </c>
      <c r="K1670" s="4">
        <v>-46.65</v>
      </c>
      <c r="L1670" s="9">
        <f>SalesTable[[#This Row],[Profit]]/SalesTable[[#This Row],[Sales]]</f>
        <v>-0.26658666209497683</v>
      </c>
    </row>
    <row r="1671" spans="1:12" ht="14" x14ac:dyDescent="0.15">
      <c r="A1671" s="1">
        <v>11670</v>
      </c>
      <c r="B1671" s="2">
        <v>46231</v>
      </c>
      <c r="C1671" s="1" t="s">
        <v>10</v>
      </c>
      <c r="D1671" s="1" t="s">
        <v>15</v>
      </c>
      <c r="E1671" s="1" t="s">
        <v>19</v>
      </c>
      <c r="F1671" s="1" t="s">
        <v>23</v>
      </c>
      <c r="G1671" s="4">
        <v>337.16</v>
      </c>
      <c r="H1671" s="1">
        <v>7</v>
      </c>
      <c r="I1671" s="1" t="str">
        <f>TEXT(SalesTable[[#This Row],[Order_Date]],"mmm")</f>
        <v>Jul</v>
      </c>
      <c r="J1671" s="1">
        <f>YEAR(SalesTable[[#This Row],[Order_Date]])</f>
        <v>2026</v>
      </c>
      <c r="K1671" s="4">
        <v>161.85</v>
      </c>
      <c r="L1671" s="9">
        <f>SalesTable[[#This Row],[Profit]]/SalesTable[[#This Row],[Sales]]</f>
        <v>0.48003915055166679</v>
      </c>
    </row>
    <row r="1672" spans="1:12" ht="14" x14ac:dyDescent="0.15">
      <c r="A1672" s="1">
        <v>11671</v>
      </c>
      <c r="B1672" s="2">
        <v>46232</v>
      </c>
      <c r="C1672" s="1" t="s">
        <v>12</v>
      </c>
      <c r="D1672" s="1" t="s">
        <v>15</v>
      </c>
      <c r="E1672" s="1" t="s">
        <v>16</v>
      </c>
      <c r="F1672" s="1" t="s">
        <v>22</v>
      </c>
      <c r="G1672" s="4">
        <v>900.33</v>
      </c>
      <c r="H1672" s="1">
        <v>2</v>
      </c>
      <c r="I1672" s="1" t="str">
        <f>TEXT(SalesTable[[#This Row],[Order_Date]],"mmm")</f>
        <v>Jul</v>
      </c>
      <c r="J1672" s="1">
        <f>YEAR(SalesTable[[#This Row],[Order_Date]])</f>
        <v>2026</v>
      </c>
      <c r="K1672" s="4">
        <v>220.92</v>
      </c>
      <c r="L1672" s="9">
        <f>SalesTable[[#This Row],[Profit]]/SalesTable[[#This Row],[Sales]]</f>
        <v>0.24537669521175567</v>
      </c>
    </row>
    <row r="1673" spans="1:12" ht="14" x14ac:dyDescent="0.15">
      <c r="A1673" s="1">
        <v>11672</v>
      </c>
      <c r="B1673" s="2">
        <v>46233</v>
      </c>
      <c r="C1673" s="1" t="s">
        <v>11</v>
      </c>
      <c r="D1673" s="1" t="s">
        <v>14</v>
      </c>
      <c r="E1673" s="1" t="s">
        <v>18</v>
      </c>
      <c r="F1673" s="1" t="s">
        <v>25</v>
      </c>
      <c r="G1673" s="4">
        <v>973.45</v>
      </c>
      <c r="H1673" s="1">
        <v>7</v>
      </c>
      <c r="I1673" s="1" t="str">
        <f>TEXT(SalesTable[[#This Row],[Order_Date]],"mmm")</f>
        <v>Jul</v>
      </c>
      <c r="J1673" s="1">
        <f>YEAR(SalesTable[[#This Row],[Order_Date]])</f>
        <v>2026</v>
      </c>
      <c r="K1673" s="4">
        <v>295.27999999999997</v>
      </c>
      <c r="L1673" s="9">
        <f>SalesTable[[#This Row],[Profit]]/SalesTable[[#This Row],[Sales]]</f>
        <v>0.30333350454568797</v>
      </c>
    </row>
    <row r="1674" spans="1:12" ht="14" x14ac:dyDescent="0.15">
      <c r="A1674" s="1">
        <v>11673</v>
      </c>
      <c r="B1674" s="2">
        <v>46234</v>
      </c>
      <c r="C1674" s="1" t="s">
        <v>10</v>
      </c>
      <c r="D1674" s="1" t="s">
        <v>15</v>
      </c>
      <c r="E1674" s="1" t="s">
        <v>18</v>
      </c>
      <c r="F1674" s="1" t="s">
        <v>24</v>
      </c>
      <c r="G1674" s="4">
        <v>866.36</v>
      </c>
      <c r="H1674" s="1">
        <v>1</v>
      </c>
      <c r="I1674" s="1" t="str">
        <f>TEXT(SalesTable[[#This Row],[Order_Date]],"mmm")</f>
        <v>Jul</v>
      </c>
      <c r="J1674" s="1">
        <f>YEAR(SalesTable[[#This Row],[Order_Date]])</f>
        <v>2026</v>
      </c>
      <c r="K1674" s="4">
        <v>38.549999999999997</v>
      </c>
      <c r="L1674" s="9">
        <f>SalesTable[[#This Row],[Profit]]/SalesTable[[#This Row],[Sales]]</f>
        <v>4.4496514151161175E-2</v>
      </c>
    </row>
    <row r="1675" spans="1:12" ht="14" x14ac:dyDescent="0.15">
      <c r="A1675" s="1">
        <v>11674</v>
      </c>
      <c r="B1675" s="2">
        <v>46235</v>
      </c>
      <c r="C1675" s="1" t="s">
        <v>11</v>
      </c>
      <c r="D1675" s="1" t="s">
        <v>14</v>
      </c>
      <c r="E1675" s="1" t="s">
        <v>18</v>
      </c>
      <c r="F1675" s="1" t="s">
        <v>21</v>
      </c>
      <c r="G1675" s="4">
        <v>154.52000000000001</v>
      </c>
      <c r="H1675" s="1">
        <v>9</v>
      </c>
      <c r="I1675" s="1" t="str">
        <f>TEXT(SalesTable[[#This Row],[Order_Date]],"mmm")</f>
        <v>Aug</v>
      </c>
      <c r="J1675" s="1">
        <f>YEAR(SalesTable[[#This Row],[Order_Date]])</f>
        <v>2026</v>
      </c>
      <c r="K1675" s="4">
        <v>139.75</v>
      </c>
      <c r="L1675" s="9">
        <f>SalesTable[[#This Row],[Profit]]/SalesTable[[#This Row],[Sales]]</f>
        <v>0.90441366813357493</v>
      </c>
    </row>
    <row r="1676" spans="1:12" ht="14" x14ac:dyDescent="0.15">
      <c r="A1676" s="1">
        <v>11675</v>
      </c>
      <c r="B1676" s="2">
        <v>46236</v>
      </c>
      <c r="C1676" s="1" t="s">
        <v>11</v>
      </c>
      <c r="D1676" s="1" t="s">
        <v>14</v>
      </c>
      <c r="E1676" s="1" t="s">
        <v>16</v>
      </c>
      <c r="F1676" s="1" t="s">
        <v>21</v>
      </c>
      <c r="G1676" s="4">
        <v>950.06</v>
      </c>
      <c r="H1676" s="1">
        <v>7</v>
      </c>
      <c r="I1676" s="1" t="str">
        <f>TEXT(SalesTable[[#This Row],[Order_Date]],"mmm")</f>
        <v>Aug</v>
      </c>
      <c r="J1676" s="1">
        <f>YEAR(SalesTable[[#This Row],[Order_Date]])</f>
        <v>2026</v>
      </c>
      <c r="K1676" s="4">
        <v>274.86</v>
      </c>
      <c r="L1676" s="9">
        <f>SalesTable[[#This Row],[Profit]]/SalesTable[[#This Row],[Sales]]</f>
        <v>0.28930804370250301</v>
      </c>
    </row>
    <row r="1677" spans="1:12" ht="14" x14ac:dyDescent="0.15">
      <c r="A1677" s="1">
        <v>11676</v>
      </c>
      <c r="B1677" s="2">
        <v>46237</v>
      </c>
      <c r="C1677" s="1" t="s">
        <v>11</v>
      </c>
      <c r="D1677" s="1" t="s">
        <v>14</v>
      </c>
      <c r="E1677" s="1" t="s">
        <v>18</v>
      </c>
      <c r="F1677" s="1" t="s">
        <v>25</v>
      </c>
      <c r="G1677" s="4">
        <v>452.19</v>
      </c>
      <c r="H1677" s="1">
        <v>6</v>
      </c>
      <c r="I1677" s="1" t="str">
        <f>TEXT(SalesTable[[#This Row],[Order_Date]],"mmm")</f>
        <v>Aug</v>
      </c>
      <c r="J1677" s="1">
        <f>YEAR(SalesTable[[#This Row],[Order_Date]])</f>
        <v>2026</v>
      </c>
      <c r="K1677" s="4">
        <v>-33.18</v>
      </c>
      <c r="L1677" s="9">
        <f>SalesTable[[#This Row],[Profit]]/SalesTable[[#This Row],[Sales]]</f>
        <v>-7.3376235653154653E-2</v>
      </c>
    </row>
    <row r="1678" spans="1:12" ht="14" x14ac:dyDescent="0.15">
      <c r="A1678" s="1">
        <v>11677</v>
      </c>
      <c r="B1678" s="2">
        <v>46238</v>
      </c>
      <c r="C1678" s="1" t="s">
        <v>9</v>
      </c>
      <c r="D1678" s="1" t="s">
        <v>13</v>
      </c>
      <c r="E1678" s="1" t="s">
        <v>18</v>
      </c>
      <c r="F1678" s="1" t="s">
        <v>23</v>
      </c>
      <c r="G1678" s="4">
        <v>58.84</v>
      </c>
      <c r="H1678" s="1">
        <v>2</v>
      </c>
      <c r="I1678" s="1" t="str">
        <f>TEXT(SalesTable[[#This Row],[Order_Date]],"mmm")</f>
        <v>Aug</v>
      </c>
      <c r="J1678" s="1">
        <f>YEAR(SalesTable[[#This Row],[Order_Date]])</f>
        <v>2026</v>
      </c>
      <c r="K1678" s="4">
        <v>187.06</v>
      </c>
      <c r="L1678" s="9">
        <f>SalesTable[[#This Row],[Profit]]/SalesTable[[#This Row],[Sales]]</f>
        <v>3.1791298436437798</v>
      </c>
    </row>
    <row r="1679" spans="1:12" ht="14" x14ac:dyDescent="0.15">
      <c r="A1679" s="1">
        <v>11678</v>
      </c>
      <c r="B1679" s="2">
        <v>46239</v>
      </c>
      <c r="C1679" s="1" t="s">
        <v>9</v>
      </c>
      <c r="D1679" s="1" t="s">
        <v>13</v>
      </c>
      <c r="E1679" s="1" t="s">
        <v>17</v>
      </c>
      <c r="F1679" s="1" t="s">
        <v>22</v>
      </c>
      <c r="G1679" s="4">
        <v>470.27</v>
      </c>
      <c r="H1679" s="1">
        <v>3</v>
      </c>
      <c r="I1679" s="1" t="str">
        <f>TEXT(SalesTable[[#This Row],[Order_Date]],"mmm")</f>
        <v>Aug</v>
      </c>
      <c r="J1679" s="1">
        <f>YEAR(SalesTable[[#This Row],[Order_Date]])</f>
        <v>2026</v>
      </c>
      <c r="K1679" s="4">
        <v>201.99</v>
      </c>
      <c r="L1679" s="9">
        <f>SalesTable[[#This Row],[Profit]]/SalesTable[[#This Row],[Sales]]</f>
        <v>0.42951921236736346</v>
      </c>
    </row>
    <row r="1680" spans="1:12" ht="14" x14ac:dyDescent="0.15">
      <c r="A1680" s="1">
        <v>11679</v>
      </c>
      <c r="B1680" s="2">
        <v>46240</v>
      </c>
      <c r="C1680" s="1" t="s">
        <v>12</v>
      </c>
      <c r="D1680" s="1" t="s">
        <v>13</v>
      </c>
      <c r="E1680" s="1" t="s">
        <v>19</v>
      </c>
      <c r="F1680" s="1" t="s">
        <v>24</v>
      </c>
      <c r="G1680" s="4">
        <v>93.77</v>
      </c>
      <c r="H1680" s="1">
        <v>1</v>
      </c>
      <c r="I1680" s="1" t="str">
        <f>TEXT(SalesTable[[#This Row],[Order_Date]],"mmm")</f>
        <v>Aug</v>
      </c>
      <c r="J1680" s="1">
        <f>YEAR(SalesTable[[#This Row],[Order_Date]])</f>
        <v>2026</v>
      </c>
      <c r="K1680" s="4">
        <v>-64.41</v>
      </c>
      <c r="L1680" s="9">
        <f>SalesTable[[#This Row],[Profit]]/SalesTable[[#This Row],[Sales]]</f>
        <v>-0.68689346272795138</v>
      </c>
    </row>
    <row r="1681" spans="1:12" ht="14" x14ac:dyDescent="0.15">
      <c r="A1681" s="1">
        <v>11680</v>
      </c>
      <c r="B1681" s="2">
        <v>46241</v>
      </c>
      <c r="C1681" s="1" t="s">
        <v>12</v>
      </c>
      <c r="D1681" s="1" t="s">
        <v>13</v>
      </c>
      <c r="E1681" s="1" t="s">
        <v>19</v>
      </c>
      <c r="F1681" s="1" t="s">
        <v>22</v>
      </c>
      <c r="G1681" s="4">
        <v>566.67999999999995</v>
      </c>
      <c r="H1681" s="1">
        <v>5</v>
      </c>
      <c r="I1681" s="1" t="str">
        <f>TEXT(SalesTable[[#This Row],[Order_Date]],"mmm")</f>
        <v>Aug</v>
      </c>
      <c r="J1681" s="1">
        <f>YEAR(SalesTable[[#This Row],[Order_Date]])</f>
        <v>2026</v>
      </c>
      <c r="K1681" s="4">
        <v>244.5</v>
      </c>
      <c r="L1681" s="9">
        <f>SalesTable[[#This Row],[Profit]]/SalesTable[[#This Row],[Sales]]</f>
        <v>0.43146043622503005</v>
      </c>
    </row>
    <row r="1682" spans="1:12" ht="14" x14ac:dyDescent="0.15">
      <c r="A1682" s="1">
        <v>11681</v>
      </c>
      <c r="B1682" s="2">
        <v>46242</v>
      </c>
      <c r="C1682" s="1" t="s">
        <v>10</v>
      </c>
      <c r="D1682" s="1" t="s">
        <v>15</v>
      </c>
      <c r="E1682" s="1" t="s">
        <v>17</v>
      </c>
      <c r="F1682" s="1" t="s">
        <v>24</v>
      </c>
      <c r="G1682" s="4">
        <v>371.63</v>
      </c>
      <c r="H1682" s="1">
        <v>9</v>
      </c>
      <c r="I1682" s="1" t="str">
        <f>TEXT(SalesTable[[#This Row],[Order_Date]],"mmm")</f>
        <v>Aug</v>
      </c>
      <c r="J1682" s="1">
        <f>YEAR(SalesTable[[#This Row],[Order_Date]])</f>
        <v>2026</v>
      </c>
      <c r="K1682" s="4">
        <v>225.24</v>
      </c>
      <c r="L1682" s="9">
        <f>SalesTable[[#This Row],[Profit]]/SalesTable[[#This Row],[Sales]]</f>
        <v>0.60608669913623769</v>
      </c>
    </row>
    <row r="1683" spans="1:12" ht="14" x14ac:dyDescent="0.15">
      <c r="A1683" s="1">
        <v>11682</v>
      </c>
      <c r="B1683" s="2">
        <v>46243</v>
      </c>
      <c r="C1683" s="1" t="s">
        <v>12</v>
      </c>
      <c r="D1683" s="1" t="s">
        <v>15</v>
      </c>
      <c r="E1683" s="1" t="s">
        <v>17</v>
      </c>
      <c r="F1683" s="1" t="s">
        <v>21</v>
      </c>
      <c r="G1683" s="4">
        <v>499.76</v>
      </c>
      <c r="H1683" s="1">
        <v>6</v>
      </c>
      <c r="I1683" s="1" t="str">
        <f>TEXT(SalesTable[[#This Row],[Order_Date]],"mmm")</f>
        <v>Aug</v>
      </c>
      <c r="J1683" s="1">
        <f>YEAR(SalesTable[[#This Row],[Order_Date]])</f>
        <v>2026</v>
      </c>
      <c r="K1683" s="4">
        <v>-86.64</v>
      </c>
      <c r="L1683" s="9">
        <f>SalesTable[[#This Row],[Profit]]/SalesTable[[#This Row],[Sales]]</f>
        <v>-0.1733632143428846</v>
      </c>
    </row>
    <row r="1684" spans="1:12" ht="14" x14ac:dyDescent="0.15">
      <c r="A1684" s="1">
        <v>11683</v>
      </c>
      <c r="B1684" s="2">
        <v>46244</v>
      </c>
      <c r="C1684" s="1" t="s">
        <v>11</v>
      </c>
      <c r="D1684" s="1" t="s">
        <v>13</v>
      </c>
      <c r="E1684" s="1" t="s">
        <v>17</v>
      </c>
      <c r="F1684" s="1" t="s">
        <v>22</v>
      </c>
      <c r="G1684" s="4">
        <v>632.51</v>
      </c>
      <c r="H1684" s="1">
        <v>5</v>
      </c>
      <c r="I1684" s="1" t="str">
        <f>TEXT(SalesTable[[#This Row],[Order_Date]],"mmm")</f>
        <v>Aug</v>
      </c>
      <c r="J1684" s="1">
        <f>YEAR(SalesTable[[#This Row],[Order_Date]])</f>
        <v>2026</v>
      </c>
      <c r="K1684" s="4">
        <v>-63.57</v>
      </c>
      <c r="L1684" s="9">
        <f>SalesTable[[#This Row],[Profit]]/SalesTable[[#This Row],[Sales]]</f>
        <v>-0.10050433985233435</v>
      </c>
    </row>
    <row r="1685" spans="1:12" ht="14" x14ac:dyDescent="0.15">
      <c r="A1685" s="1">
        <v>11684</v>
      </c>
      <c r="B1685" s="2">
        <v>46245</v>
      </c>
      <c r="C1685" s="1" t="s">
        <v>11</v>
      </c>
      <c r="D1685" s="1" t="s">
        <v>15</v>
      </c>
      <c r="E1685" s="1" t="s">
        <v>19</v>
      </c>
      <c r="F1685" s="1" t="s">
        <v>25</v>
      </c>
      <c r="G1685" s="4">
        <v>875.36</v>
      </c>
      <c r="H1685" s="1">
        <v>3</v>
      </c>
      <c r="I1685" s="1" t="str">
        <f>TEXT(SalesTable[[#This Row],[Order_Date]],"mmm")</f>
        <v>Aug</v>
      </c>
      <c r="J1685" s="1">
        <f>YEAR(SalesTable[[#This Row],[Order_Date]])</f>
        <v>2026</v>
      </c>
      <c r="K1685" s="4">
        <v>-80.349999999999994</v>
      </c>
      <c r="L1685" s="9">
        <f>SalesTable[[#This Row],[Profit]]/SalesTable[[#This Row],[Sales]]</f>
        <v>-9.1790806068360445E-2</v>
      </c>
    </row>
    <row r="1686" spans="1:12" ht="14" x14ac:dyDescent="0.15">
      <c r="A1686" s="1">
        <v>11685</v>
      </c>
      <c r="B1686" s="2">
        <v>46246</v>
      </c>
      <c r="C1686" s="1" t="s">
        <v>9</v>
      </c>
      <c r="D1686" s="1" t="s">
        <v>15</v>
      </c>
      <c r="E1686" s="1" t="s">
        <v>18</v>
      </c>
      <c r="F1686" s="1" t="s">
        <v>23</v>
      </c>
      <c r="G1686" s="4">
        <v>678.81</v>
      </c>
      <c r="H1686" s="1">
        <v>5</v>
      </c>
      <c r="I1686" s="1" t="str">
        <f>TEXT(SalesTable[[#This Row],[Order_Date]],"mmm")</f>
        <v>Aug</v>
      </c>
      <c r="J1686" s="1">
        <f>YEAR(SalesTable[[#This Row],[Order_Date]])</f>
        <v>2026</v>
      </c>
      <c r="K1686" s="4">
        <v>33.9</v>
      </c>
      <c r="L1686" s="9">
        <f>SalesTable[[#This Row],[Profit]]/SalesTable[[#This Row],[Sales]]</f>
        <v>4.9940336765810757E-2</v>
      </c>
    </row>
    <row r="1687" spans="1:12" ht="14" x14ac:dyDescent="0.15">
      <c r="A1687" s="1">
        <v>11686</v>
      </c>
      <c r="B1687" s="2">
        <v>46247</v>
      </c>
      <c r="C1687" s="1" t="s">
        <v>11</v>
      </c>
      <c r="D1687" s="1" t="s">
        <v>14</v>
      </c>
      <c r="E1687" s="1" t="s">
        <v>17</v>
      </c>
      <c r="F1687" s="1" t="s">
        <v>25</v>
      </c>
      <c r="G1687" s="4">
        <v>462.35</v>
      </c>
      <c r="H1687" s="1">
        <v>8</v>
      </c>
      <c r="I1687" s="1" t="str">
        <f>TEXT(SalesTable[[#This Row],[Order_Date]],"mmm")</f>
        <v>Aug</v>
      </c>
      <c r="J1687" s="1">
        <f>YEAR(SalesTable[[#This Row],[Order_Date]])</f>
        <v>2026</v>
      </c>
      <c r="K1687" s="4">
        <v>103.72</v>
      </c>
      <c r="L1687" s="9">
        <f>SalesTable[[#This Row],[Profit]]/SalesTable[[#This Row],[Sales]]</f>
        <v>0.2243322158537904</v>
      </c>
    </row>
    <row r="1688" spans="1:12" ht="14" x14ac:dyDescent="0.15">
      <c r="A1688" s="1">
        <v>11687</v>
      </c>
      <c r="B1688" s="2">
        <v>46248</v>
      </c>
      <c r="C1688" s="1" t="s">
        <v>10</v>
      </c>
      <c r="D1688" s="1" t="s">
        <v>14</v>
      </c>
      <c r="E1688" s="1" t="s">
        <v>16</v>
      </c>
      <c r="F1688" s="1" t="s">
        <v>23</v>
      </c>
      <c r="G1688" s="4">
        <v>828.46</v>
      </c>
      <c r="H1688" s="1">
        <v>2</v>
      </c>
      <c r="I1688" s="1" t="str">
        <f>TEXT(SalesTable[[#This Row],[Order_Date]],"mmm")</f>
        <v>Aug</v>
      </c>
      <c r="J1688" s="1">
        <f>YEAR(SalesTable[[#This Row],[Order_Date]])</f>
        <v>2026</v>
      </c>
      <c r="K1688" s="4">
        <v>112.94</v>
      </c>
      <c r="L1688" s="9">
        <f>SalesTable[[#This Row],[Profit]]/SalesTable[[#This Row],[Sales]]</f>
        <v>0.13632522994471669</v>
      </c>
    </row>
    <row r="1689" spans="1:12" ht="14" x14ac:dyDescent="0.15">
      <c r="A1689" s="1">
        <v>11688</v>
      </c>
      <c r="B1689" s="2">
        <v>46249</v>
      </c>
      <c r="C1689" s="1" t="s">
        <v>11</v>
      </c>
      <c r="D1689" s="1" t="s">
        <v>14</v>
      </c>
      <c r="E1689" s="1" t="s">
        <v>17</v>
      </c>
      <c r="F1689" s="1" t="s">
        <v>22</v>
      </c>
      <c r="G1689" s="4">
        <v>910.3</v>
      </c>
      <c r="H1689" s="1">
        <v>5</v>
      </c>
      <c r="I1689" s="1" t="str">
        <f>TEXT(SalesTable[[#This Row],[Order_Date]],"mmm")</f>
        <v>Aug</v>
      </c>
      <c r="J1689" s="1">
        <f>YEAR(SalesTable[[#This Row],[Order_Date]])</f>
        <v>2026</v>
      </c>
      <c r="K1689" s="4">
        <v>7.07</v>
      </c>
      <c r="L1689" s="9">
        <f>SalesTable[[#This Row],[Profit]]/SalesTable[[#This Row],[Sales]]</f>
        <v>7.7666703284631445E-3</v>
      </c>
    </row>
    <row r="1690" spans="1:12" ht="14" x14ac:dyDescent="0.15">
      <c r="A1690" s="1">
        <v>11689</v>
      </c>
      <c r="B1690" s="2">
        <v>46250</v>
      </c>
      <c r="C1690" s="1" t="s">
        <v>11</v>
      </c>
      <c r="D1690" s="1" t="s">
        <v>14</v>
      </c>
      <c r="E1690" s="1" t="s">
        <v>20</v>
      </c>
      <c r="F1690" s="1" t="s">
        <v>22</v>
      </c>
      <c r="G1690" s="4">
        <v>163.77000000000001</v>
      </c>
      <c r="H1690" s="1">
        <v>6</v>
      </c>
      <c r="I1690" s="1" t="str">
        <f>TEXT(SalesTable[[#This Row],[Order_Date]],"mmm")</f>
        <v>Aug</v>
      </c>
      <c r="J1690" s="1">
        <f>YEAR(SalesTable[[#This Row],[Order_Date]])</f>
        <v>2026</v>
      </c>
      <c r="K1690" s="4">
        <v>264.64</v>
      </c>
      <c r="L1690" s="9">
        <f>SalesTable[[#This Row],[Profit]]/SalesTable[[#This Row],[Sales]]</f>
        <v>1.6159247725468644</v>
      </c>
    </row>
    <row r="1691" spans="1:12" ht="14" x14ac:dyDescent="0.15">
      <c r="A1691" s="1">
        <v>11690</v>
      </c>
      <c r="B1691" s="2">
        <v>46251</v>
      </c>
      <c r="C1691" s="1" t="s">
        <v>10</v>
      </c>
      <c r="D1691" s="1" t="s">
        <v>15</v>
      </c>
      <c r="E1691" s="1" t="s">
        <v>17</v>
      </c>
      <c r="F1691" s="1" t="s">
        <v>23</v>
      </c>
      <c r="G1691" s="4">
        <v>555.34</v>
      </c>
      <c r="H1691" s="1">
        <v>8</v>
      </c>
      <c r="I1691" s="1" t="str">
        <f>TEXT(SalesTable[[#This Row],[Order_Date]],"mmm")</f>
        <v>Aug</v>
      </c>
      <c r="J1691" s="1">
        <f>YEAR(SalesTable[[#This Row],[Order_Date]])</f>
        <v>2026</v>
      </c>
      <c r="K1691" s="4">
        <v>47.31</v>
      </c>
      <c r="L1691" s="9">
        <f>SalesTable[[#This Row],[Profit]]/SalesTable[[#This Row],[Sales]]</f>
        <v>8.5191054129002047E-2</v>
      </c>
    </row>
    <row r="1692" spans="1:12" ht="14" x14ac:dyDescent="0.15">
      <c r="A1692" s="1">
        <v>11691</v>
      </c>
      <c r="B1692" s="2">
        <v>46252</v>
      </c>
      <c r="C1692" s="1" t="s">
        <v>12</v>
      </c>
      <c r="D1692" s="1" t="s">
        <v>13</v>
      </c>
      <c r="E1692" s="1" t="s">
        <v>19</v>
      </c>
      <c r="F1692" s="1" t="s">
        <v>21</v>
      </c>
      <c r="G1692" s="4">
        <v>320.29000000000002</v>
      </c>
      <c r="H1692" s="1">
        <v>8</v>
      </c>
      <c r="I1692" s="1" t="str">
        <f>TEXT(SalesTable[[#This Row],[Order_Date]],"mmm")</f>
        <v>Aug</v>
      </c>
      <c r="J1692" s="1">
        <f>YEAR(SalesTable[[#This Row],[Order_Date]])</f>
        <v>2026</v>
      </c>
      <c r="K1692" s="4">
        <v>-81.78</v>
      </c>
      <c r="L1692" s="9">
        <f>SalesTable[[#This Row],[Profit]]/SalesTable[[#This Row],[Sales]]</f>
        <v>-0.25533110618501981</v>
      </c>
    </row>
    <row r="1693" spans="1:12" ht="14" x14ac:dyDescent="0.15">
      <c r="A1693" s="1">
        <v>11692</v>
      </c>
      <c r="B1693" s="2">
        <v>46253</v>
      </c>
      <c r="C1693" s="1" t="s">
        <v>12</v>
      </c>
      <c r="D1693" s="1" t="s">
        <v>15</v>
      </c>
      <c r="E1693" s="1" t="s">
        <v>17</v>
      </c>
      <c r="F1693" s="1" t="s">
        <v>24</v>
      </c>
      <c r="G1693" s="4">
        <v>94.71</v>
      </c>
      <c r="H1693" s="1">
        <v>5</v>
      </c>
      <c r="I1693" s="1" t="str">
        <f>TEXT(SalesTable[[#This Row],[Order_Date]],"mmm")</f>
        <v>Aug</v>
      </c>
      <c r="J1693" s="1">
        <f>YEAR(SalesTable[[#This Row],[Order_Date]])</f>
        <v>2026</v>
      </c>
      <c r="K1693" s="4">
        <v>20.09</v>
      </c>
      <c r="L1693" s="9">
        <f>SalesTable[[#This Row],[Profit]]/SalesTable[[#This Row],[Sales]]</f>
        <v>0.21212121212121213</v>
      </c>
    </row>
    <row r="1694" spans="1:12" ht="14" x14ac:dyDescent="0.15">
      <c r="A1694" s="1">
        <v>11693</v>
      </c>
      <c r="B1694" s="2">
        <v>46254</v>
      </c>
      <c r="C1694" s="1" t="s">
        <v>10</v>
      </c>
      <c r="D1694" s="1" t="s">
        <v>15</v>
      </c>
      <c r="E1694" s="1" t="s">
        <v>20</v>
      </c>
      <c r="F1694" s="1" t="s">
        <v>25</v>
      </c>
      <c r="G1694" s="4">
        <v>685.12</v>
      </c>
      <c r="H1694" s="1">
        <v>9</v>
      </c>
      <c r="I1694" s="1" t="str">
        <f>TEXT(SalesTable[[#This Row],[Order_Date]],"mmm")</f>
        <v>Aug</v>
      </c>
      <c r="J1694" s="1">
        <f>YEAR(SalesTable[[#This Row],[Order_Date]])</f>
        <v>2026</v>
      </c>
      <c r="K1694" s="4">
        <v>112.44</v>
      </c>
      <c r="L1694" s="9">
        <f>SalesTable[[#This Row],[Profit]]/SalesTable[[#This Row],[Sales]]</f>
        <v>0.16411723493694536</v>
      </c>
    </row>
    <row r="1695" spans="1:12" ht="14" x14ac:dyDescent="0.15">
      <c r="A1695" s="1">
        <v>11694</v>
      </c>
      <c r="B1695" s="2">
        <v>46255</v>
      </c>
      <c r="C1695" s="1" t="s">
        <v>9</v>
      </c>
      <c r="D1695" s="1" t="s">
        <v>15</v>
      </c>
      <c r="E1695" s="1" t="s">
        <v>16</v>
      </c>
      <c r="F1695" s="1" t="s">
        <v>25</v>
      </c>
      <c r="G1695" s="4">
        <v>869.63</v>
      </c>
      <c r="H1695" s="1">
        <v>4</v>
      </c>
      <c r="I1695" s="1" t="str">
        <f>TEXT(SalesTable[[#This Row],[Order_Date]],"mmm")</f>
        <v>Aug</v>
      </c>
      <c r="J1695" s="1">
        <f>YEAR(SalesTable[[#This Row],[Order_Date]])</f>
        <v>2026</v>
      </c>
      <c r="K1695" s="4">
        <v>63.29</v>
      </c>
      <c r="L1695" s="9">
        <f>SalesTable[[#This Row],[Profit]]/SalesTable[[#This Row],[Sales]]</f>
        <v>7.2778078033186533E-2</v>
      </c>
    </row>
    <row r="1696" spans="1:12" ht="14" x14ac:dyDescent="0.15">
      <c r="A1696" s="1">
        <v>11695</v>
      </c>
      <c r="B1696" s="2">
        <v>46256</v>
      </c>
      <c r="C1696" s="1" t="s">
        <v>11</v>
      </c>
      <c r="D1696" s="1" t="s">
        <v>14</v>
      </c>
      <c r="E1696" s="1" t="s">
        <v>18</v>
      </c>
      <c r="F1696" s="1" t="s">
        <v>25</v>
      </c>
      <c r="G1696" s="4">
        <v>204.76</v>
      </c>
      <c r="H1696" s="1">
        <v>9</v>
      </c>
      <c r="I1696" s="1" t="str">
        <f>TEXT(SalesTable[[#This Row],[Order_Date]],"mmm")</f>
        <v>Aug</v>
      </c>
      <c r="J1696" s="1">
        <f>YEAR(SalesTable[[#This Row],[Order_Date]])</f>
        <v>2026</v>
      </c>
      <c r="K1696" s="4">
        <v>9.5399999999999991</v>
      </c>
      <c r="L1696" s="9">
        <f>SalesTable[[#This Row],[Profit]]/SalesTable[[#This Row],[Sales]]</f>
        <v>4.6591131080289117E-2</v>
      </c>
    </row>
    <row r="1697" spans="1:12" ht="14" x14ac:dyDescent="0.15">
      <c r="A1697" s="1">
        <v>11696</v>
      </c>
      <c r="B1697" s="2">
        <v>46257</v>
      </c>
      <c r="C1697" s="1" t="s">
        <v>10</v>
      </c>
      <c r="D1697" s="1" t="s">
        <v>14</v>
      </c>
      <c r="E1697" s="1" t="s">
        <v>17</v>
      </c>
      <c r="F1697" s="1" t="s">
        <v>22</v>
      </c>
      <c r="G1697" s="4">
        <v>821.79</v>
      </c>
      <c r="H1697" s="1">
        <v>7</v>
      </c>
      <c r="I1697" s="1" t="str">
        <f>TEXT(SalesTable[[#This Row],[Order_Date]],"mmm")</f>
        <v>Aug</v>
      </c>
      <c r="J1697" s="1">
        <f>YEAR(SalesTable[[#This Row],[Order_Date]])</f>
        <v>2026</v>
      </c>
      <c r="K1697" s="4">
        <v>-47.47</v>
      </c>
      <c r="L1697" s="9">
        <f>SalesTable[[#This Row],[Profit]]/SalesTable[[#This Row],[Sales]]</f>
        <v>-5.77641489918349E-2</v>
      </c>
    </row>
    <row r="1698" spans="1:12" ht="14" x14ac:dyDescent="0.15">
      <c r="A1698" s="1">
        <v>11697</v>
      </c>
      <c r="B1698" s="2">
        <v>46258</v>
      </c>
      <c r="C1698" s="1" t="s">
        <v>11</v>
      </c>
      <c r="D1698" s="1" t="s">
        <v>14</v>
      </c>
      <c r="E1698" s="1" t="s">
        <v>20</v>
      </c>
      <c r="F1698" s="1" t="s">
        <v>25</v>
      </c>
      <c r="G1698" s="4">
        <v>860.73</v>
      </c>
      <c r="H1698" s="1">
        <v>6</v>
      </c>
      <c r="I1698" s="1" t="str">
        <f>TEXT(SalesTable[[#This Row],[Order_Date]],"mmm")</f>
        <v>Aug</v>
      </c>
      <c r="J1698" s="1">
        <f>YEAR(SalesTable[[#This Row],[Order_Date]])</f>
        <v>2026</v>
      </c>
      <c r="K1698" s="4">
        <v>227.67</v>
      </c>
      <c r="L1698" s="9">
        <f>SalesTable[[#This Row],[Profit]]/SalesTable[[#This Row],[Sales]]</f>
        <v>0.26450803387821964</v>
      </c>
    </row>
    <row r="1699" spans="1:12" ht="14" x14ac:dyDescent="0.15">
      <c r="A1699" s="1">
        <v>11698</v>
      </c>
      <c r="B1699" s="2">
        <v>46259</v>
      </c>
      <c r="C1699" s="1" t="s">
        <v>9</v>
      </c>
      <c r="D1699" s="1" t="s">
        <v>13</v>
      </c>
      <c r="E1699" s="1" t="s">
        <v>20</v>
      </c>
      <c r="F1699" s="1" t="s">
        <v>24</v>
      </c>
      <c r="G1699" s="4">
        <v>918.62</v>
      </c>
      <c r="H1699" s="1">
        <v>4</v>
      </c>
      <c r="I1699" s="1" t="str">
        <f>TEXT(SalesTable[[#This Row],[Order_Date]],"mmm")</f>
        <v>Aug</v>
      </c>
      <c r="J1699" s="1">
        <f>YEAR(SalesTable[[#This Row],[Order_Date]])</f>
        <v>2026</v>
      </c>
      <c r="K1699" s="4">
        <v>298.45999999999998</v>
      </c>
      <c r="L1699" s="9">
        <f>SalesTable[[#This Row],[Profit]]/SalesTable[[#This Row],[Sales]]</f>
        <v>0.32490039406936488</v>
      </c>
    </row>
    <row r="1700" spans="1:12" ht="14" x14ac:dyDescent="0.15">
      <c r="A1700" s="1">
        <v>11699</v>
      </c>
      <c r="B1700" s="2">
        <v>46260</v>
      </c>
      <c r="C1700" s="1" t="s">
        <v>11</v>
      </c>
      <c r="D1700" s="1" t="s">
        <v>15</v>
      </c>
      <c r="E1700" s="1" t="s">
        <v>16</v>
      </c>
      <c r="F1700" s="1" t="s">
        <v>24</v>
      </c>
      <c r="G1700" s="4">
        <v>302.02</v>
      </c>
      <c r="H1700" s="1">
        <v>2</v>
      </c>
      <c r="I1700" s="1" t="str">
        <f>TEXT(SalesTable[[#This Row],[Order_Date]],"mmm")</f>
        <v>Aug</v>
      </c>
      <c r="J1700" s="1">
        <f>YEAR(SalesTable[[#This Row],[Order_Date]])</f>
        <v>2026</v>
      </c>
      <c r="K1700" s="4">
        <v>31.82</v>
      </c>
      <c r="L1700" s="9">
        <f>SalesTable[[#This Row],[Profit]]/SalesTable[[#This Row],[Sales]]</f>
        <v>0.10535726110853587</v>
      </c>
    </row>
    <row r="1701" spans="1:12" ht="14" x14ac:dyDescent="0.15">
      <c r="A1701" s="1">
        <v>11700</v>
      </c>
      <c r="B1701" s="2">
        <v>46261</v>
      </c>
      <c r="C1701" s="1" t="s">
        <v>10</v>
      </c>
      <c r="D1701" s="1" t="s">
        <v>13</v>
      </c>
      <c r="E1701" s="1" t="s">
        <v>19</v>
      </c>
      <c r="F1701" s="1" t="s">
        <v>23</v>
      </c>
      <c r="G1701" s="4">
        <v>908.76</v>
      </c>
      <c r="H1701" s="1">
        <v>8</v>
      </c>
      <c r="I1701" s="1" t="str">
        <f>TEXT(SalesTable[[#This Row],[Order_Date]],"mmm")</f>
        <v>Aug</v>
      </c>
      <c r="J1701" s="1">
        <f>YEAR(SalesTable[[#This Row],[Order_Date]])</f>
        <v>2026</v>
      </c>
      <c r="K1701" s="4">
        <v>52.65</v>
      </c>
      <c r="L1701" s="9">
        <f>SalesTable[[#This Row],[Profit]]/SalesTable[[#This Row],[Sales]]</f>
        <v>5.7936088736300011E-2</v>
      </c>
    </row>
    <row r="1702" spans="1:12" ht="14" x14ac:dyDescent="0.15">
      <c r="A1702" s="1">
        <v>11701</v>
      </c>
      <c r="B1702" s="2">
        <v>46262</v>
      </c>
      <c r="C1702" s="1" t="s">
        <v>11</v>
      </c>
      <c r="D1702" s="1" t="s">
        <v>14</v>
      </c>
      <c r="E1702" s="1" t="s">
        <v>17</v>
      </c>
      <c r="F1702" s="1" t="s">
        <v>22</v>
      </c>
      <c r="G1702" s="4">
        <v>354.63</v>
      </c>
      <c r="H1702" s="1">
        <v>6</v>
      </c>
      <c r="I1702" s="1" t="str">
        <f>TEXT(SalesTable[[#This Row],[Order_Date]],"mmm")</f>
        <v>Aug</v>
      </c>
      <c r="J1702" s="1">
        <f>YEAR(SalesTable[[#This Row],[Order_Date]])</f>
        <v>2026</v>
      </c>
      <c r="K1702" s="4">
        <v>147.22</v>
      </c>
      <c r="L1702" s="9">
        <f>SalesTable[[#This Row],[Profit]]/SalesTable[[#This Row],[Sales]]</f>
        <v>0.415136903251276</v>
      </c>
    </row>
    <row r="1703" spans="1:12" ht="14" x14ac:dyDescent="0.15">
      <c r="A1703" s="1">
        <v>11702</v>
      </c>
      <c r="B1703" s="2">
        <v>46263</v>
      </c>
      <c r="C1703" s="1" t="s">
        <v>12</v>
      </c>
      <c r="D1703" s="1" t="s">
        <v>13</v>
      </c>
      <c r="E1703" s="1" t="s">
        <v>20</v>
      </c>
      <c r="F1703" s="1" t="s">
        <v>24</v>
      </c>
      <c r="G1703" s="4">
        <v>574.72</v>
      </c>
      <c r="H1703" s="1">
        <v>3</v>
      </c>
      <c r="I1703" s="1" t="str">
        <f>TEXT(SalesTable[[#This Row],[Order_Date]],"mmm")</f>
        <v>Aug</v>
      </c>
      <c r="J1703" s="1">
        <f>YEAR(SalesTable[[#This Row],[Order_Date]])</f>
        <v>2026</v>
      </c>
      <c r="K1703" s="4">
        <v>187.38</v>
      </c>
      <c r="L1703" s="9">
        <f>SalesTable[[#This Row],[Profit]]/SalesTable[[#This Row],[Sales]]</f>
        <v>0.32603702672605789</v>
      </c>
    </row>
    <row r="1704" spans="1:12" ht="14" x14ac:dyDescent="0.15">
      <c r="A1704" s="1">
        <v>11703</v>
      </c>
      <c r="B1704" s="2">
        <v>46264</v>
      </c>
      <c r="C1704" s="1" t="s">
        <v>9</v>
      </c>
      <c r="D1704" s="1" t="s">
        <v>15</v>
      </c>
      <c r="E1704" s="1" t="s">
        <v>16</v>
      </c>
      <c r="F1704" s="1" t="s">
        <v>21</v>
      </c>
      <c r="G1704" s="4">
        <v>97.98</v>
      </c>
      <c r="H1704" s="1">
        <v>7</v>
      </c>
      <c r="I1704" s="1" t="str">
        <f>TEXT(SalesTable[[#This Row],[Order_Date]],"mmm")</f>
        <v>Aug</v>
      </c>
      <c r="J1704" s="1">
        <f>YEAR(SalesTable[[#This Row],[Order_Date]])</f>
        <v>2026</v>
      </c>
      <c r="K1704" s="4">
        <v>56.81</v>
      </c>
      <c r="L1704" s="9">
        <f>SalesTable[[#This Row],[Profit]]/SalesTable[[#This Row],[Sales]]</f>
        <v>0.57981220657276999</v>
      </c>
    </row>
    <row r="1705" spans="1:12" ht="14" x14ac:dyDescent="0.15">
      <c r="A1705" s="1">
        <v>11704</v>
      </c>
      <c r="B1705" s="2">
        <v>46265</v>
      </c>
      <c r="C1705" s="1" t="s">
        <v>9</v>
      </c>
      <c r="D1705" s="1" t="s">
        <v>15</v>
      </c>
      <c r="E1705" s="1" t="s">
        <v>18</v>
      </c>
      <c r="F1705" s="1" t="s">
        <v>22</v>
      </c>
      <c r="G1705" s="4">
        <v>91.69</v>
      </c>
      <c r="H1705" s="1">
        <v>7</v>
      </c>
      <c r="I1705" s="1" t="str">
        <f>TEXT(SalesTable[[#This Row],[Order_Date]],"mmm")</f>
        <v>Aug</v>
      </c>
      <c r="J1705" s="1">
        <f>YEAR(SalesTable[[#This Row],[Order_Date]])</f>
        <v>2026</v>
      </c>
      <c r="K1705" s="4">
        <v>261.97000000000003</v>
      </c>
      <c r="L1705" s="9">
        <f>SalesTable[[#This Row],[Profit]]/SalesTable[[#This Row],[Sales]]</f>
        <v>2.8571272766932059</v>
      </c>
    </row>
    <row r="1706" spans="1:12" ht="14" x14ac:dyDescent="0.15">
      <c r="A1706" s="1">
        <v>11705</v>
      </c>
      <c r="B1706" s="2">
        <v>46266</v>
      </c>
      <c r="C1706" s="1" t="s">
        <v>9</v>
      </c>
      <c r="D1706" s="1" t="s">
        <v>14</v>
      </c>
      <c r="E1706" s="1" t="s">
        <v>20</v>
      </c>
      <c r="F1706" s="1" t="s">
        <v>22</v>
      </c>
      <c r="G1706" s="4">
        <v>734.35</v>
      </c>
      <c r="H1706" s="1">
        <v>6</v>
      </c>
      <c r="I1706" s="1" t="str">
        <f>TEXT(SalesTable[[#This Row],[Order_Date]],"mmm")</f>
        <v>Sep</v>
      </c>
      <c r="J1706" s="1">
        <f>YEAR(SalesTable[[#This Row],[Order_Date]])</f>
        <v>2026</v>
      </c>
      <c r="K1706" s="4">
        <v>124</v>
      </c>
      <c r="L1706" s="9">
        <f>SalesTable[[#This Row],[Profit]]/SalesTable[[#This Row],[Sales]]</f>
        <v>0.16885681214679649</v>
      </c>
    </row>
    <row r="1707" spans="1:12" ht="14" x14ac:dyDescent="0.15">
      <c r="A1707" s="1">
        <v>11706</v>
      </c>
      <c r="B1707" s="2">
        <v>46267</v>
      </c>
      <c r="C1707" s="1" t="s">
        <v>10</v>
      </c>
      <c r="D1707" s="1" t="s">
        <v>14</v>
      </c>
      <c r="E1707" s="1" t="s">
        <v>16</v>
      </c>
      <c r="F1707" s="1" t="s">
        <v>24</v>
      </c>
      <c r="G1707" s="4">
        <v>472.26</v>
      </c>
      <c r="H1707" s="1">
        <v>2</v>
      </c>
      <c r="I1707" s="1" t="str">
        <f>TEXT(SalesTable[[#This Row],[Order_Date]],"mmm")</f>
        <v>Sep</v>
      </c>
      <c r="J1707" s="1">
        <f>YEAR(SalesTable[[#This Row],[Order_Date]])</f>
        <v>2026</v>
      </c>
      <c r="K1707" s="4">
        <v>80.16</v>
      </c>
      <c r="L1707" s="9">
        <f>SalesTable[[#This Row],[Profit]]/SalesTable[[#This Row],[Sales]]</f>
        <v>0.16973700927455215</v>
      </c>
    </row>
    <row r="1708" spans="1:12" ht="14" x14ac:dyDescent="0.15">
      <c r="A1708" s="1">
        <v>11707</v>
      </c>
      <c r="B1708" s="2">
        <v>46268</v>
      </c>
      <c r="C1708" s="1" t="s">
        <v>9</v>
      </c>
      <c r="D1708" s="1" t="s">
        <v>13</v>
      </c>
      <c r="E1708" s="1" t="s">
        <v>19</v>
      </c>
      <c r="F1708" s="1" t="s">
        <v>21</v>
      </c>
      <c r="G1708" s="4">
        <v>293.48</v>
      </c>
      <c r="H1708" s="1">
        <v>8</v>
      </c>
      <c r="I1708" s="1" t="str">
        <f>TEXT(SalesTable[[#This Row],[Order_Date]],"mmm")</f>
        <v>Sep</v>
      </c>
      <c r="J1708" s="1">
        <f>YEAR(SalesTable[[#This Row],[Order_Date]])</f>
        <v>2026</v>
      </c>
      <c r="K1708" s="4">
        <v>158.66999999999999</v>
      </c>
      <c r="L1708" s="9">
        <f>SalesTable[[#This Row],[Profit]]/SalesTable[[#This Row],[Sales]]</f>
        <v>0.54065012948071411</v>
      </c>
    </row>
    <row r="1709" spans="1:12" ht="14" x14ac:dyDescent="0.15">
      <c r="A1709" s="1">
        <v>11708</v>
      </c>
      <c r="B1709" s="2">
        <v>46269</v>
      </c>
      <c r="C1709" s="1" t="s">
        <v>12</v>
      </c>
      <c r="D1709" s="1" t="s">
        <v>14</v>
      </c>
      <c r="E1709" s="1" t="s">
        <v>19</v>
      </c>
      <c r="F1709" s="1" t="s">
        <v>23</v>
      </c>
      <c r="G1709" s="4">
        <v>230.89</v>
      </c>
      <c r="H1709" s="1">
        <v>1</v>
      </c>
      <c r="I1709" s="1" t="str">
        <f>TEXT(SalesTable[[#This Row],[Order_Date]],"mmm")</f>
        <v>Sep</v>
      </c>
      <c r="J1709" s="1">
        <f>YEAR(SalesTable[[#This Row],[Order_Date]])</f>
        <v>2026</v>
      </c>
      <c r="K1709" s="4">
        <v>281.12</v>
      </c>
      <c r="L1709" s="9">
        <f>SalesTable[[#This Row],[Profit]]/SalesTable[[#This Row],[Sales]]</f>
        <v>1.2175494824375244</v>
      </c>
    </row>
    <row r="1710" spans="1:12" ht="14" x14ac:dyDescent="0.15">
      <c r="A1710" s="1">
        <v>11709</v>
      </c>
      <c r="B1710" s="2">
        <v>46270</v>
      </c>
      <c r="C1710" s="1" t="s">
        <v>10</v>
      </c>
      <c r="D1710" s="1" t="s">
        <v>14</v>
      </c>
      <c r="E1710" s="1" t="s">
        <v>20</v>
      </c>
      <c r="F1710" s="1" t="s">
        <v>24</v>
      </c>
      <c r="G1710" s="4">
        <v>686.46</v>
      </c>
      <c r="H1710" s="1">
        <v>1</v>
      </c>
      <c r="I1710" s="1" t="str">
        <f>TEXT(SalesTable[[#This Row],[Order_Date]],"mmm")</f>
        <v>Sep</v>
      </c>
      <c r="J1710" s="1">
        <f>YEAR(SalesTable[[#This Row],[Order_Date]])</f>
        <v>2026</v>
      </c>
      <c r="K1710" s="4">
        <v>217.82</v>
      </c>
      <c r="L1710" s="9">
        <f>SalesTable[[#This Row],[Profit]]/SalesTable[[#This Row],[Sales]]</f>
        <v>0.3173090930279987</v>
      </c>
    </row>
    <row r="1711" spans="1:12" ht="14" x14ac:dyDescent="0.15">
      <c r="A1711" s="1">
        <v>11710</v>
      </c>
      <c r="B1711" s="2">
        <v>46271</v>
      </c>
      <c r="C1711" s="1" t="s">
        <v>12</v>
      </c>
      <c r="D1711" s="1" t="s">
        <v>15</v>
      </c>
      <c r="E1711" s="1" t="s">
        <v>20</v>
      </c>
      <c r="F1711" s="1" t="s">
        <v>21</v>
      </c>
      <c r="G1711" s="4">
        <v>50.38</v>
      </c>
      <c r="H1711" s="1">
        <v>6</v>
      </c>
      <c r="I1711" s="1" t="str">
        <f>TEXT(SalesTable[[#This Row],[Order_Date]],"mmm")</f>
        <v>Sep</v>
      </c>
      <c r="J1711" s="1">
        <f>YEAR(SalesTable[[#This Row],[Order_Date]])</f>
        <v>2026</v>
      </c>
      <c r="K1711" s="4">
        <v>-83.99</v>
      </c>
      <c r="L1711" s="9">
        <f>SalesTable[[#This Row],[Profit]]/SalesTable[[#This Row],[Sales]]</f>
        <v>-1.6671298134180228</v>
      </c>
    </row>
    <row r="1712" spans="1:12" ht="14" x14ac:dyDescent="0.15">
      <c r="A1712" s="1">
        <v>11711</v>
      </c>
      <c r="B1712" s="2">
        <v>46272</v>
      </c>
      <c r="C1712" s="1" t="s">
        <v>11</v>
      </c>
      <c r="D1712" s="1" t="s">
        <v>14</v>
      </c>
      <c r="E1712" s="1" t="s">
        <v>17</v>
      </c>
      <c r="F1712" s="1" t="s">
        <v>22</v>
      </c>
      <c r="G1712" s="4">
        <v>815.6</v>
      </c>
      <c r="H1712" s="1">
        <v>5</v>
      </c>
      <c r="I1712" s="1" t="str">
        <f>TEXT(SalesTable[[#This Row],[Order_Date]],"mmm")</f>
        <v>Sep</v>
      </c>
      <c r="J1712" s="1">
        <f>YEAR(SalesTable[[#This Row],[Order_Date]])</f>
        <v>2026</v>
      </c>
      <c r="K1712" s="4">
        <v>32.92</v>
      </c>
      <c r="L1712" s="9">
        <f>SalesTable[[#This Row],[Profit]]/SalesTable[[#This Row],[Sales]]</f>
        <v>4.0362923001471311E-2</v>
      </c>
    </row>
    <row r="1713" spans="1:12" ht="14" x14ac:dyDescent="0.15">
      <c r="A1713" s="1">
        <v>11712</v>
      </c>
      <c r="B1713" s="2">
        <v>46273</v>
      </c>
      <c r="C1713" s="1" t="s">
        <v>11</v>
      </c>
      <c r="D1713" s="1" t="s">
        <v>14</v>
      </c>
      <c r="E1713" s="1" t="s">
        <v>16</v>
      </c>
      <c r="F1713" s="1" t="s">
        <v>21</v>
      </c>
      <c r="G1713" s="4">
        <v>125.29</v>
      </c>
      <c r="H1713" s="1">
        <v>9</v>
      </c>
      <c r="I1713" s="1" t="str">
        <f>TEXT(SalesTable[[#This Row],[Order_Date]],"mmm")</f>
        <v>Sep</v>
      </c>
      <c r="J1713" s="1">
        <f>YEAR(SalesTable[[#This Row],[Order_Date]])</f>
        <v>2026</v>
      </c>
      <c r="K1713" s="4">
        <v>88.22</v>
      </c>
      <c r="L1713" s="9">
        <f>SalesTable[[#This Row],[Profit]]/SalesTable[[#This Row],[Sales]]</f>
        <v>0.70412642669007897</v>
      </c>
    </row>
    <row r="1714" spans="1:12" ht="14" x14ac:dyDescent="0.15">
      <c r="A1714" s="1">
        <v>11713</v>
      </c>
      <c r="B1714" s="2">
        <v>46274</v>
      </c>
      <c r="C1714" s="1" t="s">
        <v>11</v>
      </c>
      <c r="D1714" s="1" t="s">
        <v>15</v>
      </c>
      <c r="E1714" s="1" t="s">
        <v>20</v>
      </c>
      <c r="F1714" s="1" t="s">
        <v>22</v>
      </c>
      <c r="G1714" s="4">
        <v>231.92</v>
      </c>
      <c r="H1714" s="1">
        <v>7</v>
      </c>
      <c r="I1714" s="1" t="str">
        <f>TEXT(SalesTable[[#This Row],[Order_Date]],"mmm")</f>
        <v>Sep</v>
      </c>
      <c r="J1714" s="1">
        <f>YEAR(SalesTable[[#This Row],[Order_Date]])</f>
        <v>2026</v>
      </c>
      <c r="K1714" s="4">
        <v>25.81</v>
      </c>
      <c r="L1714" s="9">
        <f>SalesTable[[#This Row],[Profit]]/SalesTable[[#This Row],[Sales]]</f>
        <v>0.11128837530182822</v>
      </c>
    </row>
    <row r="1715" spans="1:12" ht="14" x14ac:dyDescent="0.15">
      <c r="A1715" s="1">
        <v>11714</v>
      </c>
      <c r="B1715" s="2">
        <v>46275</v>
      </c>
      <c r="C1715" s="1" t="s">
        <v>11</v>
      </c>
      <c r="D1715" s="1" t="s">
        <v>15</v>
      </c>
      <c r="E1715" s="1" t="s">
        <v>17</v>
      </c>
      <c r="F1715" s="1" t="s">
        <v>24</v>
      </c>
      <c r="G1715" s="4">
        <v>416.92</v>
      </c>
      <c r="H1715" s="1">
        <v>2</v>
      </c>
      <c r="I1715" s="1" t="str">
        <f>TEXT(SalesTable[[#This Row],[Order_Date]],"mmm")</f>
        <v>Sep</v>
      </c>
      <c r="J1715" s="1">
        <f>YEAR(SalesTable[[#This Row],[Order_Date]])</f>
        <v>2026</v>
      </c>
      <c r="K1715" s="4">
        <v>180.08</v>
      </c>
      <c r="L1715" s="9">
        <f>SalesTable[[#This Row],[Profit]]/SalesTable[[#This Row],[Sales]]</f>
        <v>0.43192938693274491</v>
      </c>
    </row>
    <row r="1716" spans="1:12" ht="14" x14ac:dyDescent="0.15">
      <c r="A1716" s="1">
        <v>11715</v>
      </c>
      <c r="B1716" s="2">
        <v>46276</v>
      </c>
      <c r="C1716" s="1" t="s">
        <v>12</v>
      </c>
      <c r="D1716" s="1" t="s">
        <v>13</v>
      </c>
      <c r="E1716" s="1" t="s">
        <v>17</v>
      </c>
      <c r="F1716" s="1" t="s">
        <v>24</v>
      </c>
      <c r="G1716" s="4">
        <v>510.62</v>
      </c>
      <c r="H1716" s="1">
        <v>7</v>
      </c>
      <c r="I1716" s="1" t="str">
        <f>TEXT(SalesTable[[#This Row],[Order_Date]],"mmm")</f>
        <v>Sep</v>
      </c>
      <c r="J1716" s="1">
        <f>YEAR(SalesTable[[#This Row],[Order_Date]])</f>
        <v>2026</v>
      </c>
      <c r="K1716" s="4">
        <v>230.51</v>
      </c>
      <c r="L1716" s="9">
        <f>SalesTable[[#This Row],[Profit]]/SalesTable[[#This Row],[Sales]]</f>
        <v>0.45143159296541457</v>
      </c>
    </row>
    <row r="1717" spans="1:12" ht="14" x14ac:dyDescent="0.15">
      <c r="A1717" s="1">
        <v>11716</v>
      </c>
      <c r="B1717" s="2">
        <v>46277</v>
      </c>
      <c r="C1717" s="1" t="s">
        <v>10</v>
      </c>
      <c r="D1717" s="1" t="s">
        <v>14</v>
      </c>
      <c r="E1717" s="1" t="s">
        <v>20</v>
      </c>
      <c r="F1717" s="1" t="s">
        <v>25</v>
      </c>
      <c r="G1717" s="4">
        <v>387.25</v>
      </c>
      <c r="H1717" s="1">
        <v>3</v>
      </c>
      <c r="I1717" s="1" t="str">
        <f>TEXT(SalesTable[[#This Row],[Order_Date]],"mmm")</f>
        <v>Sep</v>
      </c>
      <c r="J1717" s="1">
        <f>YEAR(SalesTable[[#This Row],[Order_Date]])</f>
        <v>2026</v>
      </c>
      <c r="K1717" s="4">
        <v>192.54</v>
      </c>
      <c r="L1717" s="9">
        <f>SalesTable[[#This Row],[Profit]]/SalesTable[[#This Row],[Sales]]</f>
        <v>0.49719819238218205</v>
      </c>
    </row>
    <row r="1718" spans="1:12" ht="14" x14ac:dyDescent="0.15">
      <c r="A1718" s="1">
        <v>11717</v>
      </c>
      <c r="B1718" s="2">
        <v>46278</v>
      </c>
      <c r="C1718" s="1" t="s">
        <v>10</v>
      </c>
      <c r="D1718" s="1" t="s">
        <v>15</v>
      </c>
      <c r="E1718" s="1" t="s">
        <v>19</v>
      </c>
      <c r="F1718" s="1" t="s">
        <v>25</v>
      </c>
      <c r="G1718" s="4">
        <v>354.68</v>
      </c>
      <c r="H1718" s="1">
        <v>1</v>
      </c>
      <c r="I1718" s="1" t="str">
        <f>TEXT(SalesTable[[#This Row],[Order_Date]],"mmm")</f>
        <v>Sep</v>
      </c>
      <c r="J1718" s="1">
        <f>YEAR(SalesTable[[#This Row],[Order_Date]])</f>
        <v>2026</v>
      </c>
      <c r="K1718" s="4">
        <v>295.73</v>
      </c>
      <c r="L1718" s="9">
        <f>SalesTable[[#This Row],[Profit]]/SalesTable[[#This Row],[Sales]]</f>
        <v>0.83379384233675424</v>
      </c>
    </row>
    <row r="1719" spans="1:12" ht="14" x14ac:dyDescent="0.15">
      <c r="A1719" s="1">
        <v>11718</v>
      </c>
      <c r="B1719" s="2">
        <v>46279</v>
      </c>
      <c r="C1719" s="1" t="s">
        <v>9</v>
      </c>
      <c r="D1719" s="1" t="s">
        <v>13</v>
      </c>
      <c r="E1719" s="1" t="s">
        <v>16</v>
      </c>
      <c r="F1719" s="1" t="s">
        <v>25</v>
      </c>
      <c r="G1719" s="4">
        <v>965.72</v>
      </c>
      <c r="H1719" s="1">
        <v>8</v>
      </c>
      <c r="I1719" s="1" t="str">
        <f>TEXT(SalesTable[[#This Row],[Order_Date]],"mmm")</f>
        <v>Sep</v>
      </c>
      <c r="J1719" s="1">
        <f>YEAR(SalesTable[[#This Row],[Order_Date]])</f>
        <v>2026</v>
      </c>
      <c r="K1719" s="4">
        <v>9.02</v>
      </c>
      <c r="L1719" s="9">
        <f>SalesTable[[#This Row],[Profit]]/SalesTable[[#This Row],[Sales]]</f>
        <v>9.3401814190448573E-3</v>
      </c>
    </row>
    <row r="1720" spans="1:12" ht="14" x14ac:dyDescent="0.15">
      <c r="A1720" s="1">
        <v>11719</v>
      </c>
      <c r="B1720" s="2">
        <v>46280</v>
      </c>
      <c r="C1720" s="1" t="s">
        <v>12</v>
      </c>
      <c r="D1720" s="1" t="s">
        <v>13</v>
      </c>
      <c r="E1720" s="1" t="s">
        <v>16</v>
      </c>
      <c r="F1720" s="1" t="s">
        <v>24</v>
      </c>
      <c r="G1720" s="4">
        <v>659.5</v>
      </c>
      <c r="H1720" s="1">
        <v>3</v>
      </c>
      <c r="I1720" s="1" t="str">
        <f>TEXT(SalesTable[[#This Row],[Order_Date]],"mmm")</f>
        <v>Sep</v>
      </c>
      <c r="J1720" s="1">
        <f>YEAR(SalesTable[[#This Row],[Order_Date]])</f>
        <v>2026</v>
      </c>
      <c r="K1720" s="4">
        <v>250</v>
      </c>
      <c r="L1720" s="9">
        <f>SalesTable[[#This Row],[Profit]]/SalesTable[[#This Row],[Sales]]</f>
        <v>0.37907505686125853</v>
      </c>
    </row>
    <row r="1721" spans="1:12" ht="14" x14ac:dyDescent="0.15">
      <c r="A1721" s="1">
        <v>11720</v>
      </c>
      <c r="B1721" s="2">
        <v>46281</v>
      </c>
      <c r="C1721" s="1" t="s">
        <v>11</v>
      </c>
      <c r="D1721" s="1" t="s">
        <v>14</v>
      </c>
      <c r="E1721" s="1" t="s">
        <v>19</v>
      </c>
      <c r="F1721" s="1" t="s">
        <v>23</v>
      </c>
      <c r="G1721" s="4">
        <v>72.260000000000005</v>
      </c>
      <c r="H1721" s="1">
        <v>8</v>
      </c>
      <c r="I1721" s="1" t="str">
        <f>TEXT(SalesTable[[#This Row],[Order_Date]],"mmm")</f>
        <v>Sep</v>
      </c>
      <c r="J1721" s="1">
        <f>YEAR(SalesTable[[#This Row],[Order_Date]])</f>
        <v>2026</v>
      </c>
      <c r="K1721" s="4">
        <v>206.65</v>
      </c>
      <c r="L1721" s="9">
        <f>SalesTable[[#This Row],[Profit]]/SalesTable[[#This Row],[Sales]]</f>
        <v>2.8598117907556047</v>
      </c>
    </row>
    <row r="1722" spans="1:12" ht="14" x14ac:dyDescent="0.15">
      <c r="A1722" s="1">
        <v>11721</v>
      </c>
      <c r="B1722" s="2">
        <v>46282</v>
      </c>
      <c r="C1722" s="1" t="s">
        <v>12</v>
      </c>
      <c r="D1722" s="1" t="s">
        <v>14</v>
      </c>
      <c r="E1722" s="1" t="s">
        <v>20</v>
      </c>
      <c r="F1722" s="1" t="s">
        <v>24</v>
      </c>
      <c r="G1722" s="4">
        <v>458.67</v>
      </c>
      <c r="H1722" s="1">
        <v>7</v>
      </c>
      <c r="I1722" s="1" t="str">
        <f>TEXT(SalesTable[[#This Row],[Order_Date]],"mmm")</f>
        <v>Sep</v>
      </c>
      <c r="J1722" s="1">
        <f>YEAR(SalesTable[[#This Row],[Order_Date]])</f>
        <v>2026</v>
      </c>
      <c r="K1722" s="4">
        <v>44.87</v>
      </c>
      <c r="L1722" s="9">
        <f>SalesTable[[#This Row],[Profit]]/SalesTable[[#This Row],[Sales]]</f>
        <v>9.7826323936599291E-2</v>
      </c>
    </row>
    <row r="1723" spans="1:12" ht="14" x14ac:dyDescent="0.15">
      <c r="A1723" s="1">
        <v>11722</v>
      </c>
      <c r="B1723" s="2">
        <v>46283</v>
      </c>
      <c r="C1723" s="1" t="s">
        <v>9</v>
      </c>
      <c r="D1723" s="1" t="s">
        <v>13</v>
      </c>
      <c r="E1723" s="1" t="s">
        <v>16</v>
      </c>
      <c r="F1723" s="1" t="s">
        <v>21</v>
      </c>
      <c r="G1723" s="4">
        <v>881.26</v>
      </c>
      <c r="H1723" s="1">
        <v>2</v>
      </c>
      <c r="I1723" s="1" t="str">
        <f>TEXT(SalesTable[[#This Row],[Order_Date]],"mmm")</f>
        <v>Sep</v>
      </c>
      <c r="J1723" s="1">
        <f>YEAR(SalesTable[[#This Row],[Order_Date]])</f>
        <v>2026</v>
      </c>
      <c r="K1723" s="4">
        <v>193.65</v>
      </c>
      <c r="L1723" s="9">
        <f>SalesTable[[#This Row],[Profit]]/SalesTable[[#This Row],[Sales]]</f>
        <v>0.21974218732269707</v>
      </c>
    </row>
    <row r="1724" spans="1:12" ht="14" x14ac:dyDescent="0.15">
      <c r="A1724" s="1">
        <v>11723</v>
      </c>
      <c r="B1724" s="2">
        <v>46284</v>
      </c>
      <c r="C1724" s="1" t="s">
        <v>9</v>
      </c>
      <c r="D1724" s="1" t="s">
        <v>15</v>
      </c>
      <c r="E1724" s="1" t="s">
        <v>20</v>
      </c>
      <c r="F1724" s="1" t="s">
        <v>24</v>
      </c>
      <c r="G1724" s="4">
        <v>336.38</v>
      </c>
      <c r="H1724" s="1">
        <v>1</v>
      </c>
      <c r="I1724" s="1" t="str">
        <f>TEXT(SalesTable[[#This Row],[Order_Date]],"mmm")</f>
        <v>Sep</v>
      </c>
      <c r="J1724" s="1">
        <f>YEAR(SalesTable[[#This Row],[Order_Date]])</f>
        <v>2026</v>
      </c>
      <c r="K1724" s="4">
        <v>-58.37</v>
      </c>
      <c r="L1724" s="9">
        <f>SalesTable[[#This Row],[Profit]]/SalesTable[[#This Row],[Sales]]</f>
        <v>-0.17352399072477553</v>
      </c>
    </row>
    <row r="1725" spans="1:12" ht="14" x14ac:dyDescent="0.15">
      <c r="A1725" s="1">
        <v>11724</v>
      </c>
      <c r="B1725" s="2">
        <v>46285</v>
      </c>
      <c r="C1725" s="1" t="s">
        <v>12</v>
      </c>
      <c r="D1725" s="1" t="s">
        <v>13</v>
      </c>
      <c r="E1725" s="1" t="s">
        <v>20</v>
      </c>
      <c r="F1725" s="1" t="s">
        <v>24</v>
      </c>
      <c r="G1725" s="4">
        <v>139.83000000000001</v>
      </c>
      <c r="H1725" s="1">
        <v>7</v>
      </c>
      <c r="I1725" s="1" t="str">
        <f>TEXT(SalesTable[[#This Row],[Order_Date]],"mmm")</f>
        <v>Sep</v>
      </c>
      <c r="J1725" s="1">
        <f>YEAR(SalesTable[[#This Row],[Order_Date]])</f>
        <v>2026</v>
      </c>
      <c r="K1725" s="4">
        <v>215.73</v>
      </c>
      <c r="L1725" s="9">
        <f>SalesTable[[#This Row],[Profit]]/SalesTable[[#This Row],[Sales]]</f>
        <v>1.5428019738253591</v>
      </c>
    </row>
    <row r="1726" spans="1:12" ht="14" x14ac:dyDescent="0.15">
      <c r="A1726" s="1">
        <v>11725</v>
      </c>
      <c r="B1726" s="2">
        <v>46286</v>
      </c>
      <c r="C1726" s="1" t="s">
        <v>12</v>
      </c>
      <c r="D1726" s="1" t="s">
        <v>14</v>
      </c>
      <c r="E1726" s="1" t="s">
        <v>17</v>
      </c>
      <c r="F1726" s="1" t="s">
        <v>22</v>
      </c>
      <c r="G1726" s="4">
        <v>770.47</v>
      </c>
      <c r="H1726" s="1">
        <v>1</v>
      </c>
      <c r="I1726" s="1" t="str">
        <f>TEXT(SalesTable[[#This Row],[Order_Date]],"mmm")</f>
        <v>Sep</v>
      </c>
      <c r="J1726" s="1">
        <f>YEAR(SalesTable[[#This Row],[Order_Date]])</f>
        <v>2026</v>
      </c>
      <c r="K1726" s="4">
        <v>112.93</v>
      </c>
      <c r="L1726" s="9">
        <f>SalesTable[[#This Row],[Profit]]/SalesTable[[#This Row],[Sales]]</f>
        <v>0.14657287110465042</v>
      </c>
    </row>
    <row r="1727" spans="1:12" ht="14" x14ac:dyDescent="0.15">
      <c r="A1727" s="1">
        <v>11726</v>
      </c>
      <c r="B1727" s="2">
        <v>46287</v>
      </c>
      <c r="C1727" s="1" t="s">
        <v>12</v>
      </c>
      <c r="D1727" s="1" t="s">
        <v>15</v>
      </c>
      <c r="E1727" s="1" t="s">
        <v>19</v>
      </c>
      <c r="F1727" s="1" t="s">
        <v>22</v>
      </c>
      <c r="G1727" s="4">
        <v>625.71</v>
      </c>
      <c r="H1727" s="1">
        <v>6</v>
      </c>
      <c r="I1727" s="1" t="str">
        <f>TEXT(SalesTable[[#This Row],[Order_Date]],"mmm")</f>
        <v>Sep</v>
      </c>
      <c r="J1727" s="1">
        <f>YEAR(SalesTable[[#This Row],[Order_Date]])</f>
        <v>2026</v>
      </c>
      <c r="K1727" s="4">
        <v>16.920000000000002</v>
      </c>
      <c r="L1727" s="9">
        <f>SalesTable[[#This Row],[Profit]]/SalesTable[[#This Row],[Sales]]</f>
        <v>2.7041281104665103E-2</v>
      </c>
    </row>
    <row r="1728" spans="1:12" ht="14" x14ac:dyDescent="0.15">
      <c r="A1728" s="1">
        <v>11727</v>
      </c>
      <c r="B1728" s="2">
        <v>46288</v>
      </c>
      <c r="C1728" s="1" t="s">
        <v>10</v>
      </c>
      <c r="D1728" s="1" t="s">
        <v>15</v>
      </c>
      <c r="E1728" s="1" t="s">
        <v>20</v>
      </c>
      <c r="F1728" s="1" t="s">
        <v>22</v>
      </c>
      <c r="G1728" s="4">
        <v>591.79999999999995</v>
      </c>
      <c r="H1728" s="1">
        <v>8</v>
      </c>
      <c r="I1728" s="1" t="str">
        <f>TEXT(SalesTable[[#This Row],[Order_Date]],"mmm")</f>
        <v>Sep</v>
      </c>
      <c r="J1728" s="1">
        <f>YEAR(SalesTable[[#This Row],[Order_Date]])</f>
        <v>2026</v>
      </c>
      <c r="K1728" s="4">
        <v>162.31</v>
      </c>
      <c r="L1728" s="9">
        <f>SalesTable[[#This Row],[Profit]]/SalesTable[[#This Row],[Sales]]</f>
        <v>0.27426495437647858</v>
      </c>
    </row>
    <row r="1729" spans="1:12" ht="14" x14ac:dyDescent="0.15">
      <c r="A1729" s="1">
        <v>11728</v>
      </c>
      <c r="B1729" s="2">
        <v>46289</v>
      </c>
      <c r="C1729" s="1" t="s">
        <v>11</v>
      </c>
      <c r="D1729" s="1" t="s">
        <v>13</v>
      </c>
      <c r="E1729" s="1" t="s">
        <v>18</v>
      </c>
      <c r="F1729" s="1" t="s">
        <v>24</v>
      </c>
      <c r="G1729" s="4">
        <v>100.9</v>
      </c>
      <c r="H1729" s="1">
        <v>7</v>
      </c>
      <c r="I1729" s="1" t="str">
        <f>TEXT(SalesTable[[#This Row],[Order_Date]],"mmm")</f>
        <v>Sep</v>
      </c>
      <c r="J1729" s="1">
        <f>YEAR(SalesTable[[#This Row],[Order_Date]])</f>
        <v>2026</v>
      </c>
      <c r="K1729" s="4">
        <v>156.65</v>
      </c>
      <c r="L1729" s="9">
        <f>SalesTable[[#This Row],[Profit]]/SalesTable[[#This Row],[Sales]]</f>
        <v>1.5525272547076312</v>
      </c>
    </row>
    <row r="1730" spans="1:12" ht="14" x14ac:dyDescent="0.15">
      <c r="A1730" s="1">
        <v>11729</v>
      </c>
      <c r="B1730" s="2">
        <v>46290</v>
      </c>
      <c r="C1730" s="1" t="s">
        <v>12</v>
      </c>
      <c r="D1730" s="1" t="s">
        <v>14</v>
      </c>
      <c r="E1730" s="1" t="s">
        <v>19</v>
      </c>
      <c r="F1730" s="1" t="s">
        <v>23</v>
      </c>
      <c r="G1730" s="4">
        <v>183.47</v>
      </c>
      <c r="H1730" s="1">
        <v>4</v>
      </c>
      <c r="I1730" s="1" t="str">
        <f>TEXT(SalesTable[[#This Row],[Order_Date]],"mmm")</f>
        <v>Sep</v>
      </c>
      <c r="J1730" s="1">
        <f>YEAR(SalesTable[[#This Row],[Order_Date]])</f>
        <v>2026</v>
      </c>
      <c r="K1730" s="4">
        <v>-16.21</v>
      </c>
      <c r="L1730" s="9">
        <f>SalesTable[[#This Row],[Profit]]/SalesTable[[#This Row],[Sales]]</f>
        <v>-8.8352319180247454E-2</v>
      </c>
    </row>
    <row r="1731" spans="1:12" ht="14" x14ac:dyDescent="0.15">
      <c r="A1731" s="1">
        <v>11730</v>
      </c>
      <c r="B1731" s="2">
        <v>46291</v>
      </c>
      <c r="C1731" s="1" t="s">
        <v>12</v>
      </c>
      <c r="D1731" s="1" t="s">
        <v>13</v>
      </c>
      <c r="E1731" s="1" t="s">
        <v>16</v>
      </c>
      <c r="F1731" s="1" t="s">
        <v>21</v>
      </c>
      <c r="G1731" s="4">
        <v>641.41999999999996</v>
      </c>
      <c r="H1731" s="1">
        <v>1</v>
      </c>
      <c r="I1731" s="1" t="str">
        <f>TEXT(SalesTable[[#This Row],[Order_Date]],"mmm")</f>
        <v>Sep</v>
      </c>
      <c r="J1731" s="1">
        <f>YEAR(SalesTable[[#This Row],[Order_Date]])</f>
        <v>2026</v>
      </c>
      <c r="K1731" s="4">
        <v>-87.84</v>
      </c>
      <c r="L1731" s="9">
        <f>SalesTable[[#This Row],[Profit]]/SalesTable[[#This Row],[Sales]]</f>
        <v>-0.13694615072807209</v>
      </c>
    </row>
    <row r="1732" spans="1:12" ht="14" x14ac:dyDescent="0.15">
      <c r="A1732" s="1">
        <v>11731</v>
      </c>
      <c r="B1732" s="2">
        <v>46292</v>
      </c>
      <c r="C1732" s="1" t="s">
        <v>12</v>
      </c>
      <c r="D1732" s="1" t="s">
        <v>13</v>
      </c>
      <c r="E1732" s="1" t="s">
        <v>17</v>
      </c>
      <c r="F1732" s="1" t="s">
        <v>21</v>
      </c>
      <c r="G1732" s="4">
        <v>247.43</v>
      </c>
      <c r="H1732" s="1">
        <v>1</v>
      </c>
      <c r="I1732" s="1" t="str">
        <f>TEXT(SalesTable[[#This Row],[Order_Date]],"mmm")</f>
        <v>Sep</v>
      </c>
      <c r="J1732" s="1">
        <f>YEAR(SalesTable[[#This Row],[Order_Date]])</f>
        <v>2026</v>
      </c>
      <c r="K1732" s="4">
        <v>73.45</v>
      </c>
      <c r="L1732" s="9">
        <f>SalesTable[[#This Row],[Profit]]/SalesTable[[#This Row],[Sales]]</f>
        <v>0.29685163480580368</v>
      </c>
    </row>
    <row r="1733" spans="1:12" ht="14" x14ac:dyDescent="0.15">
      <c r="A1733" s="1">
        <v>11732</v>
      </c>
      <c r="B1733" s="2">
        <v>46293</v>
      </c>
      <c r="C1733" s="1" t="s">
        <v>9</v>
      </c>
      <c r="D1733" s="1" t="s">
        <v>13</v>
      </c>
      <c r="E1733" s="1" t="s">
        <v>16</v>
      </c>
      <c r="F1733" s="1" t="s">
        <v>23</v>
      </c>
      <c r="G1733" s="4">
        <v>528.87</v>
      </c>
      <c r="H1733" s="1">
        <v>4</v>
      </c>
      <c r="I1733" s="1" t="str">
        <f>TEXT(SalesTable[[#This Row],[Order_Date]],"mmm")</f>
        <v>Sep</v>
      </c>
      <c r="J1733" s="1">
        <f>YEAR(SalesTable[[#This Row],[Order_Date]])</f>
        <v>2026</v>
      </c>
      <c r="K1733" s="4">
        <v>127.8</v>
      </c>
      <c r="L1733" s="9">
        <f>SalesTable[[#This Row],[Profit]]/SalesTable[[#This Row],[Sales]]</f>
        <v>0.24164728572238925</v>
      </c>
    </row>
    <row r="1734" spans="1:12" ht="14" x14ac:dyDescent="0.15">
      <c r="A1734" s="1">
        <v>11733</v>
      </c>
      <c r="B1734" s="2">
        <v>46294</v>
      </c>
      <c r="C1734" s="1" t="s">
        <v>9</v>
      </c>
      <c r="D1734" s="1" t="s">
        <v>15</v>
      </c>
      <c r="E1734" s="1" t="s">
        <v>16</v>
      </c>
      <c r="F1734" s="1" t="s">
        <v>23</v>
      </c>
      <c r="G1734" s="4">
        <v>567.64</v>
      </c>
      <c r="H1734" s="1">
        <v>5</v>
      </c>
      <c r="I1734" s="1" t="str">
        <f>TEXT(SalesTable[[#This Row],[Order_Date]],"mmm")</f>
        <v>Sep</v>
      </c>
      <c r="J1734" s="1">
        <f>YEAR(SalesTable[[#This Row],[Order_Date]])</f>
        <v>2026</v>
      </c>
      <c r="K1734" s="4">
        <v>250.64</v>
      </c>
      <c r="L1734" s="9">
        <f>SalesTable[[#This Row],[Profit]]/SalesTable[[#This Row],[Sales]]</f>
        <v>0.4415474596575294</v>
      </c>
    </row>
    <row r="1735" spans="1:12" ht="14" x14ac:dyDescent="0.15">
      <c r="A1735" s="1">
        <v>11734</v>
      </c>
      <c r="B1735" s="2">
        <v>46295</v>
      </c>
      <c r="C1735" s="1" t="s">
        <v>10</v>
      </c>
      <c r="D1735" s="1" t="s">
        <v>15</v>
      </c>
      <c r="E1735" s="1" t="s">
        <v>19</v>
      </c>
      <c r="F1735" s="1" t="s">
        <v>21</v>
      </c>
      <c r="G1735" s="4">
        <v>319.33</v>
      </c>
      <c r="H1735" s="1">
        <v>7</v>
      </c>
      <c r="I1735" s="1" t="str">
        <f>TEXT(SalesTable[[#This Row],[Order_Date]],"mmm")</f>
        <v>Sep</v>
      </c>
      <c r="J1735" s="1">
        <f>YEAR(SalesTable[[#This Row],[Order_Date]])</f>
        <v>2026</v>
      </c>
      <c r="K1735" s="4">
        <v>271.29000000000002</v>
      </c>
      <c r="L1735" s="9">
        <f>SalesTable[[#This Row],[Profit]]/SalesTable[[#This Row],[Sales]]</f>
        <v>0.84956001628409494</v>
      </c>
    </row>
    <row r="1736" spans="1:12" ht="14" x14ac:dyDescent="0.15">
      <c r="A1736" s="1">
        <v>11735</v>
      </c>
      <c r="B1736" s="2">
        <v>46296</v>
      </c>
      <c r="C1736" s="1" t="s">
        <v>11</v>
      </c>
      <c r="D1736" s="1" t="s">
        <v>14</v>
      </c>
      <c r="E1736" s="1" t="s">
        <v>16</v>
      </c>
      <c r="F1736" s="1" t="s">
        <v>25</v>
      </c>
      <c r="G1736" s="4">
        <v>951</v>
      </c>
      <c r="H1736" s="1">
        <v>4</v>
      </c>
      <c r="I1736" s="1" t="str">
        <f>TEXT(SalesTable[[#This Row],[Order_Date]],"mmm")</f>
        <v>Oct</v>
      </c>
      <c r="J1736" s="1">
        <f>YEAR(SalesTable[[#This Row],[Order_Date]])</f>
        <v>2026</v>
      </c>
      <c r="K1736" s="4">
        <v>111.52</v>
      </c>
      <c r="L1736" s="9">
        <f>SalesTable[[#This Row],[Profit]]/SalesTable[[#This Row],[Sales]]</f>
        <v>0.11726603575184016</v>
      </c>
    </row>
    <row r="1737" spans="1:12" ht="14" x14ac:dyDescent="0.15">
      <c r="A1737" s="1">
        <v>11736</v>
      </c>
      <c r="B1737" s="2">
        <v>46297</v>
      </c>
      <c r="C1737" s="1" t="s">
        <v>10</v>
      </c>
      <c r="D1737" s="1" t="s">
        <v>14</v>
      </c>
      <c r="E1737" s="1" t="s">
        <v>20</v>
      </c>
      <c r="F1737" s="1" t="s">
        <v>22</v>
      </c>
      <c r="G1737" s="4">
        <v>850.34</v>
      </c>
      <c r="H1737" s="1">
        <v>1</v>
      </c>
      <c r="I1737" s="1" t="str">
        <f>TEXT(SalesTable[[#This Row],[Order_Date]],"mmm")</f>
        <v>Oct</v>
      </c>
      <c r="J1737" s="1">
        <f>YEAR(SalesTable[[#This Row],[Order_Date]])</f>
        <v>2026</v>
      </c>
      <c r="K1737" s="4">
        <v>201.52</v>
      </c>
      <c r="L1737" s="9">
        <f>SalesTable[[#This Row],[Profit]]/SalesTable[[#This Row],[Sales]]</f>
        <v>0.23698755791800927</v>
      </c>
    </row>
    <row r="1738" spans="1:12" ht="14" x14ac:dyDescent="0.15">
      <c r="A1738" s="1">
        <v>11737</v>
      </c>
      <c r="B1738" s="2">
        <v>46298</v>
      </c>
      <c r="C1738" s="1" t="s">
        <v>11</v>
      </c>
      <c r="D1738" s="1" t="s">
        <v>13</v>
      </c>
      <c r="E1738" s="1" t="s">
        <v>16</v>
      </c>
      <c r="F1738" s="1" t="s">
        <v>22</v>
      </c>
      <c r="G1738" s="4">
        <v>736.25</v>
      </c>
      <c r="H1738" s="1">
        <v>7</v>
      </c>
      <c r="I1738" s="1" t="str">
        <f>TEXT(SalesTable[[#This Row],[Order_Date]],"mmm")</f>
        <v>Oct</v>
      </c>
      <c r="J1738" s="1">
        <f>YEAR(SalesTable[[#This Row],[Order_Date]])</f>
        <v>2026</v>
      </c>
      <c r="K1738" s="4">
        <v>75.72</v>
      </c>
      <c r="L1738" s="9">
        <f>SalesTable[[#This Row],[Profit]]/SalesTable[[#This Row],[Sales]]</f>
        <v>0.10284550084889643</v>
      </c>
    </row>
    <row r="1739" spans="1:12" ht="14" x14ac:dyDescent="0.15">
      <c r="A1739" s="1">
        <v>11738</v>
      </c>
      <c r="B1739" s="2">
        <v>46299</v>
      </c>
      <c r="C1739" s="1" t="s">
        <v>9</v>
      </c>
      <c r="D1739" s="1" t="s">
        <v>13</v>
      </c>
      <c r="E1739" s="1" t="s">
        <v>17</v>
      </c>
      <c r="F1739" s="1" t="s">
        <v>21</v>
      </c>
      <c r="G1739" s="4">
        <v>124.09</v>
      </c>
      <c r="H1739" s="1">
        <v>2</v>
      </c>
      <c r="I1739" s="1" t="str">
        <f>TEXT(SalesTable[[#This Row],[Order_Date]],"mmm")</f>
        <v>Oct</v>
      </c>
      <c r="J1739" s="1">
        <f>YEAR(SalesTable[[#This Row],[Order_Date]])</f>
        <v>2026</v>
      </c>
      <c r="K1739" s="4">
        <v>198.43</v>
      </c>
      <c r="L1739" s="9">
        <f>SalesTable[[#This Row],[Profit]]/SalesTable[[#This Row],[Sales]]</f>
        <v>1.5990813119510032</v>
      </c>
    </row>
    <row r="1740" spans="1:12" ht="14" x14ac:dyDescent="0.15">
      <c r="A1740" s="1">
        <v>11739</v>
      </c>
      <c r="B1740" s="2">
        <v>46300</v>
      </c>
      <c r="C1740" s="1" t="s">
        <v>9</v>
      </c>
      <c r="D1740" s="1" t="s">
        <v>13</v>
      </c>
      <c r="E1740" s="1" t="s">
        <v>17</v>
      </c>
      <c r="F1740" s="1" t="s">
        <v>23</v>
      </c>
      <c r="G1740" s="4">
        <v>150.82</v>
      </c>
      <c r="H1740" s="1">
        <v>2</v>
      </c>
      <c r="I1740" s="1" t="str">
        <f>TEXT(SalesTable[[#This Row],[Order_Date]],"mmm")</f>
        <v>Oct</v>
      </c>
      <c r="J1740" s="1">
        <f>YEAR(SalesTable[[#This Row],[Order_Date]])</f>
        <v>2026</v>
      </c>
      <c r="K1740" s="4">
        <v>-18.079999999999998</v>
      </c>
      <c r="L1740" s="9">
        <f>SalesTable[[#This Row],[Profit]]/SalesTable[[#This Row],[Sales]]</f>
        <v>-0.11987800026521681</v>
      </c>
    </row>
    <row r="1741" spans="1:12" ht="14" x14ac:dyDescent="0.15">
      <c r="A1741" s="1">
        <v>11740</v>
      </c>
      <c r="B1741" s="2">
        <v>46301</v>
      </c>
      <c r="C1741" s="1" t="s">
        <v>9</v>
      </c>
      <c r="D1741" s="1" t="s">
        <v>14</v>
      </c>
      <c r="E1741" s="1" t="s">
        <v>18</v>
      </c>
      <c r="F1741" s="1" t="s">
        <v>25</v>
      </c>
      <c r="G1741" s="4">
        <v>518.14</v>
      </c>
      <c r="H1741" s="1">
        <v>8</v>
      </c>
      <c r="I1741" s="1" t="str">
        <f>TEXT(SalesTable[[#This Row],[Order_Date]],"mmm")</f>
        <v>Oct</v>
      </c>
      <c r="J1741" s="1">
        <f>YEAR(SalesTable[[#This Row],[Order_Date]])</f>
        <v>2026</v>
      </c>
      <c r="K1741" s="4">
        <v>48.43</v>
      </c>
      <c r="L1741" s="9">
        <f>SalesTable[[#This Row],[Profit]]/SalesTable[[#This Row],[Sales]]</f>
        <v>9.3468946616744514E-2</v>
      </c>
    </row>
    <row r="1742" spans="1:12" ht="14" x14ac:dyDescent="0.15">
      <c r="A1742" s="1">
        <v>11741</v>
      </c>
      <c r="B1742" s="2">
        <v>46302</v>
      </c>
      <c r="C1742" s="1" t="s">
        <v>10</v>
      </c>
      <c r="D1742" s="1" t="s">
        <v>15</v>
      </c>
      <c r="E1742" s="1" t="s">
        <v>17</v>
      </c>
      <c r="F1742" s="1" t="s">
        <v>21</v>
      </c>
      <c r="G1742" s="4">
        <v>202.68</v>
      </c>
      <c r="H1742" s="1">
        <v>5</v>
      </c>
      <c r="I1742" s="1" t="str">
        <f>TEXT(SalesTable[[#This Row],[Order_Date]],"mmm")</f>
        <v>Oct</v>
      </c>
      <c r="J1742" s="1">
        <f>YEAR(SalesTable[[#This Row],[Order_Date]])</f>
        <v>2026</v>
      </c>
      <c r="K1742" s="4">
        <v>153.69</v>
      </c>
      <c r="L1742" s="9">
        <f>SalesTable[[#This Row],[Profit]]/SalesTable[[#This Row],[Sales]]</f>
        <v>0.7582889283599763</v>
      </c>
    </row>
    <row r="1743" spans="1:12" ht="14" x14ac:dyDescent="0.15">
      <c r="A1743" s="1">
        <v>11742</v>
      </c>
      <c r="B1743" s="2">
        <v>46303</v>
      </c>
      <c r="C1743" s="1" t="s">
        <v>12</v>
      </c>
      <c r="D1743" s="1" t="s">
        <v>15</v>
      </c>
      <c r="E1743" s="1" t="s">
        <v>16</v>
      </c>
      <c r="F1743" s="1" t="s">
        <v>22</v>
      </c>
      <c r="G1743" s="4">
        <v>979.35</v>
      </c>
      <c r="H1743" s="1">
        <v>2</v>
      </c>
      <c r="I1743" s="1" t="str">
        <f>TEXT(SalesTable[[#This Row],[Order_Date]],"mmm")</f>
        <v>Oct</v>
      </c>
      <c r="J1743" s="1">
        <f>YEAR(SalesTable[[#This Row],[Order_Date]])</f>
        <v>2026</v>
      </c>
      <c r="K1743" s="4">
        <v>-92.74</v>
      </c>
      <c r="L1743" s="9">
        <f>SalesTable[[#This Row],[Profit]]/SalesTable[[#This Row],[Sales]]</f>
        <v>-9.4695461275335679E-2</v>
      </c>
    </row>
    <row r="1744" spans="1:12" ht="14" x14ac:dyDescent="0.15">
      <c r="A1744" s="1">
        <v>11743</v>
      </c>
      <c r="B1744" s="2">
        <v>46304</v>
      </c>
      <c r="C1744" s="1" t="s">
        <v>12</v>
      </c>
      <c r="D1744" s="1" t="s">
        <v>13</v>
      </c>
      <c r="E1744" s="1" t="s">
        <v>17</v>
      </c>
      <c r="F1744" s="1" t="s">
        <v>24</v>
      </c>
      <c r="G1744" s="4">
        <v>200.59</v>
      </c>
      <c r="H1744" s="1">
        <v>5</v>
      </c>
      <c r="I1744" s="1" t="str">
        <f>TEXT(SalesTable[[#This Row],[Order_Date]],"mmm")</f>
        <v>Oct</v>
      </c>
      <c r="J1744" s="1">
        <f>YEAR(SalesTable[[#This Row],[Order_Date]])</f>
        <v>2026</v>
      </c>
      <c r="K1744" s="4">
        <v>188.98</v>
      </c>
      <c r="L1744" s="9">
        <f>SalesTable[[#This Row],[Profit]]/SalesTable[[#This Row],[Sales]]</f>
        <v>0.94212074380577293</v>
      </c>
    </row>
    <row r="1745" spans="1:12" ht="14" x14ac:dyDescent="0.15">
      <c r="A1745" s="1">
        <v>11744</v>
      </c>
      <c r="B1745" s="2">
        <v>46305</v>
      </c>
      <c r="C1745" s="1" t="s">
        <v>9</v>
      </c>
      <c r="D1745" s="1" t="s">
        <v>13</v>
      </c>
      <c r="E1745" s="1" t="s">
        <v>19</v>
      </c>
      <c r="F1745" s="1" t="s">
        <v>23</v>
      </c>
      <c r="G1745" s="4">
        <v>513.09</v>
      </c>
      <c r="H1745" s="1">
        <v>8</v>
      </c>
      <c r="I1745" s="1" t="str">
        <f>TEXT(SalesTable[[#This Row],[Order_Date]],"mmm")</f>
        <v>Oct</v>
      </c>
      <c r="J1745" s="1">
        <f>YEAR(SalesTable[[#This Row],[Order_Date]])</f>
        <v>2026</v>
      </c>
      <c r="K1745" s="4">
        <v>234.21</v>
      </c>
      <c r="L1745" s="9">
        <f>SalesTable[[#This Row],[Profit]]/SalesTable[[#This Row],[Sales]]</f>
        <v>0.45646962521195111</v>
      </c>
    </row>
    <row r="1746" spans="1:12" ht="14" x14ac:dyDescent="0.15">
      <c r="A1746" s="1">
        <v>11745</v>
      </c>
      <c r="B1746" s="2">
        <v>46306</v>
      </c>
      <c r="C1746" s="1" t="s">
        <v>12</v>
      </c>
      <c r="D1746" s="1" t="s">
        <v>13</v>
      </c>
      <c r="E1746" s="1" t="s">
        <v>17</v>
      </c>
      <c r="F1746" s="1" t="s">
        <v>24</v>
      </c>
      <c r="G1746" s="4">
        <v>395.92</v>
      </c>
      <c r="H1746" s="1">
        <v>6</v>
      </c>
      <c r="I1746" s="1" t="str">
        <f>TEXT(SalesTable[[#This Row],[Order_Date]],"mmm")</f>
        <v>Oct</v>
      </c>
      <c r="J1746" s="1">
        <f>YEAR(SalesTable[[#This Row],[Order_Date]])</f>
        <v>2026</v>
      </c>
      <c r="K1746" s="4">
        <v>59.66</v>
      </c>
      <c r="L1746" s="9">
        <f>SalesTable[[#This Row],[Profit]]/SalesTable[[#This Row],[Sales]]</f>
        <v>0.15068700747625782</v>
      </c>
    </row>
    <row r="1747" spans="1:12" ht="14" x14ac:dyDescent="0.15">
      <c r="A1747" s="1">
        <v>11746</v>
      </c>
      <c r="B1747" s="2">
        <v>46307</v>
      </c>
      <c r="C1747" s="1" t="s">
        <v>12</v>
      </c>
      <c r="D1747" s="1" t="s">
        <v>13</v>
      </c>
      <c r="E1747" s="1" t="s">
        <v>20</v>
      </c>
      <c r="F1747" s="1" t="s">
        <v>21</v>
      </c>
      <c r="G1747" s="4">
        <v>657.42</v>
      </c>
      <c r="H1747" s="1">
        <v>3</v>
      </c>
      <c r="I1747" s="1" t="str">
        <f>TEXT(SalesTable[[#This Row],[Order_Date]],"mmm")</f>
        <v>Oct</v>
      </c>
      <c r="J1747" s="1">
        <f>YEAR(SalesTable[[#This Row],[Order_Date]])</f>
        <v>2026</v>
      </c>
      <c r="K1747" s="4">
        <v>79.180000000000007</v>
      </c>
      <c r="L1747" s="9">
        <f>SalesTable[[#This Row],[Profit]]/SalesTable[[#This Row],[Sales]]</f>
        <v>0.1204405098719236</v>
      </c>
    </row>
    <row r="1748" spans="1:12" ht="14" x14ac:dyDescent="0.15">
      <c r="A1748" s="1">
        <v>11747</v>
      </c>
      <c r="B1748" s="2">
        <v>46308</v>
      </c>
      <c r="C1748" s="1" t="s">
        <v>10</v>
      </c>
      <c r="D1748" s="1" t="s">
        <v>14</v>
      </c>
      <c r="E1748" s="1" t="s">
        <v>19</v>
      </c>
      <c r="F1748" s="1" t="s">
        <v>22</v>
      </c>
      <c r="G1748" s="4">
        <v>172.58</v>
      </c>
      <c r="H1748" s="1">
        <v>8</v>
      </c>
      <c r="I1748" s="1" t="str">
        <f>TEXT(SalesTable[[#This Row],[Order_Date]],"mmm")</f>
        <v>Oct</v>
      </c>
      <c r="J1748" s="1">
        <f>YEAR(SalesTable[[#This Row],[Order_Date]])</f>
        <v>2026</v>
      </c>
      <c r="K1748" s="4">
        <v>240.51</v>
      </c>
      <c r="L1748" s="9">
        <f>SalesTable[[#This Row],[Profit]]/SalesTable[[#This Row],[Sales]]</f>
        <v>1.3936145555684318</v>
      </c>
    </row>
    <row r="1749" spans="1:12" ht="14" x14ac:dyDescent="0.15">
      <c r="A1749" s="1">
        <v>11748</v>
      </c>
      <c r="B1749" s="2">
        <v>46309</v>
      </c>
      <c r="C1749" s="1" t="s">
        <v>11</v>
      </c>
      <c r="D1749" s="1" t="s">
        <v>15</v>
      </c>
      <c r="E1749" s="1" t="s">
        <v>18</v>
      </c>
      <c r="F1749" s="1" t="s">
        <v>25</v>
      </c>
      <c r="G1749" s="4">
        <v>458.8</v>
      </c>
      <c r="H1749" s="1">
        <v>9</v>
      </c>
      <c r="I1749" s="1" t="str">
        <f>TEXT(SalesTable[[#This Row],[Order_Date]],"mmm")</f>
        <v>Oct</v>
      </c>
      <c r="J1749" s="1">
        <f>YEAR(SalesTable[[#This Row],[Order_Date]])</f>
        <v>2026</v>
      </c>
      <c r="K1749" s="4">
        <v>210.26</v>
      </c>
      <c r="L1749" s="9">
        <f>SalesTable[[#This Row],[Profit]]/SalesTable[[#This Row],[Sales]]</f>
        <v>0.45828247602441147</v>
      </c>
    </row>
    <row r="1750" spans="1:12" ht="14" x14ac:dyDescent="0.15">
      <c r="A1750" s="1">
        <v>11749</v>
      </c>
      <c r="B1750" s="2">
        <v>46310</v>
      </c>
      <c r="C1750" s="1" t="s">
        <v>9</v>
      </c>
      <c r="D1750" s="1" t="s">
        <v>13</v>
      </c>
      <c r="E1750" s="1" t="s">
        <v>20</v>
      </c>
      <c r="F1750" s="1" t="s">
        <v>24</v>
      </c>
      <c r="G1750" s="4">
        <v>310.97000000000003</v>
      </c>
      <c r="H1750" s="1">
        <v>5</v>
      </c>
      <c r="I1750" s="1" t="str">
        <f>TEXT(SalesTable[[#This Row],[Order_Date]],"mmm")</f>
        <v>Oct</v>
      </c>
      <c r="J1750" s="1">
        <f>YEAR(SalesTable[[#This Row],[Order_Date]])</f>
        <v>2026</v>
      </c>
      <c r="K1750" s="4">
        <v>15.26</v>
      </c>
      <c r="L1750" s="9">
        <f>SalesTable[[#This Row],[Profit]]/SalesTable[[#This Row],[Sales]]</f>
        <v>4.9072257774061802E-2</v>
      </c>
    </row>
    <row r="1751" spans="1:12" ht="14" x14ac:dyDescent="0.15">
      <c r="A1751" s="1">
        <v>11750</v>
      </c>
      <c r="B1751" s="2">
        <v>46311</v>
      </c>
      <c r="C1751" s="1" t="s">
        <v>9</v>
      </c>
      <c r="D1751" s="1" t="s">
        <v>14</v>
      </c>
      <c r="E1751" s="1" t="s">
        <v>16</v>
      </c>
      <c r="F1751" s="1" t="s">
        <v>25</v>
      </c>
      <c r="G1751" s="4">
        <v>893.36</v>
      </c>
      <c r="H1751" s="1">
        <v>2</v>
      </c>
      <c r="I1751" s="1" t="str">
        <f>TEXT(SalesTable[[#This Row],[Order_Date]],"mmm")</f>
        <v>Oct</v>
      </c>
      <c r="J1751" s="1">
        <f>YEAR(SalesTable[[#This Row],[Order_Date]])</f>
        <v>2026</v>
      </c>
      <c r="K1751" s="4">
        <v>29.59</v>
      </c>
      <c r="L1751" s="9">
        <f>SalesTable[[#This Row],[Profit]]/SalesTable[[#This Row],[Sales]]</f>
        <v>3.31221456075938E-2</v>
      </c>
    </row>
    <row r="1752" spans="1:12" ht="14" x14ac:dyDescent="0.15">
      <c r="A1752" s="1">
        <v>11751</v>
      </c>
      <c r="B1752" s="2">
        <v>46312</v>
      </c>
      <c r="C1752" s="1" t="s">
        <v>10</v>
      </c>
      <c r="D1752" s="1" t="s">
        <v>13</v>
      </c>
      <c r="E1752" s="1" t="s">
        <v>16</v>
      </c>
      <c r="F1752" s="1" t="s">
        <v>22</v>
      </c>
      <c r="G1752" s="4">
        <v>88.56</v>
      </c>
      <c r="H1752" s="1">
        <v>2</v>
      </c>
      <c r="I1752" s="1" t="str">
        <f>TEXT(SalesTable[[#This Row],[Order_Date]],"mmm")</f>
        <v>Oct</v>
      </c>
      <c r="J1752" s="1">
        <f>YEAR(SalesTable[[#This Row],[Order_Date]])</f>
        <v>2026</v>
      </c>
      <c r="K1752" s="4">
        <v>171.55</v>
      </c>
      <c r="L1752" s="9">
        <f>SalesTable[[#This Row],[Profit]]/SalesTable[[#This Row],[Sales]]</f>
        <v>1.937104787714544</v>
      </c>
    </row>
    <row r="1753" spans="1:12" ht="14" x14ac:dyDescent="0.15">
      <c r="A1753" s="1">
        <v>11752</v>
      </c>
      <c r="B1753" s="2">
        <v>46313</v>
      </c>
      <c r="C1753" s="1" t="s">
        <v>10</v>
      </c>
      <c r="D1753" s="1" t="s">
        <v>13</v>
      </c>
      <c r="E1753" s="1" t="s">
        <v>16</v>
      </c>
      <c r="F1753" s="1" t="s">
        <v>24</v>
      </c>
      <c r="G1753" s="4">
        <v>918.04</v>
      </c>
      <c r="H1753" s="1">
        <v>7</v>
      </c>
      <c r="I1753" s="1" t="str">
        <f>TEXT(SalesTable[[#This Row],[Order_Date]],"mmm")</f>
        <v>Oct</v>
      </c>
      <c r="J1753" s="1">
        <f>YEAR(SalesTable[[#This Row],[Order_Date]])</f>
        <v>2026</v>
      </c>
      <c r="K1753" s="4">
        <v>125.28</v>
      </c>
      <c r="L1753" s="9">
        <f>SalesTable[[#This Row],[Profit]]/SalesTable[[#This Row],[Sales]]</f>
        <v>0.13646464206352665</v>
      </c>
    </row>
    <row r="1754" spans="1:12" ht="14" x14ac:dyDescent="0.15">
      <c r="A1754" s="1">
        <v>11753</v>
      </c>
      <c r="B1754" s="2">
        <v>46314</v>
      </c>
      <c r="C1754" s="1" t="s">
        <v>12</v>
      </c>
      <c r="D1754" s="1" t="s">
        <v>15</v>
      </c>
      <c r="E1754" s="1" t="s">
        <v>20</v>
      </c>
      <c r="F1754" s="1" t="s">
        <v>25</v>
      </c>
      <c r="G1754" s="4">
        <v>841.34</v>
      </c>
      <c r="H1754" s="1">
        <v>1</v>
      </c>
      <c r="I1754" s="1" t="str">
        <f>TEXT(SalesTable[[#This Row],[Order_Date]],"mmm")</f>
        <v>Oct</v>
      </c>
      <c r="J1754" s="1">
        <f>YEAR(SalesTable[[#This Row],[Order_Date]])</f>
        <v>2026</v>
      </c>
      <c r="K1754" s="4">
        <v>-35.11</v>
      </c>
      <c r="L1754" s="9">
        <f>SalesTable[[#This Row],[Profit]]/SalesTable[[#This Row],[Sales]]</f>
        <v>-4.173104808995174E-2</v>
      </c>
    </row>
    <row r="1755" spans="1:12" ht="14" x14ac:dyDescent="0.15">
      <c r="A1755" s="1">
        <v>11754</v>
      </c>
      <c r="B1755" s="2">
        <v>46315</v>
      </c>
      <c r="C1755" s="1" t="s">
        <v>9</v>
      </c>
      <c r="D1755" s="1" t="s">
        <v>13</v>
      </c>
      <c r="E1755" s="1" t="s">
        <v>20</v>
      </c>
      <c r="F1755" s="1" t="s">
        <v>25</v>
      </c>
      <c r="G1755" s="4">
        <v>332.69</v>
      </c>
      <c r="H1755" s="1">
        <v>2</v>
      </c>
      <c r="I1755" s="1" t="str">
        <f>TEXT(SalesTable[[#This Row],[Order_Date]],"mmm")</f>
        <v>Oct</v>
      </c>
      <c r="J1755" s="1">
        <f>YEAR(SalesTable[[#This Row],[Order_Date]])</f>
        <v>2026</v>
      </c>
      <c r="K1755" s="4">
        <v>23.97</v>
      </c>
      <c r="L1755" s="9">
        <f>SalesTable[[#This Row],[Profit]]/SalesTable[[#This Row],[Sales]]</f>
        <v>7.2049054675523763E-2</v>
      </c>
    </row>
    <row r="1756" spans="1:12" ht="14" x14ac:dyDescent="0.15">
      <c r="A1756" s="1">
        <v>11755</v>
      </c>
      <c r="B1756" s="2">
        <v>46316</v>
      </c>
      <c r="C1756" s="1" t="s">
        <v>11</v>
      </c>
      <c r="D1756" s="1" t="s">
        <v>15</v>
      </c>
      <c r="E1756" s="1" t="s">
        <v>20</v>
      </c>
      <c r="F1756" s="1" t="s">
        <v>24</v>
      </c>
      <c r="G1756" s="4">
        <v>799.83</v>
      </c>
      <c r="H1756" s="1">
        <v>4</v>
      </c>
      <c r="I1756" s="1" t="str">
        <f>TEXT(SalesTable[[#This Row],[Order_Date]],"mmm")</f>
        <v>Oct</v>
      </c>
      <c r="J1756" s="1">
        <f>YEAR(SalesTable[[#This Row],[Order_Date]])</f>
        <v>2026</v>
      </c>
      <c r="K1756" s="4">
        <v>259.99</v>
      </c>
      <c r="L1756" s="9">
        <f>SalesTable[[#This Row],[Profit]]/SalesTable[[#This Row],[Sales]]</f>
        <v>0.32505657452208592</v>
      </c>
    </row>
    <row r="1757" spans="1:12" ht="14" x14ac:dyDescent="0.15">
      <c r="A1757" s="1">
        <v>11756</v>
      </c>
      <c r="B1757" s="2">
        <v>46317</v>
      </c>
      <c r="C1757" s="1" t="s">
        <v>10</v>
      </c>
      <c r="D1757" s="1" t="s">
        <v>15</v>
      </c>
      <c r="E1757" s="1" t="s">
        <v>19</v>
      </c>
      <c r="F1757" s="1" t="s">
        <v>22</v>
      </c>
      <c r="G1757" s="4">
        <v>79.650000000000006</v>
      </c>
      <c r="H1757" s="1">
        <v>1</v>
      </c>
      <c r="I1757" s="1" t="str">
        <f>TEXT(SalesTable[[#This Row],[Order_Date]],"mmm")</f>
        <v>Oct</v>
      </c>
      <c r="J1757" s="1">
        <f>YEAR(SalesTable[[#This Row],[Order_Date]])</f>
        <v>2026</v>
      </c>
      <c r="K1757" s="4">
        <v>175.27</v>
      </c>
      <c r="L1757" s="9">
        <f>SalesTable[[#This Row],[Profit]]/SalesTable[[#This Row],[Sales]]</f>
        <v>2.2005021971123666</v>
      </c>
    </row>
    <row r="1758" spans="1:12" ht="14" x14ac:dyDescent="0.15">
      <c r="A1758" s="1">
        <v>11757</v>
      </c>
      <c r="B1758" s="2">
        <v>46318</v>
      </c>
      <c r="C1758" s="1" t="s">
        <v>11</v>
      </c>
      <c r="D1758" s="1" t="s">
        <v>15</v>
      </c>
      <c r="E1758" s="1" t="s">
        <v>19</v>
      </c>
      <c r="F1758" s="1" t="s">
        <v>25</v>
      </c>
      <c r="G1758" s="4">
        <v>968.52</v>
      </c>
      <c r="H1758" s="1">
        <v>4</v>
      </c>
      <c r="I1758" s="1" t="str">
        <f>TEXT(SalesTable[[#This Row],[Order_Date]],"mmm")</f>
        <v>Oct</v>
      </c>
      <c r="J1758" s="1">
        <f>YEAR(SalesTable[[#This Row],[Order_Date]])</f>
        <v>2026</v>
      </c>
      <c r="K1758" s="4">
        <v>294.39</v>
      </c>
      <c r="L1758" s="9">
        <f>SalesTable[[#This Row],[Profit]]/SalesTable[[#This Row],[Sales]]</f>
        <v>0.30395861727171353</v>
      </c>
    </row>
    <row r="1759" spans="1:12" ht="14" x14ac:dyDescent="0.15">
      <c r="A1759" s="1">
        <v>11758</v>
      </c>
      <c r="B1759" s="2">
        <v>46319</v>
      </c>
      <c r="C1759" s="1" t="s">
        <v>11</v>
      </c>
      <c r="D1759" s="1" t="s">
        <v>14</v>
      </c>
      <c r="E1759" s="1" t="s">
        <v>16</v>
      </c>
      <c r="F1759" s="1" t="s">
        <v>21</v>
      </c>
      <c r="G1759" s="4">
        <v>550.27</v>
      </c>
      <c r="H1759" s="1">
        <v>5</v>
      </c>
      <c r="I1759" s="1" t="str">
        <f>TEXT(SalesTable[[#This Row],[Order_Date]],"mmm")</f>
        <v>Oct</v>
      </c>
      <c r="J1759" s="1">
        <f>YEAR(SalesTable[[#This Row],[Order_Date]])</f>
        <v>2026</v>
      </c>
      <c r="K1759" s="4">
        <v>206.81</v>
      </c>
      <c r="L1759" s="9">
        <f>SalesTable[[#This Row],[Profit]]/SalesTable[[#This Row],[Sales]]</f>
        <v>0.37583368164719139</v>
      </c>
    </row>
    <row r="1760" spans="1:12" ht="14" x14ac:dyDescent="0.15">
      <c r="A1760" s="1">
        <v>11759</v>
      </c>
      <c r="B1760" s="2">
        <v>46320</v>
      </c>
      <c r="C1760" s="1" t="s">
        <v>9</v>
      </c>
      <c r="D1760" s="1" t="s">
        <v>14</v>
      </c>
      <c r="E1760" s="1" t="s">
        <v>17</v>
      </c>
      <c r="F1760" s="1" t="s">
        <v>24</v>
      </c>
      <c r="G1760" s="4">
        <v>338.12</v>
      </c>
      <c r="H1760" s="1">
        <v>9</v>
      </c>
      <c r="I1760" s="1" t="str">
        <f>TEXT(SalesTable[[#This Row],[Order_Date]],"mmm")</f>
        <v>Oct</v>
      </c>
      <c r="J1760" s="1">
        <f>YEAR(SalesTable[[#This Row],[Order_Date]])</f>
        <v>2026</v>
      </c>
      <c r="K1760" s="4">
        <v>276.79000000000002</v>
      </c>
      <c r="L1760" s="9">
        <f>SalesTable[[#This Row],[Profit]]/SalesTable[[#This Row],[Sales]]</f>
        <v>0.8186146930083994</v>
      </c>
    </row>
    <row r="1761" spans="1:12" ht="14" x14ac:dyDescent="0.15">
      <c r="A1761" s="1">
        <v>11760</v>
      </c>
      <c r="B1761" s="2">
        <v>46321</v>
      </c>
      <c r="C1761" s="1" t="s">
        <v>9</v>
      </c>
      <c r="D1761" s="1" t="s">
        <v>15</v>
      </c>
      <c r="E1761" s="1" t="s">
        <v>16</v>
      </c>
      <c r="F1761" s="1" t="s">
        <v>23</v>
      </c>
      <c r="G1761" s="4">
        <v>394.45</v>
      </c>
      <c r="H1761" s="1">
        <v>1</v>
      </c>
      <c r="I1761" s="1" t="str">
        <f>TEXT(SalesTable[[#This Row],[Order_Date]],"mmm")</f>
        <v>Oct</v>
      </c>
      <c r="J1761" s="1">
        <f>YEAR(SalesTable[[#This Row],[Order_Date]])</f>
        <v>2026</v>
      </c>
      <c r="K1761" s="4">
        <v>-13.52</v>
      </c>
      <c r="L1761" s="9">
        <f>SalesTable[[#This Row],[Profit]]/SalesTable[[#This Row],[Sales]]</f>
        <v>-3.4275573583470657E-2</v>
      </c>
    </row>
    <row r="1762" spans="1:12" ht="14" x14ac:dyDescent="0.15">
      <c r="A1762" s="1">
        <v>11761</v>
      </c>
      <c r="B1762" s="2">
        <v>46322</v>
      </c>
      <c r="C1762" s="1" t="s">
        <v>10</v>
      </c>
      <c r="D1762" s="1" t="s">
        <v>13</v>
      </c>
      <c r="E1762" s="1" t="s">
        <v>18</v>
      </c>
      <c r="F1762" s="1" t="s">
        <v>23</v>
      </c>
      <c r="G1762" s="4">
        <v>113.09</v>
      </c>
      <c r="H1762" s="1">
        <v>5</v>
      </c>
      <c r="I1762" s="1" t="str">
        <f>TEXT(SalesTable[[#This Row],[Order_Date]],"mmm")</f>
        <v>Oct</v>
      </c>
      <c r="J1762" s="1">
        <f>YEAR(SalesTable[[#This Row],[Order_Date]])</f>
        <v>2026</v>
      </c>
      <c r="K1762" s="4">
        <v>208.59</v>
      </c>
      <c r="L1762" s="9">
        <f>SalesTable[[#This Row],[Profit]]/SalesTable[[#This Row],[Sales]]</f>
        <v>1.8444601644707754</v>
      </c>
    </row>
    <row r="1763" spans="1:12" ht="14" x14ac:dyDescent="0.15">
      <c r="A1763" s="1">
        <v>11762</v>
      </c>
      <c r="B1763" s="2">
        <v>46323</v>
      </c>
      <c r="C1763" s="1" t="s">
        <v>9</v>
      </c>
      <c r="D1763" s="1" t="s">
        <v>15</v>
      </c>
      <c r="E1763" s="1" t="s">
        <v>19</v>
      </c>
      <c r="F1763" s="1" t="s">
        <v>22</v>
      </c>
      <c r="G1763" s="4">
        <v>989.88</v>
      </c>
      <c r="H1763" s="1">
        <v>2</v>
      </c>
      <c r="I1763" s="1" t="str">
        <f>TEXT(SalesTable[[#This Row],[Order_Date]],"mmm")</f>
        <v>Oct</v>
      </c>
      <c r="J1763" s="1">
        <f>YEAR(SalesTable[[#This Row],[Order_Date]])</f>
        <v>2026</v>
      </c>
      <c r="K1763" s="4">
        <v>-91.91</v>
      </c>
      <c r="L1763" s="9">
        <f>SalesTable[[#This Row],[Profit]]/SalesTable[[#This Row],[Sales]]</f>
        <v>-9.2849638340000804E-2</v>
      </c>
    </row>
    <row r="1764" spans="1:12" ht="14" x14ac:dyDescent="0.15">
      <c r="A1764" s="1">
        <v>11763</v>
      </c>
      <c r="B1764" s="2">
        <v>46324</v>
      </c>
      <c r="C1764" s="1" t="s">
        <v>9</v>
      </c>
      <c r="D1764" s="1" t="s">
        <v>13</v>
      </c>
      <c r="E1764" s="1" t="s">
        <v>20</v>
      </c>
      <c r="F1764" s="1" t="s">
        <v>21</v>
      </c>
      <c r="G1764" s="4">
        <v>87.33</v>
      </c>
      <c r="H1764" s="1">
        <v>9</v>
      </c>
      <c r="I1764" s="1" t="str">
        <f>TEXT(SalesTable[[#This Row],[Order_Date]],"mmm")</f>
        <v>Oct</v>
      </c>
      <c r="J1764" s="1">
        <f>YEAR(SalesTable[[#This Row],[Order_Date]])</f>
        <v>2026</v>
      </c>
      <c r="K1764" s="4">
        <v>168.3</v>
      </c>
      <c r="L1764" s="9">
        <f>SalesTable[[#This Row],[Profit]]/SalesTable[[#This Row],[Sales]]</f>
        <v>1.9271727928546893</v>
      </c>
    </row>
    <row r="1765" spans="1:12" ht="14" x14ac:dyDescent="0.15">
      <c r="A1765" s="1">
        <v>11764</v>
      </c>
      <c r="B1765" s="2">
        <v>46325</v>
      </c>
      <c r="C1765" s="1" t="s">
        <v>9</v>
      </c>
      <c r="D1765" s="1" t="s">
        <v>15</v>
      </c>
      <c r="E1765" s="1" t="s">
        <v>19</v>
      </c>
      <c r="F1765" s="1" t="s">
        <v>25</v>
      </c>
      <c r="G1765" s="4">
        <v>672.16</v>
      </c>
      <c r="H1765" s="1">
        <v>6</v>
      </c>
      <c r="I1765" s="1" t="str">
        <f>TEXT(SalesTable[[#This Row],[Order_Date]],"mmm")</f>
        <v>Oct</v>
      </c>
      <c r="J1765" s="1">
        <f>YEAR(SalesTable[[#This Row],[Order_Date]])</f>
        <v>2026</v>
      </c>
      <c r="K1765" s="4">
        <v>87.71</v>
      </c>
      <c r="L1765" s="9">
        <f>SalesTable[[#This Row],[Profit]]/SalesTable[[#This Row],[Sales]]</f>
        <v>0.13048976434182338</v>
      </c>
    </row>
    <row r="1766" spans="1:12" ht="14" x14ac:dyDescent="0.15">
      <c r="A1766" s="1">
        <v>11765</v>
      </c>
      <c r="B1766" s="2">
        <v>46326</v>
      </c>
      <c r="C1766" s="1" t="s">
        <v>11</v>
      </c>
      <c r="D1766" s="1" t="s">
        <v>13</v>
      </c>
      <c r="E1766" s="1" t="s">
        <v>20</v>
      </c>
      <c r="F1766" s="1" t="s">
        <v>23</v>
      </c>
      <c r="G1766" s="4">
        <v>470.6</v>
      </c>
      <c r="H1766" s="1">
        <v>2</v>
      </c>
      <c r="I1766" s="1" t="str">
        <f>TEXT(SalesTable[[#This Row],[Order_Date]],"mmm")</f>
        <v>Oct</v>
      </c>
      <c r="J1766" s="1">
        <f>YEAR(SalesTable[[#This Row],[Order_Date]])</f>
        <v>2026</v>
      </c>
      <c r="K1766" s="4">
        <v>38.700000000000003</v>
      </c>
      <c r="L1766" s="9">
        <f>SalesTable[[#This Row],[Profit]]/SalesTable[[#This Row],[Sales]]</f>
        <v>8.223544411389716E-2</v>
      </c>
    </row>
    <row r="1767" spans="1:12" ht="14" x14ac:dyDescent="0.15">
      <c r="A1767" s="1">
        <v>11766</v>
      </c>
      <c r="B1767" s="2">
        <v>46327</v>
      </c>
      <c r="C1767" s="1" t="s">
        <v>10</v>
      </c>
      <c r="D1767" s="1" t="s">
        <v>14</v>
      </c>
      <c r="E1767" s="1" t="s">
        <v>18</v>
      </c>
      <c r="F1767" s="1" t="s">
        <v>22</v>
      </c>
      <c r="G1767" s="4">
        <v>951.47</v>
      </c>
      <c r="H1767" s="1">
        <v>3</v>
      </c>
      <c r="I1767" s="1" t="str">
        <f>TEXT(SalesTable[[#This Row],[Order_Date]],"mmm")</f>
        <v>Nov</v>
      </c>
      <c r="J1767" s="1">
        <f>YEAR(SalesTable[[#This Row],[Order_Date]])</f>
        <v>2026</v>
      </c>
      <c r="K1767" s="4">
        <v>244.96</v>
      </c>
      <c r="L1767" s="9">
        <f>SalesTable[[#This Row],[Profit]]/SalesTable[[#This Row],[Sales]]</f>
        <v>0.2574542549949026</v>
      </c>
    </row>
    <row r="1768" spans="1:12" ht="14" x14ac:dyDescent="0.15">
      <c r="A1768" s="1">
        <v>11767</v>
      </c>
      <c r="B1768" s="2">
        <v>46328</v>
      </c>
      <c r="C1768" s="1" t="s">
        <v>12</v>
      </c>
      <c r="D1768" s="1" t="s">
        <v>13</v>
      </c>
      <c r="E1768" s="1" t="s">
        <v>18</v>
      </c>
      <c r="F1768" s="1" t="s">
        <v>21</v>
      </c>
      <c r="G1768" s="4">
        <v>283.7</v>
      </c>
      <c r="H1768" s="1">
        <v>8</v>
      </c>
      <c r="I1768" s="1" t="str">
        <f>TEXT(SalesTable[[#This Row],[Order_Date]],"mmm")</f>
        <v>Nov</v>
      </c>
      <c r="J1768" s="1">
        <f>YEAR(SalesTable[[#This Row],[Order_Date]])</f>
        <v>2026</v>
      </c>
      <c r="K1768" s="4">
        <v>241.71</v>
      </c>
      <c r="L1768" s="9">
        <f>SalesTable[[#This Row],[Profit]]/SalesTable[[#This Row],[Sales]]</f>
        <v>0.85199154035953473</v>
      </c>
    </row>
    <row r="1769" spans="1:12" ht="14" x14ac:dyDescent="0.15">
      <c r="A1769" s="1">
        <v>11768</v>
      </c>
      <c r="B1769" s="2">
        <v>46329</v>
      </c>
      <c r="C1769" s="1" t="s">
        <v>11</v>
      </c>
      <c r="D1769" s="1" t="s">
        <v>15</v>
      </c>
      <c r="E1769" s="1" t="s">
        <v>19</v>
      </c>
      <c r="F1769" s="1" t="s">
        <v>21</v>
      </c>
      <c r="G1769" s="4">
        <v>555.48</v>
      </c>
      <c r="H1769" s="1">
        <v>1</v>
      </c>
      <c r="I1769" s="1" t="str">
        <f>TEXT(SalesTable[[#This Row],[Order_Date]],"mmm")</f>
        <v>Nov</v>
      </c>
      <c r="J1769" s="1">
        <f>YEAR(SalesTable[[#This Row],[Order_Date]])</f>
        <v>2026</v>
      </c>
      <c r="K1769" s="4">
        <v>-91.08</v>
      </c>
      <c r="L1769" s="9">
        <f>SalesTable[[#This Row],[Profit]]/SalesTable[[#This Row],[Sales]]</f>
        <v>-0.16396629941672067</v>
      </c>
    </row>
    <row r="1770" spans="1:12" ht="14" x14ac:dyDescent="0.15">
      <c r="A1770" s="1">
        <v>11769</v>
      </c>
      <c r="B1770" s="2">
        <v>46330</v>
      </c>
      <c r="C1770" s="1" t="s">
        <v>9</v>
      </c>
      <c r="D1770" s="1" t="s">
        <v>14</v>
      </c>
      <c r="E1770" s="1" t="s">
        <v>20</v>
      </c>
      <c r="F1770" s="1" t="s">
        <v>22</v>
      </c>
      <c r="G1770" s="4">
        <v>508.24</v>
      </c>
      <c r="H1770" s="1">
        <v>3</v>
      </c>
      <c r="I1770" s="1" t="str">
        <f>TEXT(SalesTable[[#This Row],[Order_Date]],"mmm")</f>
        <v>Nov</v>
      </c>
      <c r="J1770" s="1">
        <f>YEAR(SalesTable[[#This Row],[Order_Date]])</f>
        <v>2026</v>
      </c>
      <c r="K1770" s="4">
        <v>143.80000000000001</v>
      </c>
      <c r="L1770" s="9">
        <f>SalesTable[[#This Row],[Profit]]/SalesTable[[#This Row],[Sales]]</f>
        <v>0.28293719502597198</v>
      </c>
    </row>
    <row r="1771" spans="1:12" ht="14" x14ac:dyDescent="0.15">
      <c r="A1771" s="1">
        <v>11770</v>
      </c>
      <c r="B1771" s="2">
        <v>46331</v>
      </c>
      <c r="C1771" s="1" t="s">
        <v>11</v>
      </c>
      <c r="D1771" s="1" t="s">
        <v>13</v>
      </c>
      <c r="E1771" s="1" t="s">
        <v>18</v>
      </c>
      <c r="F1771" s="1" t="s">
        <v>22</v>
      </c>
      <c r="G1771" s="4">
        <v>717.72</v>
      </c>
      <c r="H1771" s="1">
        <v>1</v>
      </c>
      <c r="I1771" s="1" t="str">
        <f>TEXT(SalesTable[[#This Row],[Order_Date]],"mmm")</f>
        <v>Nov</v>
      </c>
      <c r="J1771" s="1">
        <f>YEAR(SalesTable[[#This Row],[Order_Date]])</f>
        <v>2026</v>
      </c>
      <c r="K1771" s="4">
        <v>47.13</v>
      </c>
      <c r="L1771" s="9">
        <f>SalesTable[[#This Row],[Profit]]/SalesTable[[#This Row],[Sales]]</f>
        <v>6.5666276542384217E-2</v>
      </c>
    </row>
    <row r="1772" spans="1:12" ht="14" x14ac:dyDescent="0.15">
      <c r="A1772" s="1">
        <v>11771</v>
      </c>
      <c r="B1772" s="2">
        <v>46332</v>
      </c>
      <c r="C1772" s="1" t="s">
        <v>9</v>
      </c>
      <c r="D1772" s="1" t="s">
        <v>13</v>
      </c>
      <c r="E1772" s="1" t="s">
        <v>16</v>
      </c>
      <c r="F1772" s="1" t="s">
        <v>25</v>
      </c>
      <c r="G1772" s="4">
        <v>114.61</v>
      </c>
      <c r="H1772" s="1">
        <v>8</v>
      </c>
      <c r="I1772" s="1" t="str">
        <f>TEXT(SalesTable[[#This Row],[Order_Date]],"mmm")</f>
        <v>Nov</v>
      </c>
      <c r="J1772" s="1">
        <f>YEAR(SalesTable[[#This Row],[Order_Date]])</f>
        <v>2026</v>
      </c>
      <c r="K1772" s="4">
        <v>66.260000000000005</v>
      </c>
      <c r="L1772" s="9">
        <f>SalesTable[[#This Row],[Profit]]/SalesTable[[#This Row],[Sales]]</f>
        <v>0.57813454323357483</v>
      </c>
    </row>
    <row r="1773" spans="1:12" ht="14" x14ac:dyDescent="0.15">
      <c r="A1773" s="1">
        <v>11772</v>
      </c>
      <c r="B1773" s="2">
        <v>46333</v>
      </c>
      <c r="C1773" s="1" t="s">
        <v>9</v>
      </c>
      <c r="D1773" s="1" t="s">
        <v>13</v>
      </c>
      <c r="E1773" s="1" t="s">
        <v>16</v>
      </c>
      <c r="F1773" s="1" t="s">
        <v>22</v>
      </c>
      <c r="G1773" s="4">
        <v>234.1</v>
      </c>
      <c r="H1773" s="1">
        <v>1</v>
      </c>
      <c r="I1773" s="1" t="str">
        <f>TEXT(SalesTable[[#This Row],[Order_Date]],"mmm")</f>
        <v>Nov</v>
      </c>
      <c r="J1773" s="1">
        <f>YEAR(SalesTable[[#This Row],[Order_Date]])</f>
        <v>2026</v>
      </c>
      <c r="K1773" s="4">
        <v>232.82</v>
      </c>
      <c r="L1773" s="9">
        <f>SalesTable[[#This Row],[Profit]]/SalesTable[[#This Row],[Sales]]</f>
        <v>0.99453225117471167</v>
      </c>
    </row>
    <row r="1774" spans="1:12" ht="14" x14ac:dyDescent="0.15">
      <c r="A1774" s="1">
        <v>11773</v>
      </c>
      <c r="B1774" s="2">
        <v>46334</v>
      </c>
      <c r="C1774" s="1" t="s">
        <v>11</v>
      </c>
      <c r="D1774" s="1" t="s">
        <v>13</v>
      </c>
      <c r="E1774" s="1" t="s">
        <v>20</v>
      </c>
      <c r="F1774" s="1" t="s">
        <v>25</v>
      </c>
      <c r="G1774" s="4">
        <v>253.84</v>
      </c>
      <c r="H1774" s="1">
        <v>5</v>
      </c>
      <c r="I1774" s="1" t="str">
        <f>TEXT(SalesTable[[#This Row],[Order_Date]],"mmm")</f>
        <v>Nov</v>
      </c>
      <c r="J1774" s="1">
        <f>YEAR(SalesTable[[#This Row],[Order_Date]])</f>
        <v>2026</v>
      </c>
      <c r="K1774" s="4">
        <v>23.94</v>
      </c>
      <c r="L1774" s="9">
        <f>SalesTable[[#This Row],[Profit]]/SalesTable[[#This Row],[Sales]]</f>
        <v>9.431137724550899E-2</v>
      </c>
    </row>
    <row r="1775" spans="1:12" ht="14" x14ac:dyDescent="0.15">
      <c r="A1775" s="1">
        <v>11774</v>
      </c>
      <c r="B1775" s="2">
        <v>46335</v>
      </c>
      <c r="C1775" s="1" t="s">
        <v>10</v>
      </c>
      <c r="D1775" s="1" t="s">
        <v>13</v>
      </c>
      <c r="E1775" s="1" t="s">
        <v>19</v>
      </c>
      <c r="F1775" s="1" t="s">
        <v>25</v>
      </c>
      <c r="G1775" s="4">
        <v>751.24</v>
      </c>
      <c r="H1775" s="1">
        <v>4</v>
      </c>
      <c r="I1775" s="1" t="str">
        <f>TEXT(SalesTable[[#This Row],[Order_Date]],"mmm")</f>
        <v>Nov</v>
      </c>
      <c r="J1775" s="1">
        <f>YEAR(SalesTable[[#This Row],[Order_Date]])</f>
        <v>2026</v>
      </c>
      <c r="K1775" s="4">
        <v>277.22000000000003</v>
      </c>
      <c r="L1775" s="9">
        <f>SalesTable[[#This Row],[Profit]]/SalesTable[[#This Row],[Sales]]</f>
        <v>0.3690165592886428</v>
      </c>
    </row>
    <row r="1776" spans="1:12" ht="14" x14ac:dyDescent="0.15">
      <c r="A1776" s="1">
        <v>11775</v>
      </c>
      <c r="B1776" s="2">
        <v>46336</v>
      </c>
      <c r="C1776" s="1" t="s">
        <v>9</v>
      </c>
      <c r="D1776" s="1" t="s">
        <v>14</v>
      </c>
      <c r="E1776" s="1" t="s">
        <v>18</v>
      </c>
      <c r="F1776" s="1" t="s">
        <v>24</v>
      </c>
      <c r="G1776" s="4">
        <v>229.68</v>
      </c>
      <c r="H1776" s="1">
        <v>7</v>
      </c>
      <c r="I1776" s="1" t="str">
        <f>TEXT(SalesTable[[#This Row],[Order_Date]],"mmm")</f>
        <v>Nov</v>
      </c>
      <c r="J1776" s="1">
        <f>YEAR(SalesTable[[#This Row],[Order_Date]])</f>
        <v>2026</v>
      </c>
      <c r="K1776" s="4">
        <v>-28.15</v>
      </c>
      <c r="L1776" s="9">
        <f>SalesTable[[#This Row],[Profit]]/SalesTable[[#This Row],[Sales]]</f>
        <v>-0.12256182514803203</v>
      </c>
    </row>
    <row r="1777" spans="1:12" ht="14" x14ac:dyDescent="0.15">
      <c r="A1777" s="1">
        <v>11776</v>
      </c>
      <c r="B1777" s="2">
        <v>46337</v>
      </c>
      <c r="C1777" s="1" t="s">
        <v>10</v>
      </c>
      <c r="D1777" s="1" t="s">
        <v>14</v>
      </c>
      <c r="E1777" s="1" t="s">
        <v>19</v>
      </c>
      <c r="F1777" s="1" t="s">
        <v>21</v>
      </c>
      <c r="G1777" s="4">
        <v>594.82000000000005</v>
      </c>
      <c r="H1777" s="1">
        <v>5</v>
      </c>
      <c r="I1777" s="1" t="str">
        <f>TEXT(SalesTable[[#This Row],[Order_Date]],"mmm")</f>
        <v>Nov</v>
      </c>
      <c r="J1777" s="1">
        <f>YEAR(SalesTable[[#This Row],[Order_Date]])</f>
        <v>2026</v>
      </c>
      <c r="K1777" s="4">
        <v>165.09</v>
      </c>
      <c r="L1777" s="9">
        <f>SalesTable[[#This Row],[Profit]]/SalesTable[[#This Row],[Sales]]</f>
        <v>0.27754614841464642</v>
      </c>
    </row>
    <row r="1778" spans="1:12" ht="14" x14ac:dyDescent="0.15">
      <c r="A1778" s="1">
        <v>11777</v>
      </c>
      <c r="B1778" s="2">
        <v>46338</v>
      </c>
      <c r="C1778" s="1" t="s">
        <v>12</v>
      </c>
      <c r="D1778" s="1" t="s">
        <v>14</v>
      </c>
      <c r="E1778" s="1" t="s">
        <v>16</v>
      </c>
      <c r="F1778" s="1" t="s">
        <v>21</v>
      </c>
      <c r="G1778" s="4">
        <v>254.48</v>
      </c>
      <c r="H1778" s="1">
        <v>8</v>
      </c>
      <c r="I1778" s="1" t="str">
        <f>TEXT(SalesTable[[#This Row],[Order_Date]],"mmm")</f>
        <v>Nov</v>
      </c>
      <c r="J1778" s="1">
        <f>YEAR(SalesTable[[#This Row],[Order_Date]])</f>
        <v>2026</v>
      </c>
      <c r="K1778" s="4">
        <v>168.84</v>
      </c>
      <c r="L1778" s="9">
        <f>SalesTable[[#This Row],[Profit]]/SalesTable[[#This Row],[Sales]]</f>
        <v>0.66347060672744429</v>
      </c>
    </row>
    <row r="1779" spans="1:12" ht="14" x14ac:dyDescent="0.15">
      <c r="A1779" s="1">
        <v>11778</v>
      </c>
      <c r="B1779" s="2">
        <v>46339</v>
      </c>
      <c r="C1779" s="1" t="s">
        <v>9</v>
      </c>
      <c r="D1779" s="1" t="s">
        <v>14</v>
      </c>
      <c r="E1779" s="1" t="s">
        <v>18</v>
      </c>
      <c r="F1779" s="1" t="s">
        <v>21</v>
      </c>
      <c r="G1779" s="4">
        <v>868.54</v>
      </c>
      <c r="H1779" s="1">
        <v>1</v>
      </c>
      <c r="I1779" s="1" t="str">
        <f>TEXT(SalesTable[[#This Row],[Order_Date]],"mmm")</f>
        <v>Nov</v>
      </c>
      <c r="J1779" s="1">
        <f>YEAR(SalesTable[[#This Row],[Order_Date]])</f>
        <v>2026</v>
      </c>
      <c r="K1779" s="4">
        <v>0.88</v>
      </c>
      <c r="L1779" s="9">
        <f>SalesTable[[#This Row],[Profit]]/SalesTable[[#This Row],[Sales]]</f>
        <v>1.0131945563819744E-3</v>
      </c>
    </row>
    <row r="1780" spans="1:12" ht="14" x14ac:dyDescent="0.15">
      <c r="A1780" s="1">
        <v>11779</v>
      </c>
      <c r="B1780" s="2">
        <v>46340</v>
      </c>
      <c r="C1780" s="1" t="s">
        <v>10</v>
      </c>
      <c r="D1780" s="1" t="s">
        <v>15</v>
      </c>
      <c r="E1780" s="1" t="s">
        <v>19</v>
      </c>
      <c r="F1780" s="1" t="s">
        <v>24</v>
      </c>
      <c r="G1780" s="4">
        <v>945.08</v>
      </c>
      <c r="H1780" s="1">
        <v>5</v>
      </c>
      <c r="I1780" s="1" t="str">
        <f>TEXT(SalesTable[[#This Row],[Order_Date]],"mmm")</f>
        <v>Nov</v>
      </c>
      <c r="J1780" s="1">
        <f>YEAR(SalesTable[[#This Row],[Order_Date]])</f>
        <v>2026</v>
      </c>
      <c r="K1780" s="4">
        <v>29.9</v>
      </c>
      <c r="L1780" s="9">
        <f>SalesTable[[#This Row],[Profit]]/SalesTable[[#This Row],[Sales]]</f>
        <v>3.1637533330511697E-2</v>
      </c>
    </row>
    <row r="1781" spans="1:12" ht="14" x14ac:dyDescent="0.15">
      <c r="A1781" s="1">
        <v>11780</v>
      </c>
      <c r="B1781" s="2">
        <v>46341</v>
      </c>
      <c r="C1781" s="1" t="s">
        <v>10</v>
      </c>
      <c r="D1781" s="1" t="s">
        <v>14</v>
      </c>
      <c r="E1781" s="1" t="s">
        <v>17</v>
      </c>
      <c r="F1781" s="1" t="s">
        <v>25</v>
      </c>
      <c r="G1781" s="4">
        <v>542.57000000000005</v>
      </c>
      <c r="H1781" s="1">
        <v>4</v>
      </c>
      <c r="I1781" s="1" t="str">
        <f>TEXT(SalesTable[[#This Row],[Order_Date]],"mmm")</f>
        <v>Nov</v>
      </c>
      <c r="J1781" s="1">
        <f>YEAR(SalesTable[[#This Row],[Order_Date]])</f>
        <v>2026</v>
      </c>
      <c r="K1781" s="4">
        <v>233.92</v>
      </c>
      <c r="L1781" s="9">
        <f>SalesTable[[#This Row],[Profit]]/SalesTable[[#This Row],[Sales]]</f>
        <v>0.43113330998765131</v>
      </c>
    </row>
    <row r="1782" spans="1:12" ht="14" x14ac:dyDescent="0.15">
      <c r="A1782" s="1">
        <v>11781</v>
      </c>
      <c r="B1782" s="2">
        <v>46342</v>
      </c>
      <c r="C1782" s="1" t="s">
        <v>12</v>
      </c>
      <c r="D1782" s="1" t="s">
        <v>13</v>
      </c>
      <c r="E1782" s="1" t="s">
        <v>20</v>
      </c>
      <c r="F1782" s="1" t="s">
        <v>25</v>
      </c>
      <c r="G1782" s="4">
        <v>384.69</v>
      </c>
      <c r="H1782" s="1">
        <v>3</v>
      </c>
      <c r="I1782" s="1" t="str">
        <f>TEXT(SalesTable[[#This Row],[Order_Date]],"mmm")</f>
        <v>Nov</v>
      </c>
      <c r="J1782" s="1">
        <f>YEAR(SalesTable[[#This Row],[Order_Date]])</f>
        <v>2026</v>
      </c>
      <c r="K1782" s="4">
        <v>204.72</v>
      </c>
      <c r="L1782" s="9">
        <f>SalesTable[[#This Row],[Profit]]/SalesTable[[#This Row],[Sales]]</f>
        <v>0.53216875926070339</v>
      </c>
    </row>
    <row r="1783" spans="1:12" ht="14" x14ac:dyDescent="0.15">
      <c r="A1783" s="1">
        <v>11782</v>
      </c>
      <c r="B1783" s="2">
        <v>46343</v>
      </c>
      <c r="C1783" s="1" t="s">
        <v>10</v>
      </c>
      <c r="D1783" s="1" t="s">
        <v>13</v>
      </c>
      <c r="E1783" s="1" t="s">
        <v>20</v>
      </c>
      <c r="F1783" s="1" t="s">
        <v>22</v>
      </c>
      <c r="G1783" s="4">
        <v>272.35000000000002</v>
      </c>
      <c r="H1783" s="1">
        <v>5</v>
      </c>
      <c r="I1783" s="1" t="str">
        <f>TEXT(SalesTable[[#This Row],[Order_Date]],"mmm")</f>
        <v>Nov</v>
      </c>
      <c r="J1783" s="1">
        <f>YEAR(SalesTable[[#This Row],[Order_Date]])</f>
        <v>2026</v>
      </c>
      <c r="K1783" s="4">
        <v>31.64</v>
      </c>
      <c r="L1783" s="9">
        <f>SalesTable[[#This Row],[Profit]]/SalesTable[[#This Row],[Sales]]</f>
        <v>0.11617404075637965</v>
      </c>
    </row>
    <row r="1784" spans="1:12" ht="14" x14ac:dyDescent="0.15">
      <c r="A1784" s="1">
        <v>11783</v>
      </c>
      <c r="B1784" s="2">
        <v>46344</v>
      </c>
      <c r="C1784" s="1" t="s">
        <v>10</v>
      </c>
      <c r="D1784" s="1" t="s">
        <v>14</v>
      </c>
      <c r="E1784" s="1" t="s">
        <v>17</v>
      </c>
      <c r="F1784" s="1" t="s">
        <v>24</v>
      </c>
      <c r="G1784" s="4">
        <v>97.29</v>
      </c>
      <c r="H1784" s="1">
        <v>3</v>
      </c>
      <c r="I1784" s="1" t="str">
        <f>TEXT(SalesTable[[#This Row],[Order_Date]],"mmm")</f>
        <v>Nov</v>
      </c>
      <c r="J1784" s="1">
        <f>YEAR(SalesTable[[#This Row],[Order_Date]])</f>
        <v>2026</v>
      </c>
      <c r="K1784" s="4">
        <v>113.58</v>
      </c>
      <c r="L1784" s="9">
        <f>SalesTable[[#This Row],[Profit]]/SalesTable[[#This Row],[Sales]]</f>
        <v>1.1674375578168361</v>
      </c>
    </row>
    <row r="1785" spans="1:12" ht="14" x14ac:dyDescent="0.15">
      <c r="A1785" s="1">
        <v>11784</v>
      </c>
      <c r="B1785" s="2">
        <v>46345</v>
      </c>
      <c r="C1785" s="1" t="s">
        <v>12</v>
      </c>
      <c r="D1785" s="1" t="s">
        <v>13</v>
      </c>
      <c r="E1785" s="1" t="s">
        <v>16</v>
      </c>
      <c r="F1785" s="1" t="s">
        <v>22</v>
      </c>
      <c r="G1785" s="4">
        <v>305.08</v>
      </c>
      <c r="H1785" s="1">
        <v>8</v>
      </c>
      <c r="I1785" s="1" t="str">
        <f>TEXT(SalesTable[[#This Row],[Order_Date]],"mmm")</f>
        <v>Nov</v>
      </c>
      <c r="J1785" s="1">
        <f>YEAR(SalesTable[[#This Row],[Order_Date]])</f>
        <v>2026</v>
      </c>
      <c r="K1785" s="4">
        <v>-75.33</v>
      </c>
      <c r="L1785" s="9">
        <f>SalesTable[[#This Row],[Profit]]/SalesTable[[#This Row],[Sales]]</f>
        <v>-0.24691884095974828</v>
      </c>
    </row>
    <row r="1786" spans="1:12" ht="14" x14ac:dyDescent="0.15">
      <c r="A1786" s="1">
        <v>11785</v>
      </c>
      <c r="B1786" s="2">
        <v>46346</v>
      </c>
      <c r="C1786" s="1" t="s">
        <v>9</v>
      </c>
      <c r="D1786" s="1" t="s">
        <v>14</v>
      </c>
      <c r="E1786" s="1" t="s">
        <v>18</v>
      </c>
      <c r="F1786" s="1" t="s">
        <v>24</v>
      </c>
      <c r="G1786" s="4">
        <v>671.52</v>
      </c>
      <c r="H1786" s="1">
        <v>3</v>
      </c>
      <c r="I1786" s="1" t="str">
        <f>TEXT(SalesTable[[#This Row],[Order_Date]],"mmm")</f>
        <v>Nov</v>
      </c>
      <c r="J1786" s="1">
        <f>YEAR(SalesTable[[#This Row],[Order_Date]])</f>
        <v>2026</v>
      </c>
      <c r="K1786" s="4">
        <v>-16.5</v>
      </c>
      <c r="L1786" s="9">
        <f>SalesTable[[#This Row],[Profit]]/SalesTable[[#This Row],[Sales]]</f>
        <v>-2.4571122230164402E-2</v>
      </c>
    </row>
    <row r="1787" spans="1:12" ht="14" x14ac:dyDescent="0.15">
      <c r="A1787" s="1">
        <v>11786</v>
      </c>
      <c r="B1787" s="2">
        <v>46347</v>
      </c>
      <c r="C1787" s="1" t="s">
        <v>10</v>
      </c>
      <c r="D1787" s="1" t="s">
        <v>13</v>
      </c>
      <c r="E1787" s="1" t="s">
        <v>20</v>
      </c>
      <c r="F1787" s="1" t="s">
        <v>22</v>
      </c>
      <c r="G1787" s="4">
        <v>556.94000000000005</v>
      </c>
      <c r="H1787" s="1">
        <v>1</v>
      </c>
      <c r="I1787" s="1" t="str">
        <f>TEXT(SalesTable[[#This Row],[Order_Date]],"mmm")</f>
        <v>Nov</v>
      </c>
      <c r="J1787" s="1">
        <f>YEAR(SalesTable[[#This Row],[Order_Date]])</f>
        <v>2026</v>
      </c>
      <c r="K1787" s="4">
        <v>94.33</v>
      </c>
      <c r="L1787" s="9">
        <f>SalesTable[[#This Row],[Profit]]/SalesTable[[#This Row],[Sales]]</f>
        <v>0.16937192516249505</v>
      </c>
    </row>
    <row r="1788" spans="1:12" ht="14" x14ac:dyDescent="0.15">
      <c r="A1788" s="1">
        <v>11787</v>
      </c>
      <c r="B1788" s="2">
        <v>46348</v>
      </c>
      <c r="C1788" s="1" t="s">
        <v>10</v>
      </c>
      <c r="D1788" s="1" t="s">
        <v>15</v>
      </c>
      <c r="E1788" s="1" t="s">
        <v>17</v>
      </c>
      <c r="F1788" s="1" t="s">
        <v>23</v>
      </c>
      <c r="G1788" s="4">
        <v>946.84</v>
      </c>
      <c r="H1788" s="1">
        <v>9</v>
      </c>
      <c r="I1788" s="1" t="str">
        <f>TEXT(SalesTable[[#This Row],[Order_Date]],"mmm")</f>
        <v>Nov</v>
      </c>
      <c r="J1788" s="1">
        <f>YEAR(SalesTable[[#This Row],[Order_Date]])</f>
        <v>2026</v>
      </c>
      <c r="K1788" s="4">
        <v>-65.61</v>
      </c>
      <c r="L1788" s="9">
        <f>SalesTable[[#This Row],[Profit]]/SalesTable[[#This Row],[Sales]]</f>
        <v>-6.9293650458366773E-2</v>
      </c>
    </row>
    <row r="1789" spans="1:12" ht="14" x14ac:dyDescent="0.15">
      <c r="A1789" s="1">
        <v>11788</v>
      </c>
      <c r="B1789" s="2">
        <v>46349</v>
      </c>
      <c r="C1789" s="1" t="s">
        <v>10</v>
      </c>
      <c r="D1789" s="1" t="s">
        <v>15</v>
      </c>
      <c r="E1789" s="1" t="s">
        <v>17</v>
      </c>
      <c r="F1789" s="1" t="s">
        <v>21</v>
      </c>
      <c r="G1789" s="4">
        <v>426.46</v>
      </c>
      <c r="H1789" s="1">
        <v>9</v>
      </c>
      <c r="I1789" s="1" t="str">
        <f>TEXT(SalesTable[[#This Row],[Order_Date]],"mmm")</f>
        <v>Nov</v>
      </c>
      <c r="J1789" s="1">
        <f>YEAR(SalesTable[[#This Row],[Order_Date]])</f>
        <v>2026</v>
      </c>
      <c r="K1789" s="4">
        <v>237.33</v>
      </c>
      <c r="L1789" s="9">
        <f>SalesTable[[#This Row],[Profit]]/SalesTable[[#This Row],[Sales]]</f>
        <v>0.55651174787787838</v>
      </c>
    </row>
    <row r="1790" spans="1:12" ht="14" x14ac:dyDescent="0.15">
      <c r="A1790" s="1">
        <v>11789</v>
      </c>
      <c r="B1790" s="2">
        <v>46350</v>
      </c>
      <c r="C1790" s="1" t="s">
        <v>11</v>
      </c>
      <c r="D1790" s="1" t="s">
        <v>14</v>
      </c>
      <c r="E1790" s="1" t="s">
        <v>16</v>
      </c>
      <c r="F1790" s="1" t="s">
        <v>21</v>
      </c>
      <c r="G1790" s="4">
        <v>709.17</v>
      </c>
      <c r="H1790" s="1">
        <v>6</v>
      </c>
      <c r="I1790" s="1" t="str">
        <f>TEXT(SalesTable[[#This Row],[Order_Date]],"mmm")</f>
        <v>Nov</v>
      </c>
      <c r="J1790" s="1">
        <f>YEAR(SalesTable[[#This Row],[Order_Date]])</f>
        <v>2026</v>
      </c>
      <c r="K1790" s="4">
        <v>187.2</v>
      </c>
      <c r="L1790" s="9">
        <f>SalesTable[[#This Row],[Profit]]/SalesTable[[#This Row],[Sales]]</f>
        <v>0.26397055713016626</v>
      </c>
    </row>
    <row r="1791" spans="1:12" ht="14" x14ac:dyDescent="0.15">
      <c r="A1791" s="1">
        <v>11790</v>
      </c>
      <c r="B1791" s="2">
        <v>46351</v>
      </c>
      <c r="C1791" s="1" t="s">
        <v>12</v>
      </c>
      <c r="D1791" s="1" t="s">
        <v>14</v>
      </c>
      <c r="E1791" s="1" t="s">
        <v>16</v>
      </c>
      <c r="F1791" s="1" t="s">
        <v>25</v>
      </c>
      <c r="G1791" s="4">
        <v>514.86</v>
      </c>
      <c r="H1791" s="1">
        <v>1</v>
      </c>
      <c r="I1791" s="1" t="str">
        <f>TEXT(SalesTable[[#This Row],[Order_Date]],"mmm")</f>
        <v>Nov</v>
      </c>
      <c r="J1791" s="1">
        <f>YEAR(SalesTable[[#This Row],[Order_Date]])</f>
        <v>2026</v>
      </c>
      <c r="K1791" s="4">
        <v>277.45</v>
      </c>
      <c r="L1791" s="9">
        <f>SalesTable[[#This Row],[Profit]]/SalesTable[[#This Row],[Sales]]</f>
        <v>0.53888435691255876</v>
      </c>
    </row>
    <row r="1792" spans="1:12" ht="14" x14ac:dyDescent="0.15">
      <c r="A1792" s="1">
        <v>11791</v>
      </c>
      <c r="B1792" s="2">
        <v>46352</v>
      </c>
      <c r="C1792" s="1" t="s">
        <v>11</v>
      </c>
      <c r="D1792" s="1" t="s">
        <v>14</v>
      </c>
      <c r="E1792" s="1" t="s">
        <v>19</v>
      </c>
      <c r="F1792" s="1" t="s">
        <v>23</v>
      </c>
      <c r="G1792" s="4">
        <v>536.95000000000005</v>
      </c>
      <c r="H1792" s="1">
        <v>8</v>
      </c>
      <c r="I1792" s="1" t="str">
        <f>TEXT(SalesTable[[#This Row],[Order_Date]],"mmm")</f>
        <v>Nov</v>
      </c>
      <c r="J1792" s="1">
        <f>YEAR(SalesTable[[#This Row],[Order_Date]])</f>
        <v>2026</v>
      </c>
      <c r="K1792" s="4">
        <v>177.39</v>
      </c>
      <c r="L1792" s="9">
        <f>SalesTable[[#This Row],[Profit]]/SalesTable[[#This Row],[Sales]]</f>
        <v>0.33036595586181206</v>
      </c>
    </row>
    <row r="1793" spans="1:12" ht="14" x14ac:dyDescent="0.15">
      <c r="A1793" s="1">
        <v>11792</v>
      </c>
      <c r="B1793" s="2">
        <v>46353</v>
      </c>
      <c r="C1793" s="1" t="s">
        <v>12</v>
      </c>
      <c r="D1793" s="1" t="s">
        <v>13</v>
      </c>
      <c r="E1793" s="1" t="s">
        <v>20</v>
      </c>
      <c r="F1793" s="1" t="s">
        <v>21</v>
      </c>
      <c r="G1793" s="4">
        <v>304.39</v>
      </c>
      <c r="H1793" s="1">
        <v>2</v>
      </c>
      <c r="I1793" s="1" t="str">
        <f>TEXT(SalesTable[[#This Row],[Order_Date]],"mmm")</f>
        <v>Nov</v>
      </c>
      <c r="J1793" s="1">
        <f>YEAR(SalesTable[[#This Row],[Order_Date]])</f>
        <v>2026</v>
      </c>
      <c r="K1793" s="4">
        <v>276.16000000000003</v>
      </c>
      <c r="L1793" s="9">
        <f>SalesTable[[#This Row],[Profit]]/SalesTable[[#This Row],[Sales]]</f>
        <v>0.90725713722527035</v>
      </c>
    </row>
    <row r="1794" spans="1:12" ht="14" x14ac:dyDescent="0.15">
      <c r="A1794" s="1">
        <v>11793</v>
      </c>
      <c r="B1794" s="2">
        <v>46354</v>
      </c>
      <c r="C1794" s="1" t="s">
        <v>9</v>
      </c>
      <c r="D1794" s="1" t="s">
        <v>14</v>
      </c>
      <c r="E1794" s="1" t="s">
        <v>19</v>
      </c>
      <c r="F1794" s="1" t="s">
        <v>25</v>
      </c>
      <c r="G1794" s="4">
        <v>482.2</v>
      </c>
      <c r="H1794" s="1">
        <v>9</v>
      </c>
      <c r="I1794" s="1" t="str">
        <f>TEXT(SalesTable[[#This Row],[Order_Date]],"mmm")</f>
        <v>Nov</v>
      </c>
      <c r="J1794" s="1">
        <f>YEAR(SalesTable[[#This Row],[Order_Date]])</f>
        <v>2026</v>
      </c>
      <c r="K1794" s="4">
        <v>121.81</v>
      </c>
      <c r="L1794" s="9">
        <f>SalesTable[[#This Row],[Profit]]/SalesTable[[#This Row],[Sales]]</f>
        <v>0.25261302364164251</v>
      </c>
    </row>
    <row r="1795" spans="1:12" ht="14" x14ac:dyDescent="0.15">
      <c r="A1795" s="1">
        <v>11794</v>
      </c>
      <c r="B1795" s="2">
        <v>46355</v>
      </c>
      <c r="C1795" s="1" t="s">
        <v>9</v>
      </c>
      <c r="D1795" s="1" t="s">
        <v>15</v>
      </c>
      <c r="E1795" s="1" t="s">
        <v>17</v>
      </c>
      <c r="F1795" s="1" t="s">
        <v>23</v>
      </c>
      <c r="G1795" s="4">
        <v>497.25</v>
      </c>
      <c r="H1795" s="1">
        <v>8</v>
      </c>
      <c r="I1795" s="1" t="str">
        <f>TEXT(SalesTable[[#This Row],[Order_Date]],"mmm")</f>
        <v>Nov</v>
      </c>
      <c r="J1795" s="1">
        <f>YEAR(SalesTable[[#This Row],[Order_Date]])</f>
        <v>2026</v>
      </c>
      <c r="K1795" s="4">
        <v>140.09</v>
      </c>
      <c r="L1795" s="9">
        <f>SalesTable[[#This Row],[Profit]]/SalesTable[[#This Row],[Sales]]</f>
        <v>0.28172951231774762</v>
      </c>
    </row>
    <row r="1796" spans="1:12" ht="14" x14ac:dyDescent="0.15">
      <c r="A1796" s="1">
        <v>11795</v>
      </c>
      <c r="B1796" s="2">
        <v>46356</v>
      </c>
      <c r="C1796" s="1" t="s">
        <v>10</v>
      </c>
      <c r="D1796" s="1" t="s">
        <v>13</v>
      </c>
      <c r="E1796" s="1" t="s">
        <v>18</v>
      </c>
      <c r="F1796" s="1" t="s">
        <v>21</v>
      </c>
      <c r="G1796" s="4">
        <v>721.31</v>
      </c>
      <c r="H1796" s="1">
        <v>3</v>
      </c>
      <c r="I1796" s="1" t="str">
        <f>TEXT(SalesTable[[#This Row],[Order_Date]],"mmm")</f>
        <v>Nov</v>
      </c>
      <c r="J1796" s="1">
        <f>YEAR(SalesTable[[#This Row],[Order_Date]])</f>
        <v>2026</v>
      </c>
      <c r="K1796" s="4">
        <v>290.79000000000002</v>
      </c>
      <c r="L1796" s="9">
        <f>SalesTable[[#This Row],[Profit]]/SalesTable[[#This Row],[Sales]]</f>
        <v>0.40314150642580865</v>
      </c>
    </row>
    <row r="1797" spans="1:12" ht="14" x14ac:dyDescent="0.15">
      <c r="A1797" s="1">
        <v>11796</v>
      </c>
      <c r="B1797" s="2">
        <v>46357</v>
      </c>
      <c r="C1797" s="1" t="s">
        <v>12</v>
      </c>
      <c r="D1797" s="1" t="s">
        <v>14</v>
      </c>
      <c r="E1797" s="1" t="s">
        <v>18</v>
      </c>
      <c r="F1797" s="1" t="s">
        <v>22</v>
      </c>
      <c r="G1797" s="4">
        <v>943.61</v>
      </c>
      <c r="H1797" s="1">
        <v>5</v>
      </c>
      <c r="I1797" s="1" t="str">
        <f>TEXT(SalesTable[[#This Row],[Order_Date]],"mmm")</f>
        <v>Dec</v>
      </c>
      <c r="J1797" s="1">
        <f>YEAR(SalesTable[[#This Row],[Order_Date]])</f>
        <v>2026</v>
      </c>
      <c r="K1797" s="4">
        <v>156.85</v>
      </c>
      <c r="L1797" s="9">
        <f>SalesTable[[#This Row],[Profit]]/SalesTable[[#This Row],[Sales]]</f>
        <v>0.1662233337925626</v>
      </c>
    </row>
    <row r="1798" spans="1:12" ht="14" x14ac:dyDescent="0.15">
      <c r="A1798" s="1">
        <v>11797</v>
      </c>
      <c r="B1798" s="2">
        <v>46358</v>
      </c>
      <c r="C1798" s="1" t="s">
        <v>9</v>
      </c>
      <c r="D1798" s="1" t="s">
        <v>13</v>
      </c>
      <c r="E1798" s="1" t="s">
        <v>16</v>
      </c>
      <c r="F1798" s="1" t="s">
        <v>24</v>
      </c>
      <c r="G1798" s="4">
        <v>362.86</v>
      </c>
      <c r="H1798" s="1">
        <v>9</v>
      </c>
      <c r="I1798" s="1" t="str">
        <f>TEXT(SalesTable[[#This Row],[Order_Date]],"mmm")</f>
        <v>Dec</v>
      </c>
      <c r="J1798" s="1">
        <f>YEAR(SalesTable[[#This Row],[Order_Date]])</f>
        <v>2026</v>
      </c>
      <c r="K1798" s="4">
        <v>-87.69</v>
      </c>
      <c r="L1798" s="9">
        <f>SalesTable[[#This Row],[Profit]]/SalesTable[[#This Row],[Sales]]</f>
        <v>-0.24166345146888607</v>
      </c>
    </row>
    <row r="1799" spans="1:12" ht="14" x14ac:dyDescent="0.15">
      <c r="A1799" s="1">
        <v>11798</v>
      </c>
      <c r="B1799" s="2">
        <v>46359</v>
      </c>
      <c r="C1799" s="1" t="s">
        <v>12</v>
      </c>
      <c r="D1799" s="1" t="s">
        <v>13</v>
      </c>
      <c r="E1799" s="1" t="s">
        <v>18</v>
      </c>
      <c r="F1799" s="1" t="s">
        <v>23</v>
      </c>
      <c r="G1799" s="4">
        <v>90.09</v>
      </c>
      <c r="H1799" s="1">
        <v>1</v>
      </c>
      <c r="I1799" s="1" t="str">
        <f>TEXT(SalesTable[[#This Row],[Order_Date]],"mmm")</f>
        <v>Dec</v>
      </c>
      <c r="J1799" s="1">
        <f>YEAR(SalesTable[[#This Row],[Order_Date]])</f>
        <v>2026</v>
      </c>
      <c r="K1799" s="4">
        <v>189.52</v>
      </c>
      <c r="L1799" s="9">
        <f>SalesTable[[#This Row],[Profit]]/SalesTable[[#This Row],[Sales]]</f>
        <v>2.1036741036741038</v>
      </c>
    </row>
    <row r="1800" spans="1:12" ht="14" x14ac:dyDescent="0.15">
      <c r="A1800" s="1">
        <v>11799</v>
      </c>
      <c r="B1800" s="2">
        <v>46360</v>
      </c>
      <c r="C1800" s="1" t="s">
        <v>9</v>
      </c>
      <c r="D1800" s="1" t="s">
        <v>14</v>
      </c>
      <c r="E1800" s="1" t="s">
        <v>18</v>
      </c>
      <c r="F1800" s="1" t="s">
        <v>25</v>
      </c>
      <c r="G1800" s="4">
        <v>521.48</v>
      </c>
      <c r="H1800" s="1">
        <v>9</v>
      </c>
      <c r="I1800" s="1" t="str">
        <f>TEXT(SalesTable[[#This Row],[Order_Date]],"mmm")</f>
        <v>Dec</v>
      </c>
      <c r="J1800" s="1">
        <f>YEAR(SalesTable[[#This Row],[Order_Date]])</f>
        <v>2026</v>
      </c>
      <c r="K1800" s="4">
        <v>262.19</v>
      </c>
      <c r="L1800" s="9">
        <f>SalesTable[[#This Row],[Profit]]/SalesTable[[#This Row],[Sales]]</f>
        <v>0.50278054767201041</v>
      </c>
    </row>
    <row r="1801" spans="1:12" ht="14" x14ac:dyDescent="0.15">
      <c r="A1801" s="1">
        <v>11800</v>
      </c>
      <c r="B1801" s="2">
        <v>46361</v>
      </c>
      <c r="C1801" s="1" t="s">
        <v>11</v>
      </c>
      <c r="D1801" s="1" t="s">
        <v>13</v>
      </c>
      <c r="E1801" s="1" t="s">
        <v>18</v>
      </c>
      <c r="F1801" s="1" t="s">
        <v>23</v>
      </c>
      <c r="G1801" s="4">
        <v>567.24</v>
      </c>
      <c r="H1801" s="1">
        <v>4</v>
      </c>
      <c r="I1801" s="1" t="str">
        <f>TEXT(SalesTable[[#This Row],[Order_Date]],"mmm")</f>
        <v>Dec</v>
      </c>
      <c r="J1801" s="1">
        <f>YEAR(SalesTable[[#This Row],[Order_Date]])</f>
        <v>2026</v>
      </c>
      <c r="K1801" s="4">
        <v>218.23</v>
      </c>
      <c r="L1801" s="9">
        <f>SalesTable[[#This Row],[Profit]]/SalesTable[[#This Row],[Sales]]</f>
        <v>0.38472251604259217</v>
      </c>
    </row>
    <row r="1802" spans="1:12" ht="14" x14ac:dyDescent="0.15">
      <c r="A1802" s="1">
        <v>11801</v>
      </c>
      <c r="B1802" s="2">
        <v>46362</v>
      </c>
      <c r="C1802" s="1" t="s">
        <v>9</v>
      </c>
      <c r="D1802" s="1" t="s">
        <v>15</v>
      </c>
      <c r="E1802" s="1" t="s">
        <v>17</v>
      </c>
      <c r="F1802" s="1" t="s">
        <v>25</v>
      </c>
      <c r="G1802" s="4">
        <v>210.02</v>
      </c>
      <c r="H1802" s="1">
        <v>4</v>
      </c>
      <c r="I1802" s="1" t="str">
        <f>TEXT(SalesTable[[#This Row],[Order_Date]],"mmm")</f>
        <v>Dec</v>
      </c>
      <c r="J1802" s="1">
        <f>YEAR(SalesTable[[#This Row],[Order_Date]])</f>
        <v>2026</v>
      </c>
      <c r="K1802" s="4">
        <v>133.53</v>
      </c>
      <c r="L1802" s="9">
        <f>SalesTable[[#This Row],[Profit]]/SalesTable[[#This Row],[Sales]]</f>
        <v>0.63579659080087603</v>
      </c>
    </row>
    <row r="1803" spans="1:12" ht="14" x14ac:dyDescent="0.15">
      <c r="A1803" s="1">
        <v>11802</v>
      </c>
      <c r="B1803" s="2">
        <v>46363</v>
      </c>
      <c r="C1803" s="1" t="s">
        <v>11</v>
      </c>
      <c r="D1803" s="1" t="s">
        <v>15</v>
      </c>
      <c r="E1803" s="1" t="s">
        <v>18</v>
      </c>
      <c r="F1803" s="1" t="s">
        <v>23</v>
      </c>
      <c r="G1803" s="4">
        <v>772.44</v>
      </c>
      <c r="H1803" s="1">
        <v>4</v>
      </c>
      <c r="I1803" s="1" t="str">
        <f>TEXT(SalesTable[[#This Row],[Order_Date]],"mmm")</f>
        <v>Dec</v>
      </c>
      <c r="J1803" s="1">
        <f>YEAR(SalesTable[[#This Row],[Order_Date]])</f>
        <v>2026</v>
      </c>
      <c r="K1803" s="4">
        <v>168.52</v>
      </c>
      <c r="L1803" s="9">
        <f>SalesTable[[#This Row],[Profit]]/SalesTable[[#This Row],[Sales]]</f>
        <v>0.21816581223137071</v>
      </c>
    </row>
    <row r="1804" spans="1:12" ht="14" x14ac:dyDescent="0.15">
      <c r="A1804" s="1">
        <v>11803</v>
      </c>
      <c r="B1804" s="2">
        <v>46364</v>
      </c>
      <c r="C1804" s="1" t="s">
        <v>9</v>
      </c>
      <c r="D1804" s="1" t="s">
        <v>13</v>
      </c>
      <c r="E1804" s="1" t="s">
        <v>18</v>
      </c>
      <c r="F1804" s="1" t="s">
        <v>25</v>
      </c>
      <c r="G1804" s="4">
        <v>985.68</v>
      </c>
      <c r="H1804" s="1">
        <v>9</v>
      </c>
      <c r="I1804" s="1" t="str">
        <f>TEXT(SalesTable[[#This Row],[Order_Date]],"mmm")</f>
        <v>Dec</v>
      </c>
      <c r="J1804" s="1">
        <f>YEAR(SalesTable[[#This Row],[Order_Date]])</f>
        <v>2026</v>
      </c>
      <c r="K1804" s="4">
        <v>296.08</v>
      </c>
      <c r="L1804" s="9">
        <f>SalesTable[[#This Row],[Profit]]/SalesTable[[#This Row],[Sales]]</f>
        <v>0.30038146254362469</v>
      </c>
    </row>
    <row r="1805" spans="1:12" ht="14" x14ac:dyDescent="0.15">
      <c r="A1805" s="1">
        <v>11804</v>
      </c>
      <c r="B1805" s="2">
        <v>46365</v>
      </c>
      <c r="C1805" s="1" t="s">
        <v>10</v>
      </c>
      <c r="D1805" s="1" t="s">
        <v>14</v>
      </c>
      <c r="E1805" s="1" t="s">
        <v>18</v>
      </c>
      <c r="F1805" s="1" t="s">
        <v>21</v>
      </c>
      <c r="G1805" s="4">
        <v>948.49</v>
      </c>
      <c r="H1805" s="1">
        <v>6</v>
      </c>
      <c r="I1805" s="1" t="str">
        <f>TEXT(SalesTable[[#This Row],[Order_Date]],"mmm")</f>
        <v>Dec</v>
      </c>
      <c r="J1805" s="1">
        <f>YEAR(SalesTable[[#This Row],[Order_Date]])</f>
        <v>2026</v>
      </c>
      <c r="K1805" s="4">
        <v>-63.74</v>
      </c>
      <c r="L1805" s="9">
        <f>SalesTable[[#This Row],[Profit]]/SalesTable[[#This Row],[Sales]]</f>
        <v>-6.7201551940452728E-2</v>
      </c>
    </row>
    <row r="1806" spans="1:12" ht="14" x14ac:dyDescent="0.15">
      <c r="A1806" s="1">
        <v>11805</v>
      </c>
      <c r="B1806" s="2">
        <v>46366</v>
      </c>
      <c r="C1806" s="1" t="s">
        <v>11</v>
      </c>
      <c r="D1806" s="1" t="s">
        <v>13</v>
      </c>
      <c r="E1806" s="1" t="s">
        <v>19</v>
      </c>
      <c r="F1806" s="1" t="s">
        <v>22</v>
      </c>
      <c r="G1806" s="4">
        <v>237.25</v>
      </c>
      <c r="H1806" s="1">
        <v>8</v>
      </c>
      <c r="I1806" s="1" t="str">
        <f>TEXT(SalesTable[[#This Row],[Order_Date]],"mmm")</f>
        <v>Dec</v>
      </c>
      <c r="J1806" s="1">
        <f>YEAR(SalesTable[[#This Row],[Order_Date]])</f>
        <v>2026</v>
      </c>
      <c r="K1806" s="4">
        <v>166.9</v>
      </c>
      <c r="L1806" s="9">
        <f>SalesTable[[#This Row],[Profit]]/SalesTable[[#This Row],[Sales]]</f>
        <v>0.70347734457323496</v>
      </c>
    </row>
    <row r="1807" spans="1:12" ht="14" x14ac:dyDescent="0.15">
      <c r="A1807" s="1">
        <v>11806</v>
      </c>
      <c r="B1807" s="2">
        <v>46367</v>
      </c>
      <c r="C1807" s="1" t="s">
        <v>9</v>
      </c>
      <c r="D1807" s="1" t="s">
        <v>15</v>
      </c>
      <c r="E1807" s="1" t="s">
        <v>17</v>
      </c>
      <c r="F1807" s="1" t="s">
        <v>21</v>
      </c>
      <c r="G1807" s="4">
        <v>881.6</v>
      </c>
      <c r="H1807" s="1">
        <v>4</v>
      </c>
      <c r="I1807" s="1" t="str">
        <f>TEXT(SalesTable[[#This Row],[Order_Date]],"mmm")</f>
        <v>Dec</v>
      </c>
      <c r="J1807" s="1">
        <f>YEAR(SalesTable[[#This Row],[Order_Date]])</f>
        <v>2026</v>
      </c>
      <c r="K1807" s="4">
        <v>13.36</v>
      </c>
      <c r="L1807" s="9">
        <f>SalesTable[[#This Row],[Profit]]/SalesTable[[#This Row],[Sales]]</f>
        <v>1.5154264972776768E-2</v>
      </c>
    </row>
    <row r="1808" spans="1:12" ht="14" x14ac:dyDescent="0.15">
      <c r="A1808" s="1">
        <v>11807</v>
      </c>
      <c r="B1808" s="2">
        <v>46368</v>
      </c>
      <c r="C1808" s="1" t="s">
        <v>10</v>
      </c>
      <c r="D1808" s="1" t="s">
        <v>13</v>
      </c>
      <c r="E1808" s="1" t="s">
        <v>16</v>
      </c>
      <c r="F1808" s="1" t="s">
        <v>22</v>
      </c>
      <c r="G1808" s="4">
        <v>719.27</v>
      </c>
      <c r="H1808" s="1">
        <v>3</v>
      </c>
      <c r="I1808" s="1" t="str">
        <f>TEXT(SalesTable[[#This Row],[Order_Date]],"mmm")</f>
        <v>Dec</v>
      </c>
      <c r="J1808" s="1">
        <f>YEAR(SalesTable[[#This Row],[Order_Date]])</f>
        <v>2026</v>
      </c>
      <c r="K1808" s="4">
        <v>156.04</v>
      </c>
      <c r="L1808" s="9">
        <f>SalesTable[[#This Row],[Profit]]/SalesTable[[#This Row],[Sales]]</f>
        <v>0.21694217748550612</v>
      </c>
    </row>
    <row r="1809" spans="1:12" ht="14" x14ac:dyDescent="0.15">
      <c r="A1809" s="1">
        <v>11808</v>
      </c>
      <c r="B1809" s="2">
        <v>46369</v>
      </c>
      <c r="C1809" s="1" t="s">
        <v>11</v>
      </c>
      <c r="D1809" s="1" t="s">
        <v>13</v>
      </c>
      <c r="E1809" s="1" t="s">
        <v>19</v>
      </c>
      <c r="F1809" s="1" t="s">
        <v>21</v>
      </c>
      <c r="G1809" s="4">
        <v>481.15</v>
      </c>
      <c r="H1809" s="1">
        <v>1</v>
      </c>
      <c r="I1809" s="1" t="str">
        <f>TEXT(SalesTable[[#This Row],[Order_Date]],"mmm")</f>
        <v>Dec</v>
      </c>
      <c r="J1809" s="1">
        <f>YEAR(SalesTable[[#This Row],[Order_Date]])</f>
        <v>2026</v>
      </c>
      <c r="K1809" s="4">
        <v>143.05000000000001</v>
      </c>
      <c r="L1809" s="9">
        <f>SalesTable[[#This Row],[Profit]]/SalesTable[[#This Row],[Sales]]</f>
        <v>0.29730853164293886</v>
      </c>
    </row>
    <row r="1810" spans="1:12" ht="14" x14ac:dyDescent="0.15">
      <c r="A1810" s="1">
        <v>11809</v>
      </c>
      <c r="B1810" s="2">
        <v>46370</v>
      </c>
      <c r="C1810" s="1" t="s">
        <v>10</v>
      </c>
      <c r="D1810" s="1" t="s">
        <v>15</v>
      </c>
      <c r="E1810" s="1" t="s">
        <v>20</v>
      </c>
      <c r="F1810" s="1" t="s">
        <v>21</v>
      </c>
      <c r="G1810" s="4">
        <v>563.58000000000004</v>
      </c>
      <c r="H1810" s="1">
        <v>7</v>
      </c>
      <c r="I1810" s="1" t="str">
        <f>TEXT(SalesTable[[#This Row],[Order_Date]],"mmm")</f>
        <v>Dec</v>
      </c>
      <c r="J1810" s="1">
        <f>YEAR(SalesTable[[#This Row],[Order_Date]])</f>
        <v>2026</v>
      </c>
      <c r="K1810" s="4">
        <v>-38.619999999999997</v>
      </c>
      <c r="L1810" s="9">
        <f>SalesTable[[#This Row],[Profit]]/SalesTable[[#This Row],[Sales]]</f>
        <v>-6.8526207459455618E-2</v>
      </c>
    </row>
    <row r="1811" spans="1:12" ht="14" x14ac:dyDescent="0.15">
      <c r="A1811" s="1">
        <v>11810</v>
      </c>
      <c r="B1811" s="2">
        <v>46371</v>
      </c>
      <c r="C1811" s="1" t="s">
        <v>12</v>
      </c>
      <c r="D1811" s="1" t="s">
        <v>13</v>
      </c>
      <c r="E1811" s="1" t="s">
        <v>17</v>
      </c>
      <c r="F1811" s="1" t="s">
        <v>23</v>
      </c>
      <c r="G1811" s="4">
        <v>857.12</v>
      </c>
      <c r="H1811" s="1">
        <v>4</v>
      </c>
      <c r="I1811" s="1" t="str">
        <f>TEXT(SalesTable[[#This Row],[Order_Date]],"mmm")</f>
        <v>Dec</v>
      </c>
      <c r="J1811" s="1">
        <f>YEAR(SalesTable[[#This Row],[Order_Date]])</f>
        <v>2026</v>
      </c>
      <c r="K1811" s="4">
        <v>-17.3</v>
      </c>
      <c r="L1811" s="9">
        <f>SalesTable[[#This Row],[Profit]]/SalesTable[[#This Row],[Sales]]</f>
        <v>-2.0183871569908533E-2</v>
      </c>
    </row>
    <row r="1812" spans="1:12" ht="14" x14ac:dyDescent="0.15">
      <c r="A1812" s="1">
        <v>11811</v>
      </c>
      <c r="B1812" s="2">
        <v>46372</v>
      </c>
      <c r="C1812" s="1" t="s">
        <v>12</v>
      </c>
      <c r="D1812" s="1" t="s">
        <v>13</v>
      </c>
      <c r="E1812" s="1" t="s">
        <v>17</v>
      </c>
      <c r="F1812" s="1" t="s">
        <v>24</v>
      </c>
      <c r="G1812" s="4">
        <v>506.13</v>
      </c>
      <c r="H1812" s="1">
        <v>8</v>
      </c>
      <c r="I1812" s="1" t="str">
        <f>TEXT(SalesTable[[#This Row],[Order_Date]],"mmm")</f>
        <v>Dec</v>
      </c>
      <c r="J1812" s="1">
        <f>YEAR(SalesTable[[#This Row],[Order_Date]])</f>
        <v>2026</v>
      </c>
      <c r="K1812" s="4">
        <v>148.65</v>
      </c>
      <c r="L1812" s="9">
        <f>SalesTable[[#This Row],[Profit]]/SalesTable[[#This Row],[Sales]]</f>
        <v>0.29369924722897278</v>
      </c>
    </row>
    <row r="1813" spans="1:12" ht="14" x14ac:dyDescent="0.15">
      <c r="A1813" s="1">
        <v>11812</v>
      </c>
      <c r="B1813" s="2">
        <v>46373</v>
      </c>
      <c r="C1813" s="1" t="s">
        <v>11</v>
      </c>
      <c r="D1813" s="1" t="s">
        <v>14</v>
      </c>
      <c r="E1813" s="1" t="s">
        <v>20</v>
      </c>
      <c r="F1813" s="1" t="s">
        <v>25</v>
      </c>
      <c r="G1813" s="4">
        <v>404.55</v>
      </c>
      <c r="H1813" s="1">
        <v>3</v>
      </c>
      <c r="I1813" s="1" t="str">
        <f>TEXT(SalesTable[[#This Row],[Order_Date]],"mmm")</f>
        <v>Dec</v>
      </c>
      <c r="J1813" s="1">
        <f>YEAR(SalesTable[[#This Row],[Order_Date]])</f>
        <v>2026</v>
      </c>
      <c r="K1813" s="4">
        <v>-48.71</v>
      </c>
      <c r="L1813" s="9">
        <f>SalesTable[[#This Row],[Profit]]/SalesTable[[#This Row],[Sales]]</f>
        <v>-0.12040538870349771</v>
      </c>
    </row>
    <row r="1814" spans="1:12" ht="14" x14ac:dyDescent="0.15">
      <c r="A1814" s="1">
        <v>11813</v>
      </c>
      <c r="B1814" s="2">
        <v>46374</v>
      </c>
      <c r="C1814" s="1" t="s">
        <v>9</v>
      </c>
      <c r="D1814" s="1" t="s">
        <v>14</v>
      </c>
      <c r="E1814" s="1" t="s">
        <v>20</v>
      </c>
      <c r="F1814" s="1" t="s">
        <v>25</v>
      </c>
      <c r="G1814" s="4">
        <v>518.59</v>
      </c>
      <c r="H1814" s="1">
        <v>1</v>
      </c>
      <c r="I1814" s="1" t="str">
        <f>TEXT(SalesTable[[#This Row],[Order_Date]],"mmm")</f>
        <v>Dec</v>
      </c>
      <c r="J1814" s="1">
        <f>YEAR(SalesTable[[#This Row],[Order_Date]])</f>
        <v>2026</v>
      </c>
      <c r="K1814" s="4">
        <v>6.07</v>
      </c>
      <c r="L1814" s="9">
        <f>SalesTable[[#This Row],[Profit]]/SalesTable[[#This Row],[Sales]]</f>
        <v>1.1704814979077884E-2</v>
      </c>
    </row>
    <row r="1815" spans="1:12" ht="14" x14ac:dyDescent="0.15">
      <c r="A1815" s="1">
        <v>11814</v>
      </c>
      <c r="B1815" s="2">
        <v>46375</v>
      </c>
      <c r="C1815" s="1" t="s">
        <v>11</v>
      </c>
      <c r="D1815" s="1" t="s">
        <v>15</v>
      </c>
      <c r="E1815" s="1" t="s">
        <v>20</v>
      </c>
      <c r="F1815" s="1" t="s">
        <v>25</v>
      </c>
      <c r="G1815" s="4">
        <v>600.16999999999996</v>
      </c>
      <c r="H1815" s="1">
        <v>5</v>
      </c>
      <c r="I1815" s="1" t="str">
        <f>TEXT(SalesTable[[#This Row],[Order_Date]],"mmm")</f>
        <v>Dec</v>
      </c>
      <c r="J1815" s="1">
        <f>YEAR(SalesTable[[#This Row],[Order_Date]])</f>
        <v>2026</v>
      </c>
      <c r="K1815" s="4">
        <v>234.1</v>
      </c>
      <c r="L1815" s="9">
        <f>SalesTable[[#This Row],[Profit]]/SalesTable[[#This Row],[Sales]]</f>
        <v>0.39005615075728545</v>
      </c>
    </row>
    <row r="1816" spans="1:12" ht="14" x14ac:dyDescent="0.15">
      <c r="A1816" s="1">
        <v>11815</v>
      </c>
      <c r="B1816" s="2">
        <v>46376</v>
      </c>
      <c r="C1816" s="1" t="s">
        <v>10</v>
      </c>
      <c r="D1816" s="1" t="s">
        <v>15</v>
      </c>
      <c r="E1816" s="1" t="s">
        <v>16</v>
      </c>
      <c r="F1816" s="1" t="s">
        <v>22</v>
      </c>
      <c r="G1816" s="4">
        <v>229.62</v>
      </c>
      <c r="H1816" s="1">
        <v>2</v>
      </c>
      <c r="I1816" s="1" t="str">
        <f>TEXT(SalesTable[[#This Row],[Order_Date]],"mmm")</f>
        <v>Dec</v>
      </c>
      <c r="J1816" s="1">
        <f>YEAR(SalesTable[[#This Row],[Order_Date]])</f>
        <v>2026</v>
      </c>
      <c r="K1816" s="4">
        <v>30.84</v>
      </c>
      <c r="L1816" s="9">
        <f>SalesTable[[#This Row],[Profit]]/SalesTable[[#This Row],[Sales]]</f>
        <v>0.13430885811340476</v>
      </c>
    </row>
    <row r="1817" spans="1:12" ht="14" x14ac:dyDescent="0.15">
      <c r="A1817" s="1">
        <v>11816</v>
      </c>
      <c r="B1817" s="2">
        <v>46377</v>
      </c>
      <c r="C1817" s="1" t="s">
        <v>9</v>
      </c>
      <c r="D1817" s="1" t="s">
        <v>15</v>
      </c>
      <c r="E1817" s="1" t="s">
        <v>18</v>
      </c>
      <c r="F1817" s="1" t="s">
        <v>25</v>
      </c>
      <c r="G1817" s="4">
        <v>905.86</v>
      </c>
      <c r="H1817" s="1">
        <v>3</v>
      </c>
      <c r="I1817" s="1" t="str">
        <f>TEXT(SalesTable[[#This Row],[Order_Date]],"mmm")</f>
        <v>Dec</v>
      </c>
      <c r="J1817" s="1">
        <f>YEAR(SalesTable[[#This Row],[Order_Date]])</f>
        <v>2026</v>
      </c>
      <c r="K1817" s="4">
        <v>95.22</v>
      </c>
      <c r="L1817" s="9">
        <f>SalesTable[[#This Row],[Profit]]/SalesTable[[#This Row],[Sales]]</f>
        <v>0.10511558077407104</v>
      </c>
    </row>
    <row r="1818" spans="1:12" ht="14" x14ac:dyDescent="0.15">
      <c r="A1818" s="1">
        <v>11817</v>
      </c>
      <c r="B1818" s="2">
        <v>46378</v>
      </c>
      <c r="C1818" s="1" t="s">
        <v>12</v>
      </c>
      <c r="D1818" s="1" t="s">
        <v>14</v>
      </c>
      <c r="E1818" s="1" t="s">
        <v>17</v>
      </c>
      <c r="F1818" s="1" t="s">
        <v>25</v>
      </c>
      <c r="G1818" s="4">
        <v>690.48</v>
      </c>
      <c r="H1818" s="1">
        <v>6</v>
      </c>
      <c r="I1818" s="1" t="str">
        <f>TEXT(SalesTable[[#This Row],[Order_Date]],"mmm")</f>
        <v>Dec</v>
      </c>
      <c r="J1818" s="1">
        <f>YEAR(SalesTable[[#This Row],[Order_Date]])</f>
        <v>2026</v>
      </c>
      <c r="K1818" s="4">
        <v>276.45999999999998</v>
      </c>
      <c r="L1818" s="9">
        <f>SalesTable[[#This Row],[Profit]]/SalesTable[[#This Row],[Sales]]</f>
        <v>0.40038813578959559</v>
      </c>
    </row>
    <row r="1819" spans="1:12" ht="14" x14ac:dyDescent="0.15">
      <c r="A1819" s="1">
        <v>11818</v>
      </c>
      <c r="B1819" s="2">
        <v>46379</v>
      </c>
      <c r="C1819" s="1" t="s">
        <v>9</v>
      </c>
      <c r="D1819" s="1" t="s">
        <v>15</v>
      </c>
      <c r="E1819" s="1" t="s">
        <v>18</v>
      </c>
      <c r="F1819" s="1" t="s">
        <v>23</v>
      </c>
      <c r="G1819" s="4">
        <v>651.61</v>
      </c>
      <c r="H1819" s="1">
        <v>3</v>
      </c>
      <c r="I1819" s="1" t="str">
        <f>TEXT(SalesTable[[#This Row],[Order_Date]],"mmm")</f>
        <v>Dec</v>
      </c>
      <c r="J1819" s="1">
        <f>YEAR(SalesTable[[#This Row],[Order_Date]])</f>
        <v>2026</v>
      </c>
      <c r="K1819" s="4">
        <v>-9.14</v>
      </c>
      <c r="L1819" s="9">
        <f>SalesTable[[#This Row],[Profit]]/SalesTable[[#This Row],[Sales]]</f>
        <v>-1.4026795168889368E-2</v>
      </c>
    </row>
    <row r="1820" spans="1:12" ht="14" x14ac:dyDescent="0.15">
      <c r="A1820" s="1">
        <v>11819</v>
      </c>
      <c r="B1820" s="2">
        <v>46380</v>
      </c>
      <c r="C1820" s="1" t="s">
        <v>12</v>
      </c>
      <c r="D1820" s="1" t="s">
        <v>15</v>
      </c>
      <c r="E1820" s="1" t="s">
        <v>18</v>
      </c>
      <c r="F1820" s="1" t="s">
        <v>21</v>
      </c>
      <c r="G1820" s="4">
        <v>144.52000000000001</v>
      </c>
      <c r="H1820" s="1">
        <v>3</v>
      </c>
      <c r="I1820" s="1" t="str">
        <f>TEXT(SalesTable[[#This Row],[Order_Date]],"mmm")</f>
        <v>Dec</v>
      </c>
      <c r="J1820" s="1">
        <f>YEAR(SalesTable[[#This Row],[Order_Date]])</f>
        <v>2026</v>
      </c>
      <c r="K1820" s="4">
        <v>55.85</v>
      </c>
      <c r="L1820" s="9">
        <f>SalesTable[[#This Row],[Profit]]/SalesTable[[#This Row],[Sales]]</f>
        <v>0.38645170218654856</v>
      </c>
    </row>
    <row r="1821" spans="1:12" ht="14" x14ac:dyDescent="0.15">
      <c r="A1821" s="1">
        <v>11820</v>
      </c>
      <c r="B1821" s="2">
        <v>46381</v>
      </c>
      <c r="C1821" s="1" t="s">
        <v>9</v>
      </c>
      <c r="D1821" s="1" t="s">
        <v>15</v>
      </c>
      <c r="E1821" s="1" t="s">
        <v>20</v>
      </c>
      <c r="F1821" s="1" t="s">
        <v>25</v>
      </c>
      <c r="G1821" s="4">
        <v>623.97</v>
      </c>
      <c r="H1821" s="1">
        <v>6</v>
      </c>
      <c r="I1821" s="1" t="str">
        <f>TEXT(SalesTable[[#This Row],[Order_Date]],"mmm")</f>
        <v>Dec</v>
      </c>
      <c r="J1821" s="1">
        <f>YEAR(SalesTable[[#This Row],[Order_Date]])</f>
        <v>2026</v>
      </c>
      <c r="K1821" s="4">
        <v>142.58000000000001</v>
      </c>
      <c r="L1821" s="9">
        <f>SalesTable[[#This Row],[Profit]]/SalesTable[[#This Row],[Sales]]</f>
        <v>0.22850457554049075</v>
      </c>
    </row>
    <row r="1822" spans="1:12" ht="14" x14ac:dyDescent="0.15">
      <c r="A1822" s="1">
        <v>11821</v>
      </c>
      <c r="B1822" s="2">
        <v>46382</v>
      </c>
      <c r="C1822" s="1" t="s">
        <v>9</v>
      </c>
      <c r="D1822" s="1" t="s">
        <v>14</v>
      </c>
      <c r="E1822" s="1" t="s">
        <v>16</v>
      </c>
      <c r="F1822" s="1" t="s">
        <v>24</v>
      </c>
      <c r="G1822" s="4">
        <v>164.91</v>
      </c>
      <c r="H1822" s="1">
        <v>5</v>
      </c>
      <c r="I1822" s="1" t="str">
        <f>TEXT(SalesTable[[#This Row],[Order_Date]],"mmm")</f>
        <v>Dec</v>
      </c>
      <c r="J1822" s="1">
        <f>YEAR(SalesTable[[#This Row],[Order_Date]])</f>
        <v>2026</v>
      </c>
      <c r="K1822" s="4">
        <v>202.14</v>
      </c>
      <c r="L1822" s="9">
        <f>SalesTable[[#This Row],[Profit]]/SalesTable[[#This Row],[Sales]]</f>
        <v>1.2257595051846462</v>
      </c>
    </row>
    <row r="1823" spans="1:12" ht="14" x14ac:dyDescent="0.15">
      <c r="A1823" s="1">
        <v>11822</v>
      </c>
      <c r="B1823" s="2">
        <v>46383</v>
      </c>
      <c r="C1823" s="1" t="s">
        <v>9</v>
      </c>
      <c r="D1823" s="1" t="s">
        <v>13</v>
      </c>
      <c r="E1823" s="1" t="s">
        <v>19</v>
      </c>
      <c r="F1823" s="1" t="s">
        <v>25</v>
      </c>
      <c r="G1823" s="4">
        <v>124.76</v>
      </c>
      <c r="H1823" s="1">
        <v>9</v>
      </c>
      <c r="I1823" s="1" t="str">
        <f>TEXT(SalesTable[[#This Row],[Order_Date]],"mmm")</f>
        <v>Dec</v>
      </c>
      <c r="J1823" s="1">
        <f>YEAR(SalesTable[[#This Row],[Order_Date]])</f>
        <v>2026</v>
      </c>
      <c r="K1823" s="4">
        <v>260.66000000000003</v>
      </c>
      <c r="L1823" s="9">
        <f>SalesTable[[#This Row],[Profit]]/SalesTable[[#This Row],[Sales]]</f>
        <v>2.0892914395639628</v>
      </c>
    </row>
    <row r="1824" spans="1:12" ht="14" x14ac:dyDescent="0.15">
      <c r="A1824" s="1">
        <v>11823</v>
      </c>
      <c r="B1824" s="2">
        <v>46384</v>
      </c>
      <c r="C1824" s="1" t="s">
        <v>10</v>
      </c>
      <c r="D1824" s="1" t="s">
        <v>15</v>
      </c>
      <c r="E1824" s="1" t="s">
        <v>16</v>
      </c>
      <c r="F1824" s="1" t="s">
        <v>22</v>
      </c>
      <c r="G1824" s="4">
        <v>550.95000000000005</v>
      </c>
      <c r="H1824" s="1">
        <v>1</v>
      </c>
      <c r="I1824" s="1" t="str">
        <f>TEXT(SalesTable[[#This Row],[Order_Date]],"mmm")</f>
        <v>Dec</v>
      </c>
      <c r="J1824" s="1">
        <f>YEAR(SalesTable[[#This Row],[Order_Date]])</f>
        <v>2026</v>
      </c>
      <c r="K1824" s="4">
        <v>266.19</v>
      </c>
      <c r="L1824" s="9">
        <f>SalesTable[[#This Row],[Profit]]/SalesTable[[#This Row],[Sales]]</f>
        <v>0.48314729104274429</v>
      </c>
    </row>
    <row r="1825" spans="1:12" ht="14" x14ac:dyDescent="0.15">
      <c r="A1825" s="1">
        <v>11824</v>
      </c>
      <c r="B1825" s="2">
        <v>46385</v>
      </c>
      <c r="C1825" s="1" t="s">
        <v>10</v>
      </c>
      <c r="D1825" s="1" t="s">
        <v>13</v>
      </c>
      <c r="E1825" s="1" t="s">
        <v>18</v>
      </c>
      <c r="F1825" s="1" t="s">
        <v>22</v>
      </c>
      <c r="G1825" s="4">
        <v>432.65</v>
      </c>
      <c r="H1825" s="1">
        <v>3</v>
      </c>
      <c r="I1825" s="1" t="str">
        <f>TEXT(SalesTable[[#This Row],[Order_Date]],"mmm")</f>
        <v>Dec</v>
      </c>
      <c r="J1825" s="1">
        <f>YEAR(SalesTable[[#This Row],[Order_Date]])</f>
        <v>2026</v>
      </c>
      <c r="K1825" s="4">
        <v>210.66</v>
      </c>
      <c r="L1825" s="9">
        <f>SalesTable[[#This Row],[Profit]]/SalesTable[[#This Row],[Sales]]</f>
        <v>0.48690627528024966</v>
      </c>
    </row>
    <row r="1826" spans="1:12" ht="14" x14ac:dyDescent="0.15">
      <c r="A1826" s="1">
        <v>11825</v>
      </c>
      <c r="B1826" s="2">
        <v>46386</v>
      </c>
      <c r="C1826" s="1" t="s">
        <v>11</v>
      </c>
      <c r="D1826" s="1" t="s">
        <v>15</v>
      </c>
      <c r="E1826" s="1" t="s">
        <v>16</v>
      </c>
      <c r="F1826" s="1" t="s">
        <v>22</v>
      </c>
      <c r="G1826" s="4">
        <v>609.37</v>
      </c>
      <c r="H1826" s="1">
        <v>3</v>
      </c>
      <c r="I1826" s="1" t="str">
        <f>TEXT(SalesTable[[#This Row],[Order_Date]],"mmm")</f>
        <v>Dec</v>
      </c>
      <c r="J1826" s="1">
        <f>YEAR(SalesTable[[#This Row],[Order_Date]])</f>
        <v>2026</v>
      </c>
      <c r="K1826" s="4">
        <v>-8.67</v>
      </c>
      <c r="L1826" s="9">
        <f>SalesTable[[#This Row],[Profit]]/SalesTable[[#This Row],[Sales]]</f>
        <v>-1.422780904868963E-2</v>
      </c>
    </row>
    <row r="1827" spans="1:12" ht="14" x14ac:dyDescent="0.15">
      <c r="A1827" s="1">
        <v>11826</v>
      </c>
      <c r="B1827" s="2">
        <v>46387</v>
      </c>
      <c r="C1827" s="1" t="s">
        <v>11</v>
      </c>
      <c r="D1827" s="1" t="s">
        <v>13</v>
      </c>
      <c r="E1827" s="1" t="s">
        <v>20</v>
      </c>
      <c r="F1827" s="1" t="s">
        <v>25</v>
      </c>
      <c r="G1827" s="4">
        <v>134.76</v>
      </c>
      <c r="H1827" s="1">
        <v>6</v>
      </c>
      <c r="I1827" s="1" t="str">
        <f>TEXT(SalesTable[[#This Row],[Order_Date]],"mmm")</f>
        <v>Dec</v>
      </c>
      <c r="J1827" s="1">
        <f>YEAR(SalesTable[[#This Row],[Order_Date]])</f>
        <v>2026</v>
      </c>
      <c r="K1827" s="4">
        <v>-90.08</v>
      </c>
      <c r="L1827" s="9">
        <f>SalesTable[[#This Row],[Profit]]/SalesTable[[#This Row],[Sales]]</f>
        <v>-0.6684476105669338</v>
      </c>
    </row>
    <row r="1828" spans="1:12" ht="14" x14ac:dyDescent="0.15">
      <c r="A1828" s="1">
        <v>11827</v>
      </c>
      <c r="B1828" s="2">
        <v>46388</v>
      </c>
      <c r="C1828" s="1" t="s">
        <v>12</v>
      </c>
      <c r="D1828" s="1" t="s">
        <v>14</v>
      </c>
      <c r="E1828" s="1" t="s">
        <v>19</v>
      </c>
      <c r="F1828" s="1" t="s">
        <v>23</v>
      </c>
      <c r="G1828" s="4">
        <v>459.43</v>
      </c>
      <c r="H1828" s="1">
        <v>8</v>
      </c>
      <c r="I1828" s="1" t="str">
        <f>TEXT(SalesTable[[#This Row],[Order_Date]],"mmm")</f>
        <v>Jan</v>
      </c>
      <c r="J1828" s="1">
        <f>YEAR(SalesTable[[#This Row],[Order_Date]])</f>
        <v>2027</v>
      </c>
      <c r="K1828" s="4">
        <v>53.51</v>
      </c>
      <c r="L1828" s="9">
        <f>SalesTable[[#This Row],[Profit]]/SalesTable[[#This Row],[Sales]]</f>
        <v>0.11647040898504668</v>
      </c>
    </row>
    <row r="1829" spans="1:12" ht="14" x14ac:dyDescent="0.15">
      <c r="A1829" s="1">
        <v>11828</v>
      </c>
      <c r="B1829" s="2">
        <v>46389</v>
      </c>
      <c r="C1829" s="1" t="s">
        <v>10</v>
      </c>
      <c r="D1829" s="1" t="s">
        <v>14</v>
      </c>
      <c r="E1829" s="1" t="s">
        <v>20</v>
      </c>
      <c r="F1829" s="1" t="s">
        <v>24</v>
      </c>
      <c r="G1829" s="4">
        <v>216.05</v>
      </c>
      <c r="H1829" s="1">
        <v>3</v>
      </c>
      <c r="I1829" s="1" t="str">
        <f>TEXT(SalesTable[[#This Row],[Order_Date]],"mmm")</f>
        <v>Jan</v>
      </c>
      <c r="J1829" s="1">
        <f>YEAR(SalesTable[[#This Row],[Order_Date]])</f>
        <v>2027</v>
      </c>
      <c r="K1829" s="4">
        <v>-43.38</v>
      </c>
      <c r="L1829" s="9">
        <f>SalesTable[[#This Row],[Profit]]/SalesTable[[#This Row],[Sales]]</f>
        <v>-0.2007868548947003</v>
      </c>
    </row>
    <row r="1830" spans="1:12" ht="14" x14ac:dyDescent="0.15">
      <c r="A1830" s="1">
        <v>11829</v>
      </c>
      <c r="B1830" s="2">
        <v>46390</v>
      </c>
      <c r="C1830" s="1" t="s">
        <v>12</v>
      </c>
      <c r="D1830" s="1" t="s">
        <v>15</v>
      </c>
      <c r="E1830" s="1" t="s">
        <v>19</v>
      </c>
      <c r="F1830" s="1" t="s">
        <v>25</v>
      </c>
      <c r="G1830" s="4">
        <v>987.75</v>
      </c>
      <c r="H1830" s="1">
        <v>3</v>
      </c>
      <c r="I1830" s="1" t="str">
        <f>TEXT(SalesTable[[#This Row],[Order_Date]],"mmm")</f>
        <v>Jan</v>
      </c>
      <c r="J1830" s="1">
        <f>YEAR(SalesTable[[#This Row],[Order_Date]])</f>
        <v>2027</v>
      </c>
      <c r="K1830" s="4">
        <v>184.16</v>
      </c>
      <c r="L1830" s="9">
        <f>SalesTable[[#This Row],[Profit]]/SalesTable[[#This Row],[Sales]]</f>
        <v>0.18644393824348265</v>
      </c>
    </row>
    <row r="1831" spans="1:12" ht="14" x14ac:dyDescent="0.15">
      <c r="A1831" s="1">
        <v>11830</v>
      </c>
      <c r="B1831" s="2">
        <v>46391</v>
      </c>
      <c r="C1831" s="1" t="s">
        <v>11</v>
      </c>
      <c r="D1831" s="1" t="s">
        <v>13</v>
      </c>
      <c r="E1831" s="1" t="s">
        <v>18</v>
      </c>
      <c r="F1831" s="1" t="s">
        <v>23</v>
      </c>
      <c r="G1831" s="4">
        <v>583.09</v>
      </c>
      <c r="H1831" s="1">
        <v>6</v>
      </c>
      <c r="I1831" s="1" t="str">
        <f>TEXT(SalesTable[[#This Row],[Order_Date]],"mmm")</f>
        <v>Jan</v>
      </c>
      <c r="J1831" s="1">
        <f>YEAR(SalesTable[[#This Row],[Order_Date]])</f>
        <v>2027</v>
      </c>
      <c r="K1831" s="4">
        <v>164.45</v>
      </c>
      <c r="L1831" s="9">
        <f>SalesTable[[#This Row],[Profit]]/SalesTable[[#This Row],[Sales]]</f>
        <v>0.2820319333207566</v>
      </c>
    </row>
    <row r="1832" spans="1:12" ht="14" x14ac:dyDescent="0.15">
      <c r="A1832" s="1">
        <v>11831</v>
      </c>
      <c r="B1832" s="2">
        <v>46392</v>
      </c>
      <c r="C1832" s="1" t="s">
        <v>12</v>
      </c>
      <c r="D1832" s="1" t="s">
        <v>14</v>
      </c>
      <c r="E1832" s="1" t="s">
        <v>19</v>
      </c>
      <c r="F1832" s="1" t="s">
        <v>23</v>
      </c>
      <c r="G1832" s="4">
        <v>703.07</v>
      </c>
      <c r="H1832" s="1">
        <v>8</v>
      </c>
      <c r="I1832" s="1" t="str">
        <f>TEXT(SalesTable[[#This Row],[Order_Date]],"mmm")</f>
        <v>Jan</v>
      </c>
      <c r="J1832" s="1">
        <f>YEAR(SalesTable[[#This Row],[Order_Date]])</f>
        <v>2027</v>
      </c>
      <c r="K1832" s="4">
        <v>-82.41</v>
      </c>
      <c r="L1832" s="9">
        <f>SalesTable[[#This Row],[Profit]]/SalesTable[[#This Row],[Sales]]</f>
        <v>-0.11721450211216521</v>
      </c>
    </row>
    <row r="1833" spans="1:12" ht="14" x14ac:dyDescent="0.15">
      <c r="A1833" s="1">
        <v>11832</v>
      </c>
      <c r="B1833" s="2">
        <v>46393</v>
      </c>
      <c r="C1833" s="1" t="s">
        <v>11</v>
      </c>
      <c r="D1833" s="1" t="s">
        <v>15</v>
      </c>
      <c r="E1833" s="1" t="s">
        <v>19</v>
      </c>
      <c r="F1833" s="1" t="s">
        <v>25</v>
      </c>
      <c r="G1833" s="4">
        <v>359.15</v>
      </c>
      <c r="H1833" s="1">
        <v>6</v>
      </c>
      <c r="I1833" s="1" t="str">
        <f>TEXT(SalesTable[[#This Row],[Order_Date]],"mmm")</f>
        <v>Jan</v>
      </c>
      <c r="J1833" s="1">
        <f>YEAR(SalesTable[[#This Row],[Order_Date]])</f>
        <v>2027</v>
      </c>
      <c r="K1833" s="4">
        <v>234.64</v>
      </c>
      <c r="L1833" s="9">
        <f>SalesTable[[#This Row],[Profit]]/SalesTable[[#This Row],[Sales]]</f>
        <v>0.65332033969093695</v>
      </c>
    </row>
    <row r="1834" spans="1:12" ht="14" x14ac:dyDescent="0.15">
      <c r="A1834" s="1">
        <v>11833</v>
      </c>
      <c r="B1834" s="2">
        <v>46394</v>
      </c>
      <c r="C1834" s="1" t="s">
        <v>10</v>
      </c>
      <c r="D1834" s="1" t="s">
        <v>15</v>
      </c>
      <c r="E1834" s="1" t="s">
        <v>19</v>
      </c>
      <c r="F1834" s="1" t="s">
        <v>25</v>
      </c>
      <c r="G1834" s="4">
        <v>140</v>
      </c>
      <c r="H1834" s="1">
        <v>3</v>
      </c>
      <c r="I1834" s="1" t="str">
        <f>TEXT(SalesTable[[#This Row],[Order_Date]],"mmm")</f>
        <v>Jan</v>
      </c>
      <c r="J1834" s="1">
        <f>YEAR(SalesTable[[#This Row],[Order_Date]])</f>
        <v>2027</v>
      </c>
      <c r="K1834" s="4">
        <v>-0.5</v>
      </c>
      <c r="L1834" s="9">
        <f>SalesTable[[#This Row],[Profit]]/SalesTable[[#This Row],[Sales]]</f>
        <v>-3.5714285714285713E-3</v>
      </c>
    </row>
    <row r="1835" spans="1:12" ht="14" x14ac:dyDescent="0.15">
      <c r="A1835" s="1">
        <v>11834</v>
      </c>
      <c r="B1835" s="2">
        <v>46395</v>
      </c>
      <c r="C1835" s="1" t="s">
        <v>9</v>
      </c>
      <c r="D1835" s="1" t="s">
        <v>14</v>
      </c>
      <c r="E1835" s="1" t="s">
        <v>16</v>
      </c>
      <c r="F1835" s="1" t="s">
        <v>23</v>
      </c>
      <c r="G1835" s="4">
        <v>977.08</v>
      </c>
      <c r="H1835" s="1">
        <v>4</v>
      </c>
      <c r="I1835" s="1" t="str">
        <f>TEXT(SalesTable[[#This Row],[Order_Date]],"mmm")</f>
        <v>Jan</v>
      </c>
      <c r="J1835" s="1">
        <f>YEAR(SalesTable[[#This Row],[Order_Date]])</f>
        <v>2027</v>
      </c>
      <c r="K1835" s="4">
        <v>72.89</v>
      </c>
      <c r="L1835" s="9">
        <f>SalesTable[[#This Row],[Profit]]/SalesTable[[#This Row],[Sales]]</f>
        <v>7.4599828059114914E-2</v>
      </c>
    </row>
    <row r="1836" spans="1:12" ht="14" x14ac:dyDescent="0.15">
      <c r="A1836" s="1">
        <v>11835</v>
      </c>
      <c r="B1836" s="2">
        <v>46396</v>
      </c>
      <c r="C1836" s="1" t="s">
        <v>10</v>
      </c>
      <c r="D1836" s="1" t="s">
        <v>14</v>
      </c>
      <c r="E1836" s="1" t="s">
        <v>16</v>
      </c>
      <c r="F1836" s="1" t="s">
        <v>23</v>
      </c>
      <c r="G1836" s="4">
        <v>321.95</v>
      </c>
      <c r="H1836" s="1">
        <v>1</v>
      </c>
      <c r="I1836" s="1" t="str">
        <f>TEXT(SalesTable[[#This Row],[Order_Date]],"mmm")</f>
        <v>Jan</v>
      </c>
      <c r="J1836" s="1">
        <f>YEAR(SalesTable[[#This Row],[Order_Date]])</f>
        <v>2027</v>
      </c>
      <c r="K1836" s="4">
        <v>167.17</v>
      </c>
      <c r="L1836" s="9">
        <f>SalesTable[[#This Row],[Profit]]/SalesTable[[#This Row],[Sales]]</f>
        <v>0.51924211834135736</v>
      </c>
    </row>
    <row r="1837" spans="1:12" ht="14" x14ac:dyDescent="0.15">
      <c r="A1837" s="1">
        <v>11836</v>
      </c>
      <c r="B1837" s="2">
        <v>46397</v>
      </c>
      <c r="C1837" s="1" t="s">
        <v>12</v>
      </c>
      <c r="D1837" s="1" t="s">
        <v>15</v>
      </c>
      <c r="E1837" s="1" t="s">
        <v>18</v>
      </c>
      <c r="F1837" s="1" t="s">
        <v>23</v>
      </c>
      <c r="G1837" s="4">
        <v>452.62</v>
      </c>
      <c r="H1837" s="1">
        <v>8</v>
      </c>
      <c r="I1837" s="1" t="str">
        <f>TEXT(SalesTable[[#This Row],[Order_Date]],"mmm")</f>
        <v>Jan</v>
      </c>
      <c r="J1837" s="1">
        <f>YEAR(SalesTable[[#This Row],[Order_Date]])</f>
        <v>2027</v>
      </c>
      <c r="K1837" s="4">
        <v>71.77</v>
      </c>
      <c r="L1837" s="9">
        <f>SalesTable[[#This Row],[Profit]]/SalesTable[[#This Row],[Sales]]</f>
        <v>0.15856568423843401</v>
      </c>
    </row>
    <row r="1838" spans="1:12" ht="14" x14ac:dyDescent="0.15">
      <c r="A1838" s="1">
        <v>11837</v>
      </c>
      <c r="B1838" s="2">
        <v>46398</v>
      </c>
      <c r="C1838" s="1" t="s">
        <v>12</v>
      </c>
      <c r="D1838" s="1" t="s">
        <v>13</v>
      </c>
      <c r="E1838" s="1" t="s">
        <v>19</v>
      </c>
      <c r="F1838" s="1" t="s">
        <v>25</v>
      </c>
      <c r="G1838" s="4">
        <v>667.37</v>
      </c>
      <c r="H1838" s="1">
        <v>4</v>
      </c>
      <c r="I1838" s="1" t="str">
        <f>TEXT(SalesTable[[#This Row],[Order_Date]],"mmm")</f>
        <v>Jan</v>
      </c>
      <c r="J1838" s="1">
        <f>YEAR(SalesTable[[#This Row],[Order_Date]])</f>
        <v>2027</v>
      </c>
      <c r="K1838" s="4">
        <v>76.52</v>
      </c>
      <c r="L1838" s="9">
        <f>SalesTable[[#This Row],[Profit]]/SalesTable[[#This Row],[Sales]]</f>
        <v>0.1146590347183721</v>
      </c>
    </row>
    <row r="1839" spans="1:12" ht="14" x14ac:dyDescent="0.15">
      <c r="A1839" s="1">
        <v>11838</v>
      </c>
      <c r="B1839" s="2">
        <v>46399</v>
      </c>
      <c r="C1839" s="1" t="s">
        <v>10</v>
      </c>
      <c r="D1839" s="1" t="s">
        <v>13</v>
      </c>
      <c r="E1839" s="1" t="s">
        <v>17</v>
      </c>
      <c r="F1839" s="1" t="s">
        <v>23</v>
      </c>
      <c r="G1839" s="4">
        <v>73.459999999999994</v>
      </c>
      <c r="H1839" s="1">
        <v>6</v>
      </c>
      <c r="I1839" s="1" t="str">
        <f>TEXT(SalesTable[[#This Row],[Order_Date]],"mmm")</f>
        <v>Jan</v>
      </c>
      <c r="J1839" s="1">
        <f>YEAR(SalesTable[[#This Row],[Order_Date]])</f>
        <v>2027</v>
      </c>
      <c r="K1839" s="4">
        <v>-73.75</v>
      </c>
      <c r="L1839" s="9">
        <f>SalesTable[[#This Row],[Profit]]/SalesTable[[#This Row],[Sales]]</f>
        <v>-1.0039477266539614</v>
      </c>
    </row>
    <row r="1840" spans="1:12" ht="14" x14ac:dyDescent="0.15">
      <c r="A1840" s="1">
        <v>11839</v>
      </c>
      <c r="B1840" s="2">
        <v>46400</v>
      </c>
      <c r="C1840" s="1" t="s">
        <v>10</v>
      </c>
      <c r="D1840" s="1" t="s">
        <v>13</v>
      </c>
      <c r="E1840" s="1" t="s">
        <v>18</v>
      </c>
      <c r="F1840" s="1" t="s">
        <v>22</v>
      </c>
      <c r="G1840" s="4">
        <v>819.75</v>
      </c>
      <c r="H1840" s="1">
        <v>3</v>
      </c>
      <c r="I1840" s="1" t="str">
        <f>TEXT(SalesTable[[#This Row],[Order_Date]],"mmm")</f>
        <v>Jan</v>
      </c>
      <c r="J1840" s="1">
        <f>YEAR(SalesTable[[#This Row],[Order_Date]])</f>
        <v>2027</v>
      </c>
      <c r="K1840" s="4">
        <v>60.58</v>
      </c>
      <c r="L1840" s="9">
        <f>SalesTable[[#This Row],[Profit]]/SalesTable[[#This Row],[Sales]]</f>
        <v>7.3900579444952721E-2</v>
      </c>
    </row>
    <row r="1841" spans="1:12" ht="14" x14ac:dyDescent="0.15">
      <c r="A1841" s="1">
        <v>11840</v>
      </c>
      <c r="B1841" s="2">
        <v>46401</v>
      </c>
      <c r="C1841" s="1" t="s">
        <v>11</v>
      </c>
      <c r="D1841" s="1" t="s">
        <v>15</v>
      </c>
      <c r="E1841" s="1" t="s">
        <v>19</v>
      </c>
      <c r="F1841" s="1" t="s">
        <v>25</v>
      </c>
      <c r="G1841" s="4">
        <v>559.75</v>
      </c>
      <c r="H1841" s="1">
        <v>6</v>
      </c>
      <c r="I1841" s="1" t="str">
        <f>TEXT(SalesTable[[#This Row],[Order_Date]],"mmm")</f>
        <v>Jan</v>
      </c>
      <c r="J1841" s="1">
        <f>YEAR(SalesTable[[#This Row],[Order_Date]])</f>
        <v>2027</v>
      </c>
      <c r="K1841" s="4">
        <v>205.94</v>
      </c>
      <c r="L1841" s="9">
        <f>SalesTable[[#This Row],[Profit]]/SalesTable[[#This Row],[Sales]]</f>
        <v>0.36791424743188922</v>
      </c>
    </row>
    <row r="1842" spans="1:12" ht="14" x14ac:dyDescent="0.15">
      <c r="A1842" s="1">
        <v>11841</v>
      </c>
      <c r="B1842" s="2">
        <v>46402</v>
      </c>
      <c r="C1842" s="1" t="s">
        <v>12</v>
      </c>
      <c r="D1842" s="1" t="s">
        <v>14</v>
      </c>
      <c r="E1842" s="1" t="s">
        <v>19</v>
      </c>
      <c r="F1842" s="1" t="s">
        <v>22</v>
      </c>
      <c r="G1842" s="4">
        <v>314.31</v>
      </c>
      <c r="H1842" s="1">
        <v>9</v>
      </c>
      <c r="I1842" s="1" t="str">
        <f>TEXT(SalesTable[[#This Row],[Order_Date]],"mmm")</f>
        <v>Jan</v>
      </c>
      <c r="J1842" s="1">
        <f>YEAR(SalesTable[[#This Row],[Order_Date]])</f>
        <v>2027</v>
      </c>
      <c r="K1842" s="4">
        <v>266.07</v>
      </c>
      <c r="L1842" s="9">
        <f>SalesTable[[#This Row],[Profit]]/SalesTable[[#This Row],[Sales]]</f>
        <v>0.84652095065381305</v>
      </c>
    </row>
    <row r="1843" spans="1:12" ht="14" x14ac:dyDescent="0.15">
      <c r="A1843" s="1">
        <v>11842</v>
      </c>
      <c r="B1843" s="2">
        <v>46403</v>
      </c>
      <c r="C1843" s="1" t="s">
        <v>12</v>
      </c>
      <c r="D1843" s="1" t="s">
        <v>15</v>
      </c>
      <c r="E1843" s="1" t="s">
        <v>16</v>
      </c>
      <c r="F1843" s="1" t="s">
        <v>21</v>
      </c>
      <c r="G1843" s="4">
        <v>108.53</v>
      </c>
      <c r="H1843" s="1">
        <v>9</v>
      </c>
      <c r="I1843" s="1" t="str">
        <f>TEXT(SalesTable[[#This Row],[Order_Date]],"mmm")</f>
        <v>Jan</v>
      </c>
      <c r="J1843" s="1">
        <f>YEAR(SalesTable[[#This Row],[Order_Date]])</f>
        <v>2027</v>
      </c>
      <c r="K1843" s="4">
        <v>65.400000000000006</v>
      </c>
      <c r="L1843" s="9">
        <f>SalesTable[[#This Row],[Profit]]/SalesTable[[#This Row],[Sales]]</f>
        <v>0.60259835990048838</v>
      </c>
    </row>
    <row r="1844" spans="1:12" ht="14" x14ac:dyDescent="0.15">
      <c r="A1844" s="1">
        <v>11843</v>
      </c>
      <c r="B1844" s="2">
        <v>46404</v>
      </c>
      <c r="C1844" s="1" t="s">
        <v>10</v>
      </c>
      <c r="D1844" s="1" t="s">
        <v>14</v>
      </c>
      <c r="E1844" s="1" t="s">
        <v>18</v>
      </c>
      <c r="F1844" s="1" t="s">
        <v>25</v>
      </c>
      <c r="G1844" s="4">
        <v>204.37</v>
      </c>
      <c r="H1844" s="1">
        <v>3</v>
      </c>
      <c r="I1844" s="1" t="str">
        <f>TEXT(SalesTable[[#This Row],[Order_Date]],"mmm")</f>
        <v>Jan</v>
      </c>
      <c r="J1844" s="1">
        <f>YEAR(SalesTable[[#This Row],[Order_Date]])</f>
        <v>2027</v>
      </c>
      <c r="K1844" s="4">
        <v>69.430000000000007</v>
      </c>
      <c r="L1844" s="9">
        <f>SalesTable[[#This Row],[Profit]]/SalesTable[[#This Row],[Sales]]</f>
        <v>0.33972696579732842</v>
      </c>
    </row>
    <row r="1845" spans="1:12" ht="14" x14ac:dyDescent="0.15">
      <c r="A1845" s="1">
        <v>11844</v>
      </c>
      <c r="B1845" s="2">
        <v>46405</v>
      </c>
      <c r="C1845" s="1" t="s">
        <v>9</v>
      </c>
      <c r="D1845" s="1" t="s">
        <v>13</v>
      </c>
      <c r="E1845" s="1" t="s">
        <v>19</v>
      </c>
      <c r="F1845" s="1" t="s">
        <v>21</v>
      </c>
      <c r="G1845" s="4">
        <v>900.28</v>
      </c>
      <c r="H1845" s="1">
        <v>3</v>
      </c>
      <c r="I1845" s="1" t="str">
        <f>TEXT(SalesTable[[#This Row],[Order_Date]],"mmm")</f>
        <v>Jan</v>
      </c>
      <c r="J1845" s="1">
        <f>YEAR(SalesTable[[#This Row],[Order_Date]])</f>
        <v>2027</v>
      </c>
      <c r="K1845" s="4">
        <v>181.05</v>
      </c>
      <c r="L1845" s="9">
        <f>SalesTable[[#This Row],[Profit]]/SalesTable[[#This Row],[Sales]]</f>
        <v>0.20110410094637227</v>
      </c>
    </row>
    <row r="1846" spans="1:12" ht="14" x14ac:dyDescent="0.15">
      <c r="A1846" s="1">
        <v>11845</v>
      </c>
      <c r="B1846" s="2">
        <v>46406</v>
      </c>
      <c r="C1846" s="1" t="s">
        <v>12</v>
      </c>
      <c r="D1846" s="1" t="s">
        <v>13</v>
      </c>
      <c r="E1846" s="1" t="s">
        <v>19</v>
      </c>
      <c r="F1846" s="1" t="s">
        <v>23</v>
      </c>
      <c r="G1846" s="4">
        <v>701.72</v>
      </c>
      <c r="H1846" s="1">
        <v>4</v>
      </c>
      <c r="I1846" s="1" t="str">
        <f>TEXT(SalesTable[[#This Row],[Order_Date]],"mmm")</f>
        <v>Jan</v>
      </c>
      <c r="J1846" s="1">
        <f>YEAR(SalesTable[[#This Row],[Order_Date]])</f>
        <v>2027</v>
      </c>
      <c r="K1846" s="4">
        <v>277.11</v>
      </c>
      <c r="L1846" s="9">
        <f>SalesTable[[#This Row],[Profit]]/SalesTable[[#This Row],[Sales]]</f>
        <v>0.39490110015390756</v>
      </c>
    </row>
    <row r="1847" spans="1:12" ht="14" x14ac:dyDescent="0.15">
      <c r="A1847" s="1">
        <v>11846</v>
      </c>
      <c r="B1847" s="2">
        <v>46407</v>
      </c>
      <c r="C1847" s="1" t="s">
        <v>9</v>
      </c>
      <c r="D1847" s="1" t="s">
        <v>14</v>
      </c>
      <c r="E1847" s="1" t="s">
        <v>18</v>
      </c>
      <c r="F1847" s="1" t="s">
        <v>23</v>
      </c>
      <c r="G1847" s="4">
        <v>287.41000000000003</v>
      </c>
      <c r="H1847" s="1">
        <v>7</v>
      </c>
      <c r="I1847" s="1" t="str">
        <f>TEXT(SalesTable[[#This Row],[Order_Date]],"mmm")</f>
        <v>Jan</v>
      </c>
      <c r="J1847" s="1">
        <f>YEAR(SalesTable[[#This Row],[Order_Date]])</f>
        <v>2027</v>
      </c>
      <c r="K1847" s="4">
        <v>6.82</v>
      </c>
      <c r="L1847" s="9">
        <f>SalesTable[[#This Row],[Profit]]/SalesTable[[#This Row],[Sales]]</f>
        <v>2.3729167391531261E-2</v>
      </c>
    </row>
    <row r="1848" spans="1:12" ht="14" x14ac:dyDescent="0.15">
      <c r="A1848" s="1">
        <v>11847</v>
      </c>
      <c r="B1848" s="2">
        <v>46408</v>
      </c>
      <c r="C1848" s="1" t="s">
        <v>10</v>
      </c>
      <c r="D1848" s="1" t="s">
        <v>14</v>
      </c>
      <c r="E1848" s="1" t="s">
        <v>17</v>
      </c>
      <c r="F1848" s="1" t="s">
        <v>24</v>
      </c>
      <c r="G1848" s="4">
        <v>112.32</v>
      </c>
      <c r="H1848" s="1">
        <v>3</v>
      </c>
      <c r="I1848" s="1" t="str">
        <f>TEXT(SalesTable[[#This Row],[Order_Date]],"mmm")</f>
        <v>Jan</v>
      </c>
      <c r="J1848" s="1">
        <f>YEAR(SalesTable[[#This Row],[Order_Date]])</f>
        <v>2027</v>
      </c>
      <c r="K1848" s="4">
        <v>76.06</v>
      </c>
      <c r="L1848" s="9">
        <f>SalesTable[[#This Row],[Profit]]/SalesTable[[#This Row],[Sales]]</f>
        <v>0.67717236467236475</v>
      </c>
    </row>
    <row r="1849" spans="1:12" ht="14" x14ac:dyDescent="0.15">
      <c r="A1849" s="1">
        <v>11848</v>
      </c>
      <c r="B1849" s="2">
        <v>46409</v>
      </c>
      <c r="C1849" s="1" t="s">
        <v>10</v>
      </c>
      <c r="D1849" s="1" t="s">
        <v>15</v>
      </c>
      <c r="E1849" s="1" t="s">
        <v>18</v>
      </c>
      <c r="F1849" s="1" t="s">
        <v>23</v>
      </c>
      <c r="G1849" s="4">
        <v>706.08</v>
      </c>
      <c r="H1849" s="1">
        <v>8</v>
      </c>
      <c r="I1849" s="1" t="str">
        <f>TEXT(SalesTable[[#This Row],[Order_Date]],"mmm")</f>
        <v>Jan</v>
      </c>
      <c r="J1849" s="1">
        <f>YEAR(SalesTable[[#This Row],[Order_Date]])</f>
        <v>2027</v>
      </c>
      <c r="K1849" s="4">
        <v>218.39</v>
      </c>
      <c r="L1849" s="9">
        <f>SalesTable[[#This Row],[Profit]]/SalesTable[[#This Row],[Sales]]</f>
        <v>0.30929922954905958</v>
      </c>
    </row>
    <row r="1850" spans="1:12" ht="14" x14ac:dyDescent="0.15">
      <c r="A1850" s="1">
        <v>11849</v>
      </c>
      <c r="B1850" s="2">
        <v>46410</v>
      </c>
      <c r="C1850" s="1" t="s">
        <v>11</v>
      </c>
      <c r="D1850" s="1" t="s">
        <v>13</v>
      </c>
      <c r="E1850" s="1" t="s">
        <v>18</v>
      </c>
      <c r="F1850" s="1" t="s">
        <v>21</v>
      </c>
      <c r="G1850" s="4">
        <v>593.79</v>
      </c>
      <c r="H1850" s="1">
        <v>8</v>
      </c>
      <c r="I1850" s="1" t="str">
        <f>TEXT(SalesTable[[#This Row],[Order_Date]],"mmm")</f>
        <v>Jan</v>
      </c>
      <c r="J1850" s="1">
        <f>YEAR(SalesTable[[#This Row],[Order_Date]])</f>
        <v>2027</v>
      </c>
      <c r="K1850" s="4">
        <v>143.88</v>
      </c>
      <c r="L1850" s="9">
        <f>SalesTable[[#This Row],[Profit]]/SalesTable[[#This Row],[Sales]]</f>
        <v>0.24230788662658517</v>
      </c>
    </row>
    <row r="1851" spans="1:12" ht="14" x14ac:dyDescent="0.15">
      <c r="A1851" s="1">
        <v>11850</v>
      </c>
      <c r="B1851" s="2">
        <v>46411</v>
      </c>
      <c r="C1851" s="1" t="s">
        <v>12</v>
      </c>
      <c r="D1851" s="1" t="s">
        <v>15</v>
      </c>
      <c r="E1851" s="1" t="s">
        <v>17</v>
      </c>
      <c r="F1851" s="1" t="s">
        <v>23</v>
      </c>
      <c r="G1851" s="4">
        <v>434.29</v>
      </c>
      <c r="H1851" s="1">
        <v>6</v>
      </c>
      <c r="I1851" s="1" t="str">
        <f>TEXT(SalesTable[[#This Row],[Order_Date]],"mmm")</f>
        <v>Jan</v>
      </c>
      <c r="J1851" s="1">
        <f>YEAR(SalesTable[[#This Row],[Order_Date]])</f>
        <v>2027</v>
      </c>
      <c r="K1851" s="4">
        <v>-55.77</v>
      </c>
      <c r="L1851" s="9">
        <f>SalesTable[[#This Row],[Profit]]/SalesTable[[#This Row],[Sales]]</f>
        <v>-0.12841649588984319</v>
      </c>
    </row>
    <row r="1852" spans="1:12" ht="14" x14ac:dyDescent="0.15">
      <c r="A1852" s="1">
        <v>11851</v>
      </c>
      <c r="B1852" s="2">
        <v>46412</v>
      </c>
      <c r="C1852" s="1" t="s">
        <v>9</v>
      </c>
      <c r="D1852" s="1" t="s">
        <v>15</v>
      </c>
      <c r="E1852" s="1" t="s">
        <v>18</v>
      </c>
      <c r="F1852" s="1" t="s">
        <v>25</v>
      </c>
      <c r="G1852" s="4">
        <v>395.43</v>
      </c>
      <c r="H1852" s="1">
        <v>4</v>
      </c>
      <c r="I1852" s="1" t="str">
        <f>TEXT(SalesTable[[#This Row],[Order_Date]],"mmm")</f>
        <v>Jan</v>
      </c>
      <c r="J1852" s="1">
        <f>YEAR(SalesTable[[#This Row],[Order_Date]])</f>
        <v>2027</v>
      </c>
      <c r="K1852" s="4">
        <v>151.09</v>
      </c>
      <c r="L1852" s="9">
        <f>SalesTable[[#This Row],[Profit]]/SalesTable[[#This Row],[Sales]]</f>
        <v>0.38209038262145006</v>
      </c>
    </row>
    <row r="1853" spans="1:12" ht="14" x14ac:dyDescent="0.15">
      <c r="A1853" s="1">
        <v>11852</v>
      </c>
      <c r="B1853" s="2">
        <v>46413</v>
      </c>
      <c r="C1853" s="1" t="s">
        <v>11</v>
      </c>
      <c r="D1853" s="1" t="s">
        <v>15</v>
      </c>
      <c r="E1853" s="1" t="s">
        <v>19</v>
      </c>
      <c r="F1853" s="1" t="s">
        <v>23</v>
      </c>
      <c r="G1853" s="4">
        <v>255.97</v>
      </c>
      <c r="H1853" s="1">
        <v>5</v>
      </c>
      <c r="I1853" s="1" t="str">
        <f>TEXT(SalesTable[[#This Row],[Order_Date]],"mmm")</f>
        <v>Jan</v>
      </c>
      <c r="J1853" s="1">
        <f>YEAR(SalesTable[[#This Row],[Order_Date]])</f>
        <v>2027</v>
      </c>
      <c r="K1853" s="4">
        <v>-25.3</v>
      </c>
      <c r="L1853" s="9">
        <f>SalesTable[[#This Row],[Profit]]/SalesTable[[#This Row],[Sales]]</f>
        <v>-9.8839707778255265E-2</v>
      </c>
    </row>
    <row r="1854" spans="1:12" ht="14" x14ac:dyDescent="0.15">
      <c r="A1854" s="1">
        <v>11853</v>
      </c>
      <c r="B1854" s="2">
        <v>46414</v>
      </c>
      <c r="C1854" s="1" t="s">
        <v>12</v>
      </c>
      <c r="D1854" s="1" t="s">
        <v>13</v>
      </c>
      <c r="E1854" s="1" t="s">
        <v>18</v>
      </c>
      <c r="F1854" s="1" t="s">
        <v>24</v>
      </c>
      <c r="G1854" s="4">
        <v>686.13</v>
      </c>
      <c r="H1854" s="1">
        <v>2</v>
      </c>
      <c r="I1854" s="1" t="str">
        <f>TEXT(SalesTable[[#This Row],[Order_Date]],"mmm")</f>
        <v>Jan</v>
      </c>
      <c r="J1854" s="1">
        <f>YEAR(SalesTable[[#This Row],[Order_Date]])</f>
        <v>2027</v>
      </c>
      <c r="K1854" s="4">
        <v>104.09</v>
      </c>
      <c r="L1854" s="9">
        <f>SalesTable[[#This Row],[Profit]]/SalesTable[[#This Row],[Sales]]</f>
        <v>0.15170594493754827</v>
      </c>
    </row>
    <row r="1855" spans="1:12" ht="14" x14ac:dyDescent="0.15">
      <c r="A1855" s="1">
        <v>11854</v>
      </c>
      <c r="B1855" s="2">
        <v>46415</v>
      </c>
      <c r="C1855" s="1" t="s">
        <v>11</v>
      </c>
      <c r="D1855" s="1" t="s">
        <v>15</v>
      </c>
      <c r="E1855" s="1" t="s">
        <v>17</v>
      </c>
      <c r="F1855" s="1" t="s">
        <v>23</v>
      </c>
      <c r="G1855" s="4">
        <v>972.13</v>
      </c>
      <c r="H1855" s="1">
        <v>6</v>
      </c>
      <c r="I1855" s="1" t="str">
        <f>TEXT(SalesTable[[#This Row],[Order_Date]],"mmm")</f>
        <v>Jan</v>
      </c>
      <c r="J1855" s="1">
        <f>YEAR(SalesTable[[#This Row],[Order_Date]])</f>
        <v>2027</v>
      </c>
      <c r="K1855" s="4">
        <v>111.64</v>
      </c>
      <c r="L1855" s="9">
        <f>SalesTable[[#This Row],[Profit]]/SalesTable[[#This Row],[Sales]]</f>
        <v>0.11484060773764826</v>
      </c>
    </row>
    <row r="1856" spans="1:12" ht="14" x14ac:dyDescent="0.15">
      <c r="A1856" s="1">
        <v>11855</v>
      </c>
      <c r="B1856" s="2">
        <v>46416</v>
      </c>
      <c r="C1856" s="1" t="s">
        <v>10</v>
      </c>
      <c r="D1856" s="1" t="s">
        <v>15</v>
      </c>
      <c r="E1856" s="1" t="s">
        <v>20</v>
      </c>
      <c r="F1856" s="1" t="s">
        <v>21</v>
      </c>
      <c r="G1856" s="4">
        <v>216.93</v>
      </c>
      <c r="H1856" s="1">
        <v>3</v>
      </c>
      <c r="I1856" s="1" t="str">
        <f>TEXT(SalesTable[[#This Row],[Order_Date]],"mmm")</f>
        <v>Jan</v>
      </c>
      <c r="J1856" s="1">
        <f>YEAR(SalesTable[[#This Row],[Order_Date]])</f>
        <v>2027</v>
      </c>
      <c r="K1856" s="4">
        <v>250.48</v>
      </c>
      <c r="L1856" s="9">
        <f>SalesTable[[#This Row],[Profit]]/SalesTable[[#This Row],[Sales]]</f>
        <v>1.1546581846678652</v>
      </c>
    </row>
    <row r="1857" spans="1:12" ht="14" x14ac:dyDescent="0.15">
      <c r="A1857" s="1">
        <v>11856</v>
      </c>
      <c r="B1857" s="2">
        <v>46417</v>
      </c>
      <c r="C1857" s="1" t="s">
        <v>12</v>
      </c>
      <c r="D1857" s="1" t="s">
        <v>15</v>
      </c>
      <c r="E1857" s="1" t="s">
        <v>18</v>
      </c>
      <c r="F1857" s="1" t="s">
        <v>21</v>
      </c>
      <c r="G1857" s="4">
        <v>617.26</v>
      </c>
      <c r="H1857" s="1">
        <v>6</v>
      </c>
      <c r="I1857" s="1" t="str">
        <f>TEXT(SalesTable[[#This Row],[Order_Date]],"mmm")</f>
        <v>Jan</v>
      </c>
      <c r="J1857" s="1">
        <f>YEAR(SalesTable[[#This Row],[Order_Date]])</f>
        <v>2027</v>
      </c>
      <c r="K1857" s="4">
        <v>85</v>
      </c>
      <c r="L1857" s="9">
        <f>SalesTable[[#This Row],[Profit]]/SalesTable[[#This Row],[Sales]]</f>
        <v>0.13770534296730713</v>
      </c>
    </row>
    <row r="1858" spans="1:12" ht="14" x14ac:dyDescent="0.15">
      <c r="A1858" s="1">
        <v>11857</v>
      </c>
      <c r="B1858" s="2">
        <v>46418</v>
      </c>
      <c r="C1858" s="1" t="s">
        <v>11</v>
      </c>
      <c r="D1858" s="1" t="s">
        <v>15</v>
      </c>
      <c r="E1858" s="1" t="s">
        <v>16</v>
      </c>
      <c r="F1858" s="1" t="s">
        <v>23</v>
      </c>
      <c r="G1858" s="4">
        <v>452.98</v>
      </c>
      <c r="H1858" s="1">
        <v>5</v>
      </c>
      <c r="I1858" s="1" t="str">
        <f>TEXT(SalesTable[[#This Row],[Order_Date]],"mmm")</f>
        <v>Jan</v>
      </c>
      <c r="J1858" s="1">
        <f>YEAR(SalesTable[[#This Row],[Order_Date]])</f>
        <v>2027</v>
      </c>
      <c r="K1858" s="4">
        <v>11.78</v>
      </c>
      <c r="L1858" s="9">
        <f>SalesTable[[#This Row],[Profit]]/SalesTable[[#This Row],[Sales]]</f>
        <v>2.6005563159521388E-2</v>
      </c>
    </row>
    <row r="1859" spans="1:12" ht="14" x14ac:dyDescent="0.15">
      <c r="A1859" s="1">
        <v>11858</v>
      </c>
      <c r="B1859" s="2">
        <v>46419</v>
      </c>
      <c r="C1859" s="1" t="s">
        <v>11</v>
      </c>
      <c r="D1859" s="1" t="s">
        <v>15</v>
      </c>
      <c r="E1859" s="1" t="s">
        <v>19</v>
      </c>
      <c r="F1859" s="1" t="s">
        <v>21</v>
      </c>
      <c r="G1859" s="4">
        <v>474.35</v>
      </c>
      <c r="H1859" s="1">
        <v>2</v>
      </c>
      <c r="I1859" s="1" t="str">
        <f>TEXT(SalesTable[[#This Row],[Order_Date]],"mmm")</f>
        <v>Feb</v>
      </c>
      <c r="J1859" s="1">
        <f>YEAR(SalesTable[[#This Row],[Order_Date]])</f>
        <v>2027</v>
      </c>
      <c r="K1859" s="4">
        <v>-7.61</v>
      </c>
      <c r="L1859" s="9">
        <f>SalesTable[[#This Row],[Profit]]/SalesTable[[#This Row],[Sales]]</f>
        <v>-1.6043006219036576E-2</v>
      </c>
    </row>
    <row r="1860" spans="1:12" ht="14" x14ac:dyDescent="0.15">
      <c r="A1860" s="1">
        <v>11859</v>
      </c>
      <c r="B1860" s="2">
        <v>46420</v>
      </c>
      <c r="C1860" s="1" t="s">
        <v>9</v>
      </c>
      <c r="D1860" s="1" t="s">
        <v>15</v>
      </c>
      <c r="E1860" s="1" t="s">
        <v>19</v>
      </c>
      <c r="F1860" s="1" t="s">
        <v>21</v>
      </c>
      <c r="G1860" s="4">
        <v>291.44</v>
      </c>
      <c r="H1860" s="1">
        <v>5</v>
      </c>
      <c r="I1860" s="1" t="str">
        <f>TEXT(SalesTable[[#This Row],[Order_Date]],"mmm")</f>
        <v>Feb</v>
      </c>
      <c r="J1860" s="1">
        <f>YEAR(SalesTable[[#This Row],[Order_Date]])</f>
        <v>2027</v>
      </c>
      <c r="K1860" s="4">
        <v>249.7</v>
      </c>
      <c r="L1860" s="9">
        <f>SalesTable[[#This Row],[Profit]]/SalesTable[[#This Row],[Sales]]</f>
        <v>0.85678012626955802</v>
      </c>
    </row>
    <row r="1861" spans="1:12" ht="14" x14ac:dyDescent="0.15">
      <c r="A1861" s="1">
        <v>11860</v>
      </c>
      <c r="B1861" s="2">
        <v>46421</v>
      </c>
      <c r="C1861" s="1" t="s">
        <v>11</v>
      </c>
      <c r="D1861" s="1" t="s">
        <v>13</v>
      </c>
      <c r="E1861" s="1" t="s">
        <v>16</v>
      </c>
      <c r="F1861" s="1" t="s">
        <v>24</v>
      </c>
      <c r="G1861" s="4">
        <v>833.88</v>
      </c>
      <c r="H1861" s="1">
        <v>5</v>
      </c>
      <c r="I1861" s="1" t="str">
        <f>TEXT(SalesTable[[#This Row],[Order_Date]],"mmm")</f>
        <v>Feb</v>
      </c>
      <c r="J1861" s="1">
        <f>YEAR(SalesTable[[#This Row],[Order_Date]])</f>
        <v>2027</v>
      </c>
      <c r="K1861" s="4">
        <v>-31.6</v>
      </c>
      <c r="L1861" s="9">
        <f>SalesTable[[#This Row],[Profit]]/SalesTable[[#This Row],[Sales]]</f>
        <v>-3.7895140787643306E-2</v>
      </c>
    </row>
    <row r="1862" spans="1:12" ht="14" x14ac:dyDescent="0.15">
      <c r="A1862" s="1">
        <v>11861</v>
      </c>
      <c r="B1862" s="2">
        <v>46422</v>
      </c>
      <c r="C1862" s="1" t="s">
        <v>12</v>
      </c>
      <c r="D1862" s="1" t="s">
        <v>15</v>
      </c>
      <c r="E1862" s="1" t="s">
        <v>16</v>
      </c>
      <c r="F1862" s="1" t="s">
        <v>25</v>
      </c>
      <c r="G1862" s="4">
        <v>510.99</v>
      </c>
      <c r="H1862" s="1">
        <v>9</v>
      </c>
      <c r="I1862" s="1" t="str">
        <f>TEXT(SalesTable[[#This Row],[Order_Date]],"mmm")</f>
        <v>Feb</v>
      </c>
      <c r="J1862" s="1">
        <f>YEAR(SalesTable[[#This Row],[Order_Date]])</f>
        <v>2027</v>
      </c>
      <c r="K1862" s="4">
        <v>70.349999999999994</v>
      </c>
      <c r="L1862" s="9">
        <f>SalesTable[[#This Row],[Profit]]/SalesTable[[#This Row],[Sales]]</f>
        <v>0.13767392708272178</v>
      </c>
    </row>
    <row r="1863" spans="1:12" ht="14" x14ac:dyDescent="0.15">
      <c r="A1863" s="1">
        <v>11862</v>
      </c>
      <c r="B1863" s="2">
        <v>46423</v>
      </c>
      <c r="C1863" s="1" t="s">
        <v>12</v>
      </c>
      <c r="D1863" s="1" t="s">
        <v>14</v>
      </c>
      <c r="E1863" s="1" t="s">
        <v>18</v>
      </c>
      <c r="F1863" s="1" t="s">
        <v>24</v>
      </c>
      <c r="G1863" s="4">
        <v>566.24</v>
      </c>
      <c r="H1863" s="1">
        <v>8</v>
      </c>
      <c r="I1863" s="1" t="str">
        <f>TEXT(SalesTable[[#This Row],[Order_Date]],"mmm")</f>
        <v>Feb</v>
      </c>
      <c r="J1863" s="1">
        <f>YEAR(SalesTable[[#This Row],[Order_Date]])</f>
        <v>2027</v>
      </c>
      <c r="K1863" s="4">
        <v>-25.13</v>
      </c>
      <c r="L1863" s="9">
        <f>SalesTable[[#This Row],[Profit]]/SalesTable[[#This Row],[Sales]]</f>
        <v>-4.4380474710370162E-2</v>
      </c>
    </row>
    <row r="1864" spans="1:12" ht="14" x14ac:dyDescent="0.15">
      <c r="A1864" s="1">
        <v>11863</v>
      </c>
      <c r="B1864" s="2">
        <v>46424</v>
      </c>
      <c r="C1864" s="1" t="s">
        <v>9</v>
      </c>
      <c r="D1864" s="1" t="s">
        <v>15</v>
      </c>
      <c r="E1864" s="1" t="s">
        <v>16</v>
      </c>
      <c r="F1864" s="1" t="s">
        <v>22</v>
      </c>
      <c r="G1864" s="4">
        <v>339.52</v>
      </c>
      <c r="H1864" s="1">
        <v>7</v>
      </c>
      <c r="I1864" s="1" t="str">
        <f>TEXT(SalesTable[[#This Row],[Order_Date]],"mmm")</f>
        <v>Feb</v>
      </c>
      <c r="J1864" s="1">
        <f>YEAR(SalesTable[[#This Row],[Order_Date]])</f>
        <v>2027</v>
      </c>
      <c r="K1864" s="4">
        <v>209.32</v>
      </c>
      <c r="L1864" s="9">
        <f>SalesTable[[#This Row],[Profit]]/SalesTable[[#This Row],[Sales]]</f>
        <v>0.61651743638077283</v>
      </c>
    </row>
    <row r="1865" spans="1:12" ht="14" x14ac:dyDescent="0.15">
      <c r="A1865" s="1">
        <v>11864</v>
      </c>
      <c r="B1865" s="2">
        <v>46425</v>
      </c>
      <c r="C1865" s="1" t="s">
        <v>12</v>
      </c>
      <c r="D1865" s="1" t="s">
        <v>15</v>
      </c>
      <c r="E1865" s="1" t="s">
        <v>20</v>
      </c>
      <c r="F1865" s="1" t="s">
        <v>24</v>
      </c>
      <c r="G1865" s="4">
        <v>222.72</v>
      </c>
      <c r="H1865" s="1">
        <v>3</v>
      </c>
      <c r="I1865" s="1" t="str">
        <f>TEXT(SalesTable[[#This Row],[Order_Date]],"mmm")</f>
        <v>Feb</v>
      </c>
      <c r="J1865" s="1">
        <f>YEAR(SalesTable[[#This Row],[Order_Date]])</f>
        <v>2027</v>
      </c>
      <c r="K1865" s="4">
        <v>89.75</v>
      </c>
      <c r="L1865" s="9">
        <f>SalesTable[[#This Row],[Profit]]/SalesTable[[#This Row],[Sales]]</f>
        <v>0.40297234195402298</v>
      </c>
    </row>
    <row r="1866" spans="1:12" ht="14" x14ac:dyDescent="0.15">
      <c r="A1866" s="1">
        <v>11865</v>
      </c>
      <c r="B1866" s="2">
        <v>46426</v>
      </c>
      <c r="C1866" s="1" t="s">
        <v>10</v>
      </c>
      <c r="D1866" s="1" t="s">
        <v>13</v>
      </c>
      <c r="E1866" s="1" t="s">
        <v>17</v>
      </c>
      <c r="F1866" s="1" t="s">
        <v>23</v>
      </c>
      <c r="G1866" s="4">
        <v>131.61000000000001</v>
      </c>
      <c r="H1866" s="1">
        <v>4</v>
      </c>
      <c r="I1866" s="1" t="str">
        <f>TEXT(SalesTable[[#This Row],[Order_Date]],"mmm")</f>
        <v>Feb</v>
      </c>
      <c r="J1866" s="1">
        <f>YEAR(SalesTable[[#This Row],[Order_Date]])</f>
        <v>2027</v>
      </c>
      <c r="K1866" s="4">
        <v>40.46</v>
      </c>
      <c r="L1866" s="9">
        <f>SalesTable[[#This Row],[Profit]]/SalesTable[[#This Row],[Sales]]</f>
        <v>0.30742344806625632</v>
      </c>
    </row>
    <row r="1867" spans="1:12" ht="14" x14ac:dyDescent="0.15">
      <c r="A1867" s="1">
        <v>11866</v>
      </c>
      <c r="B1867" s="2">
        <v>46427</v>
      </c>
      <c r="C1867" s="1" t="s">
        <v>12</v>
      </c>
      <c r="D1867" s="1" t="s">
        <v>13</v>
      </c>
      <c r="E1867" s="1" t="s">
        <v>16</v>
      </c>
      <c r="F1867" s="1" t="s">
        <v>25</v>
      </c>
      <c r="G1867" s="4">
        <v>728.41</v>
      </c>
      <c r="H1867" s="1">
        <v>6</v>
      </c>
      <c r="I1867" s="1" t="str">
        <f>TEXT(SalesTable[[#This Row],[Order_Date]],"mmm")</f>
        <v>Feb</v>
      </c>
      <c r="J1867" s="1">
        <f>YEAR(SalesTable[[#This Row],[Order_Date]])</f>
        <v>2027</v>
      </c>
      <c r="K1867" s="4">
        <v>44.44</v>
      </c>
      <c r="L1867" s="9">
        <f>SalesTable[[#This Row],[Profit]]/SalesTable[[#This Row],[Sales]]</f>
        <v>6.1009596243873643E-2</v>
      </c>
    </row>
    <row r="1868" spans="1:12" ht="14" x14ac:dyDescent="0.15">
      <c r="A1868" s="1">
        <v>11867</v>
      </c>
      <c r="B1868" s="2">
        <v>46428</v>
      </c>
      <c r="C1868" s="1" t="s">
        <v>12</v>
      </c>
      <c r="D1868" s="1" t="s">
        <v>14</v>
      </c>
      <c r="E1868" s="1" t="s">
        <v>16</v>
      </c>
      <c r="F1868" s="1" t="s">
        <v>23</v>
      </c>
      <c r="G1868" s="4">
        <v>236.42</v>
      </c>
      <c r="H1868" s="1">
        <v>3</v>
      </c>
      <c r="I1868" s="1" t="str">
        <f>TEXT(SalesTable[[#This Row],[Order_Date]],"mmm")</f>
        <v>Feb</v>
      </c>
      <c r="J1868" s="1">
        <f>YEAR(SalesTable[[#This Row],[Order_Date]])</f>
        <v>2027</v>
      </c>
      <c r="K1868" s="4">
        <v>240.89</v>
      </c>
      <c r="L1868" s="9">
        <f>SalesTable[[#This Row],[Profit]]/SalesTable[[#This Row],[Sales]]</f>
        <v>1.0189070298621099</v>
      </c>
    </row>
    <row r="1869" spans="1:12" ht="14" x14ac:dyDescent="0.15">
      <c r="A1869" s="1">
        <v>11868</v>
      </c>
      <c r="B1869" s="2">
        <v>46429</v>
      </c>
      <c r="C1869" s="1" t="s">
        <v>11</v>
      </c>
      <c r="D1869" s="1" t="s">
        <v>14</v>
      </c>
      <c r="E1869" s="1" t="s">
        <v>20</v>
      </c>
      <c r="F1869" s="1" t="s">
        <v>22</v>
      </c>
      <c r="G1869" s="4">
        <v>705.57</v>
      </c>
      <c r="H1869" s="1">
        <v>9</v>
      </c>
      <c r="I1869" s="1" t="str">
        <f>TEXT(SalesTable[[#This Row],[Order_Date]],"mmm")</f>
        <v>Feb</v>
      </c>
      <c r="J1869" s="1">
        <f>YEAR(SalesTable[[#This Row],[Order_Date]])</f>
        <v>2027</v>
      </c>
      <c r="K1869" s="4">
        <v>121.51</v>
      </c>
      <c r="L1869" s="9">
        <f>SalesTable[[#This Row],[Profit]]/SalesTable[[#This Row],[Sales]]</f>
        <v>0.17221537196876283</v>
      </c>
    </row>
    <row r="1870" spans="1:12" ht="14" x14ac:dyDescent="0.15">
      <c r="A1870" s="1">
        <v>11869</v>
      </c>
      <c r="B1870" s="2">
        <v>46430</v>
      </c>
      <c r="C1870" s="1" t="s">
        <v>11</v>
      </c>
      <c r="D1870" s="1" t="s">
        <v>13</v>
      </c>
      <c r="E1870" s="1" t="s">
        <v>19</v>
      </c>
      <c r="F1870" s="1" t="s">
        <v>25</v>
      </c>
      <c r="G1870" s="4">
        <v>420.86</v>
      </c>
      <c r="H1870" s="1">
        <v>8</v>
      </c>
      <c r="I1870" s="1" t="str">
        <f>TEXT(SalesTable[[#This Row],[Order_Date]],"mmm")</f>
        <v>Feb</v>
      </c>
      <c r="J1870" s="1">
        <f>YEAR(SalesTable[[#This Row],[Order_Date]])</f>
        <v>2027</v>
      </c>
      <c r="K1870" s="4">
        <v>187.15</v>
      </c>
      <c r="L1870" s="9">
        <f>SalesTable[[#This Row],[Profit]]/SalesTable[[#This Row],[Sales]]</f>
        <v>0.44468469324716059</v>
      </c>
    </row>
    <row r="1871" spans="1:12" ht="14" x14ac:dyDescent="0.15">
      <c r="A1871" s="1">
        <v>11870</v>
      </c>
      <c r="B1871" s="2">
        <v>46431</v>
      </c>
      <c r="C1871" s="1" t="s">
        <v>12</v>
      </c>
      <c r="D1871" s="1" t="s">
        <v>13</v>
      </c>
      <c r="E1871" s="1" t="s">
        <v>19</v>
      </c>
      <c r="F1871" s="1" t="s">
        <v>21</v>
      </c>
      <c r="G1871" s="4">
        <v>444.99</v>
      </c>
      <c r="H1871" s="1">
        <v>6</v>
      </c>
      <c r="I1871" s="1" t="str">
        <f>TEXT(SalesTable[[#This Row],[Order_Date]],"mmm")</f>
        <v>Feb</v>
      </c>
      <c r="J1871" s="1">
        <f>YEAR(SalesTable[[#This Row],[Order_Date]])</f>
        <v>2027</v>
      </c>
      <c r="K1871" s="4">
        <v>258.82</v>
      </c>
      <c r="L1871" s="9">
        <f>SalesTable[[#This Row],[Profit]]/SalesTable[[#This Row],[Sales]]</f>
        <v>0.58163104788871656</v>
      </c>
    </row>
    <row r="1872" spans="1:12" ht="14" x14ac:dyDescent="0.15">
      <c r="A1872" s="1">
        <v>11871</v>
      </c>
      <c r="B1872" s="2">
        <v>46432</v>
      </c>
      <c r="C1872" s="1" t="s">
        <v>9</v>
      </c>
      <c r="D1872" s="1" t="s">
        <v>15</v>
      </c>
      <c r="E1872" s="1" t="s">
        <v>18</v>
      </c>
      <c r="F1872" s="1" t="s">
        <v>24</v>
      </c>
      <c r="G1872" s="4">
        <v>495.72</v>
      </c>
      <c r="H1872" s="1">
        <v>4</v>
      </c>
      <c r="I1872" s="1" t="str">
        <f>TEXT(SalesTable[[#This Row],[Order_Date]],"mmm")</f>
        <v>Feb</v>
      </c>
      <c r="J1872" s="1">
        <f>YEAR(SalesTable[[#This Row],[Order_Date]])</f>
        <v>2027</v>
      </c>
      <c r="K1872" s="4">
        <v>260.7</v>
      </c>
      <c r="L1872" s="9">
        <f>SalesTable[[#This Row],[Profit]]/SalesTable[[#This Row],[Sales]]</f>
        <v>0.52590171871217617</v>
      </c>
    </row>
    <row r="1873" spans="1:12" ht="14" x14ac:dyDescent="0.15">
      <c r="A1873" s="1">
        <v>11872</v>
      </c>
      <c r="B1873" s="2">
        <v>46433</v>
      </c>
      <c r="C1873" s="1" t="s">
        <v>11</v>
      </c>
      <c r="D1873" s="1" t="s">
        <v>13</v>
      </c>
      <c r="E1873" s="1" t="s">
        <v>20</v>
      </c>
      <c r="F1873" s="1" t="s">
        <v>23</v>
      </c>
      <c r="G1873" s="4">
        <v>399.32</v>
      </c>
      <c r="H1873" s="1">
        <v>7</v>
      </c>
      <c r="I1873" s="1" t="str">
        <f>TEXT(SalesTable[[#This Row],[Order_Date]],"mmm")</f>
        <v>Feb</v>
      </c>
      <c r="J1873" s="1">
        <f>YEAR(SalesTable[[#This Row],[Order_Date]])</f>
        <v>2027</v>
      </c>
      <c r="K1873" s="4">
        <v>31.4</v>
      </c>
      <c r="L1873" s="9">
        <f>SalesTable[[#This Row],[Profit]]/SalesTable[[#This Row],[Sales]]</f>
        <v>7.863367725132725E-2</v>
      </c>
    </row>
    <row r="1874" spans="1:12" ht="14" x14ac:dyDescent="0.15">
      <c r="A1874" s="1">
        <v>11873</v>
      </c>
      <c r="B1874" s="2">
        <v>46434</v>
      </c>
      <c r="C1874" s="1" t="s">
        <v>9</v>
      </c>
      <c r="D1874" s="1" t="s">
        <v>14</v>
      </c>
      <c r="E1874" s="1" t="s">
        <v>17</v>
      </c>
      <c r="F1874" s="1" t="s">
        <v>22</v>
      </c>
      <c r="G1874" s="4">
        <v>145.59</v>
      </c>
      <c r="H1874" s="1">
        <v>3</v>
      </c>
      <c r="I1874" s="1" t="str">
        <f>TEXT(SalesTable[[#This Row],[Order_Date]],"mmm")</f>
        <v>Feb</v>
      </c>
      <c r="J1874" s="1">
        <f>YEAR(SalesTable[[#This Row],[Order_Date]])</f>
        <v>2027</v>
      </c>
      <c r="K1874" s="4">
        <v>280.98</v>
      </c>
      <c r="L1874" s="9">
        <f>SalesTable[[#This Row],[Profit]]/SalesTable[[#This Row],[Sales]]</f>
        <v>1.9299402431485679</v>
      </c>
    </row>
    <row r="1875" spans="1:12" ht="14" x14ac:dyDescent="0.15">
      <c r="A1875" s="1">
        <v>11874</v>
      </c>
      <c r="B1875" s="2">
        <v>46435</v>
      </c>
      <c r="C1875" s="1" t="s">
        <v>12</v>
      </c>
      <c r="D1875" s="1" t="s">
        <v>15</v>
      </c>
      <c r="E1875" s="1" t="s">
        <v>17</v>
      </c>
      <c r="F1875" s="1" t="s">
        <v>21</v>
      </c>
      <c r="G1875" s="4">
        <v>344.15</v>
      </c>
      <c r="H1875" s="1">
        <v>8</v>
      </c>
      <c r="I1875" s="1" t="str">
        <f>TEXT(SalesTable[[#This Row],[Order_Date]],"mmm")</f>
        <v>Feb</v>
      </c>
      <c r="J1875" s="1">
        <f>YEAR(SalesTable[[#This Row],[Order_Date]])</f>
        <v>2027</v>
      </c>
      <c r="K1875" s="4">
        <v>-90.05</v>
      </c>
      <c r="L1875" s="9">
        <f>SalesTable[[#This Row],[Profit]]/SalesTable[[#This Row],[Sales]]</f>
        <v>-0.26165916024989105</v>
      </c>
    </row>
    <row r="1876" spans="1:12" ht="14" x14ac:dyDescent="0.15">
      <c r="A1876" s="1">
        <v>11875</v>
      </c>
      <c r="B1876" s="2">
        <v>46436</v>
      </c>
      <c r="C1876" s="1" t="s">
        <v>12</v>
      </c>
      <c r="D1876" s="1" t="s">
        <v>14</v>
      </c>
      <c r="E1876" s="1" t="s">
        <v>20</v>
      </c>
      <c r="F1876" s="1" t="s">
        <v>24</v>
      </c>
      <c r="G1876" s="4">
        <v>680.55</v>
      </c>
      <c r="H1876" s="1">
        <v>1</v>
      </c>
      <c r="I1876" s="1" t="str">
        <f>TEXT(SalesTable[[#This Row],[Order_Date]],"mmm")</f>
        <v>Feb</v>
      </c>
      <c r="J1876" s="1">
        <f>YEAR(SalesTable[[#This Row],[Order_Date]])</f>
        <v>2027</v>
      </c>
      <c r="K1876" s="4">
        <v>50.73</v>
      </c>
      <c r="L1876" s="9">
        <f>SalesTable[[#This Row],[Profit]]/SalesTable[[#This Row],[Sales]]</f>
        <v>7.4542649327749622E-2</v>
      </c>
    </row>
    <row r="1877" spans="1:12" ht="14" x14ac:dyDescent="0.15">
      <c r="A1877" s="1">
        <v>11876</v>
      </c>
      <c r="B1877" s="2">
        <v>46437</v>
      </c>
      <c r="C1877" s="1" t="s">
        <v>10</v>
      </c>
      <c r="D1877" s="1" t="s">
        <v>15</v>
      </c>
      <c r="E1877" s="1" t="s">
        <v>17</v>
      </c>
      <c r="F1877" s="1" t="s">
        <v>21</v>
      </c>
      <c r="G1877" s="4">
        <v>682.5</v>
      </c>
      <c r="H1877" s="1">
        <v>3</v>
      </c>
      <c r="I1877" s="1" t="str">
        <f>TEXT(SalesTable[[#This Row],[Order_Date]],"mmm")</f>
        <v>Feb</v>
      </c>
      <c r="J1877" s="1">
        <f>YEAR(SalesTable[[#This Row],[Order_Date]])</f>
        <v>2027</v>
      </c>
      <c r="K1877" s="4">
        <v>258.32</v>
      </c>
      <c r="L1877" s="9">
        <f>SalesTable[[#This Row],[Profit]]/SalesTable[[#This Row],[Sales]]</f>
        <v>0.37849084249084247</v>
      </c>
    </row>
    <row r="1878" spans="1:12" ht="14" x14ac:dyDescent="0.15">
      <c r="A1878" s="1">
        <v>11877</v>
      </c>
      <c r="B1878" s="2">
        <v>46438</v>
      </c>
      <c r="C1878" s="1" t="s">
        <v>11</v>
      </c>
      <c r="D1878" s="1" t="s">
        <v>13</v>
      </c>
      <c r="E1878" s="1" t="s">
        <v>19</v>
      </c>
      <c r="F1878" s="1" t="s">
        <v>24</v>
      </c>
      <c r="G1878" s="4">
        <v>321.91000000000003</v>
      </c>
      <c r="H1878" s="1">
        <v>5</v>
      </c>
      <c r="I1878" s="1" t="str">
        <f>TEXT(SalesTable[[#This Row],[Order_Date]],"mmm")</f>
        <v>Feb</v>
      </c>
      <c r="J1878" s="1">
        <f>YEAR(SalesTable[[#This Row],[Order_Date]])</f>
        <v>2027</v>
      </c>
      <c r="K1878" s="4">
        <v>9.85</v>
      </c>
      <c r="L1878" s="9">
        <f>SalesTable[[#This Row],[Profit]]/SalesTable[[#This Row],[Sales]]</f>
        <v>3.0598614519586217E-2</v>
      </c>
    </row>
    <row r="1879" spans="1:12" ht="14" x14ac:dyDescent="0.15">
      <c r="A1879" s="1">
        <v>11878</v>
      </c>
      <c r="B1879" s="2">
        <v>46439</v>
      </c>
      <c r="C1879" s="1" t="s">
        <v>12</v>
      </c>
      <c r="D1879" s="1" t="s">
        <v>14</v>
      </c>
      <c r="E1879" s="1" t="s">
        <v>17</v>
      </c>
      <c r="F1879" s="1" t="s">
        <v>25</v>
      </c>
      <c r="G1879" s="4">
        <v>487.1</v>
      </c>
      <c r="H1879" s="1">
        <v>5</v>
      </c>
      <c r="I1879" s="1" t="str">
        <f>TEXT(SalesTable[[#This Row],[Order_Date]],"mmm")</f>
        <v>Feb</v>
      </c>
      <c r="J1879" s="1">
        <f>YEAR(SalesTable[[#This Row],[Order_Date]])</f>
        <v>2027</v>
      </c>
      <c r="K1879" s="4">
        <v>9.23</v>
      </c>
      <c r="L1879" s="9">
        <f>SalesTable[[#This Row],[Profit]]/SalesTable[[#This Row],[Sales]]</f>
        <v>1.8948881133237529E-2</v>
      </c>
    </row>
    <row r="1880" spans="1:12" ht="14" x14ac:dyDescent="0.15">
      <c r="A1880" s="1">
        <v>11879</v>
      </c>
      <c r="B1880" s="2">
        <v>46440</v>
      </c>
      <c r="C1880" s="1" t="s">
        <v>10</v>
      </c>
      <c r="D1880" s="1" t="s">
        <v>15</v>
      </c>
      <c r="E1880" s="1" t="s">
        <v>17</v>
      </c>
      <c r="F1880" s="1" t="s">
        <v>21</v>
      </c>
      <c r="G1880" s="4">
        <v>233.77</v>
      </c>
      <c r="H1880" s="1">
        <v>2</v>
      </c>
      <c r="I1880" s="1" t="str">
        <f>TEXT(SalesTable[[#This Row],[Order_Date]],"mmm")</f>
        <v>Feb</v>
      </c>
      <c r="J1880" s="1">
        <f>YEAR(SalesTable[[#This Row],[Order_Date]])</f>
        <v>2027</v>
      </c>
      <c r="K1880" s="4">
        <v>21.05</v>
      </c>
      <c r="L1880" s="9">
        <f>SalesTable[[#This Row],[Profit]]/SalesTable[[#This Row],[Sales]]</f>
        <v>9.0045771484792744E-2</v>
      </c>
    </row>
    <row r="1881" spans="1:12" ht="14" x14ac:dyDescent="0.15">
      <c r="A1881" s="1">
        <v>11880</v>
      </c>
      <c r="B1881" s="2">
        <v>46441</v>
      </c>
      <c r="C1881" s="1" t="s">
        <v>11</v>
      </c>
      <c r="D1881" s="1" t="s">
        <v>15</v>
      </c>
      <c r="E1881" s="1" t="s">
        <v>20</v>
      </c>
      <c r="F1881" s="1" t="s">
        <v>21</v>
      </c>
      <c r="G1881" s="4">
        <v>249.85</v>
      </c>
      <c r="H1881" s="1">
        <v>8</v>
      </c>
      <c r="I1881" s="1" t="str">
        <f>TEXT(SalesTable[[#This Row],[Order_Date]],"mmm")</f>
        <v>Feb</v>
      </c>
      <c r="J1881" s="1">
        <f>YEAR(SalesTable[[#This Row],[Order_Date]])</f>
        <v>2027</v>
      </c>
      <c r="K1881" s="4">
        <v>144.93</v>
      </c>
      <c r="L1881" s="9">
        <f>SalesTable[[#This Row],[Profit]]/SalesTable[[#This Row],[Sales]]</f>
        <v>0.5800680408244947</v>
      </c>
    </row>
    <row r="1882" spans="1:12" ht="14" x14ac:dyDescent="0.15">
      <c r="A1882" s="1">
        <v>11881</v>
      </c>
      <c r="B1882" s="2">
        <v>46442</v>
      </c>
      <c r="C1882" s="1" t="s">
        <v>12</v>
      </c>
      <c r="D1882" s="1" t="s">
        <v>13</v>
      </c>
      <c r="E1882" s="1" t="s">
        <v>20</v>
      </c>
      <c r="F1882" s="1" t="s">
        <v>21</v>
      </c>
      <c r="G1882" s="4">
        <v>71.89</v>
      </c>
      <c r="H1882" s="1">
        <v>5</v>
      </c>
      <c r="I1882" s="1" t="str">
        <f>TEXT(SalesTable[[#This Row],[Order_Date]],"mmm")</f>
        <v>Feb</v>
      </c>
      <c r="J1882" s="1">
        <f>YEAR(SalesTable[[#This Row],[Order_Date]])</f>
        <v>2027</v>
      </c>
      <c r="K1882" s="4">
        <v>75.33</v>
      </c>
      <c r="L1882" s="9">
        <f>SalesTable[[#This Row],[Profit]]/SalesTable[[#This Row],[Sales]]</f>
        <v>1.0478508832939213</v>
      </c>
    </row>
    <row r="1883" spans="1:12" ht="14" x14ac:dyDescent="0.15">
      <c r="A1883" s="1">
        <v>11882</v>
      </c>
      <c r="B1883" s="2">
        <v>46443</v>
      </c>
      <c r="C1883" s="1" t="s">
        <v>12</v>
      </c>
      <c r="D1883" s="1" t="s">
        <v>13</v>
      </c>
      <c r="E1883" s="1" t="s">
        <v>17</v>
      </c>
      <c r="F1883" s="1" t="s">
        <v>25</v>
      </c>
      <c r="G1883" s="4">
        <v>901.91</v>
      </c>
      <c r="H1883" s="1">
        <v>7</v>
      </c>
      <c r="I1883" s="1" t="str">
        <f>TEXT(SalesTable[[#This Row],[Order_Date]],"mmm")</f>
        <v>Feb</v>
      </c>
      <c r="J1883" s="1">
        <f>YEAR(SalesTable[[#This Row],[Order_Date]])</f>
        <v>2027</v>
      </c>
      <c r="K1883" s="4">
        <v>190.69</v>
      </c>
      <c r="L1883" s="9">
        <f>SalesTable[[#This Row],[Profit]]/SalesTable[[#This Row],[Sales]]</f>
        <v>0.21142907828940805</v>
      </c>
    </row>
    <row r="1884" spans="1:12" ht="14" x14ac:dyDescent="0.15">
      <c r="A1884" s="1">
        <v>11883</v>
      </c>
      <c r="B1884" s="2">
        <v>46444</v>
      </c>
      <c r="C1884" s="1" t="s">
        <v>11</v>
      </c>
      <c r="D1884" s="1" t="s">
        <v>13</v>
      </c>
      <c r="E1884" s="1" t="s">
        <v>16</v>
      </c>
      <c r="F1884" s="1" t="s">
        <v>22</v>
      </c>
      <c r="G1884" s="4">
        <v>250.17</v>
      </c>
      <c r="H1884" s="1">
        <v>7</v>
      </c>
      <c r="I1884" s="1" t="str">
        <f>TEXT(SalesTable[[#This Row],[Order_Date]],"mmm")</f>
        <v>Feb</v>
      </c>
      <c r="J1884" s="1">
        <f>YEAR(SalesTable[[#This Row],[Order_Date]])</f>
        <v>2027</v>
      </c>
      <c r="K1884" s="4">
        <v>257.95999999999998</v>
      </c>
      <c r="L1884" s="9">
        <f>SalesTable[[#This Row],[Profit]]/SalesTable[[#This Row],[Sales]]</f>
        <v>1.0311388255985929</v>
      </c>
    </row>
    <row r="1885" spans="1:12" ht="14" x14ac:dyDescent="0.15">
      <c r="A1885" s="1">
        <v>11884</v>
      </c>
      <c r="B1885" s="2">
        <v>46445</v>
      </c>
      <c r="C1885" s="1" t="s">
        <v>11</v>
      </c>
      <c r="D1885" s="1" t="s">
        <v>14</v>
      </c>
      <c r="E1885" s="1" t="s">
        <v>20</v>
      </c>
      <c r="F1885" s="1" t="s">
        <v>24</v>
      </c>
      <c r="G1885" s="4">
        <v>266.16000000000003</v>
      </c>
      <c r="H1885" s="1">
        <v>5</v>
      </c>
      <c r="I1885" s="1" t="str">
        <f>TEXT(SalesTable[[#This Row],[Order_Date]],"mmm")</f>
        <v>Feb</v>
      </c>
      <c r="J1885" s="1">
        <f>YEAR(SalesTable[[#This Row],[Order_Date]])</f>
        <v>2027</v>
      </c>
      <c r="K1885" s="4">
        <v>169.68</v>
      </c>
      <c r="L1885" s="9">
        <f>SalesTable[[#This Row],[Profit]]/SalesTable[[#This Row],[Sales]]</f>
        <v>0.63751127141568975</v>
      </c>
    </row>
    <row r="1886" spans="1:12" ht="14" x14ac:dyDescent="0.15">
      <c r="A1886" s="1">
        <v>11885</v>
      </c>
      <c r="B1886" s="2">
        <v>46446</v>
      </c>
      <c r="C1886" s="1" t="s">
        <v>11</v>
      </c>
      <c r="D1886" s="1" t="s">
        <v>15</v>
      </c>
      <c r="E1886" s="1" t="s">
        <v>18</v>
      </c>
      <c r="F1886" s="1" t="s">
        <v>21</v>
      </c>
      <c r="G1886" s="4">
        <v>315.62</v>
      </c>
      <c r="H1886" s="1">
        <v>8</v>
      </c>
      <c r="I1886" s="1" t="str">
        <f>TEXT(SalesTable[[#This Row],[Order_Date]],"mmm")</f>
        <v>Feb</v>
      </c>
      <c r="J1886" s="1">
        <f>YEAR(SalesTable[[#This Row],[Order_Date]])</f>
        <v>2027</v>
      </c>
      <c r="K1886" s="4">
        <v>-18.21</v>
      </c>
      <c r="L1886" s="9">
        <f>SalesTable[[#This Row],[Profit]]/SalesTable[[#This Row],[Sales]]</f>
        <v>-5.7695963500411888E-2</v>
      </c>
    </row>
    <row r="1887" spans="1:12" ht="14" x14ac:dyDescent="0.15">
      <c r="A1887" s="1">
        <v>11886</v>
      </c>
      <c r="B1887" s="2">
        <v>46447</v>
      </c>
      <c r="C1887" s="1" t="s">
        <v>12</v>
      </c>
      <c r="D1887" s="1" t="s">
        <v>13</v>
      </c>
      <c r="E1887" s="1" t="s">
        <v>18</v>
      </c>
      <c r="F1887" s="1" t="s">
        <v>25</v>
      </c>
      <c r="G1887" s="4">
        <v>171.04</v>
      </c>
      <c r="H1887" s="1">
        <v>9</v>
      </c>
      <c r="I1887" s="1" t="str">
        <f>TEXT(SalesTable[[#This Row],[Order_Date]],"mmm")</f>
        <v>Mar</v>
      </c>
      <c r="J1887" s="1">
        <f>YEAR(SalesTable[[#This Row],[Order_Date]])</f>
        <v>2027</v>
      </c>
      <c r="K1887" s="4">
        <v>273.07</v>
      </c>
      <c r="L1887" s="9">
        <f>SalesTable[[#This Row],[Profit]]/SalesTable[[#This Row],[Sales]]</f>
        <v>1.5965271281571563</v>
      </c>
    </row>
    <row r="1888" spans="1:12" ht="14" x14ac:dyDescent="0.15">
      <c r="A1888" s="1">
        <v>11887</v>
      </c>
      <c r="B1888" s="2">
        <v>46448</v>
      </c>
      <c r="C1888" s="1" t="s">
        <v>12</v>
      </c>
      <c r="D1888" s="1" t="s">
        <v>14</v>
      </c>
      <c r="E1888" s="1" t="s">
        <v>19</v>
      </c>
      <c r="F1888" s="1" t="s">
        <v>22</v>
      </c>
      <c r="G1888" s="4">
        <v>657.3</v>
      </c>
      <c r="H1888" s="1">
        <v>4</v>
      </c>
      <c r="I1888" s="1" t="str">
        <f>TEXT(SalesTable[[#This Row],[Order_Date]],"mmm")</f>
        <v>Mar</v>
      </c>
      <c r="J1888" s="1">
        <f>YEAR(SalesTable[[#This Row],[Order_Date]])</f>
        <v>2027</v>
      </c>
      <c r="K1888" s="4">
        <v>5.8</v>
      </c>
      <c r="L1888" s="9">
        <f>SalesTable[[#This Row],[Profit]]/SalesTable[[#This Row],[Sales]]</f>
        <v>8.8239768750950857E-3</v>
      </c>
    </row>
    <row r="1889" spans="1:12" ht="14" x14ac:dyDescent="0.15">
      <c r="A1889" s="1">
        <v>11888</v>
      </c>
      <c r="B1889" s="2">
        <v>46449</v>
      </c>
      <c r="C1889" s="1" t="s">
        <v>10</v>
      </c>
      <c r="D1889" s="1" t="s">
        <v>14</v>
      </c>
      <c r="E1889" s="1" t="s">
        <v>17</v>
      </c>
      <c r="F1889" s="1" t="s">
        <v>24</v>
      </c>
      <c r="G1889" s="4">
        <v>121.39</v>
      </c>
      <c r="H1889" s="1">
        <v>4</v>
      </c>
      <c r="I1889" s="1" t="str">
        <f>TEXT(SalesTable[[#This Row],[Order_Date]],"mmm")</f>
        <v>Mar</v>
      </c>
      <c r="J1889" s="1">
        <f>YEAR(SalesTable[[#This Row],[Order_Date]])</f>
        <v>2027</v>
      </c>
      <c r="K1889" s="4">
        <v>-40.04</v>
      </c>
      <c r="L1889" s="9">
        <f>SalesTable[[#This Row],[Profit]]/SalesTable[[#This Row],[Sales]]</f>
        <v>-0.32984595106680947</v>
      </c>
    </row>
    <row r="1890" spans="1:12" ht="14" x14ac:dyDescent="0.15">
      <c r="A1890" s="1">
        <v>11889</v>
      </c>
      <c r="B1890" s="2">
        <v>46450</v>
      </c>
      <c r="C1890" s="1" t="s">
        <v>9</v>
      </c>
      <c r="D1890" s="1" t="s">
        <v>14</v>
      </c>
      <c r="E1890" s="1" t="s">
        <v>16</v>
      </c>
      <c r="F1890" s="1" t="s">
        <v>25</v>
      </c>
      <c r="G1890" s="4">
        <v>177.49</v>
      </c>
      <c r="H1890" s="1">
        <v>8</v>
      </c>
      <c r="I1890" s="1" t="str">
        <f>TEXT(SalesTable[[#This Row],[Order_Date]],"mmm")</f>
        <v>Mar</v>
      </c>
      <c r="J1890" s="1">
        <f>YEAR(SalesTable[[#This Row],[Order_Date]])</f>
        <v>2027</v>
      </c>
      <c r="K1890" s="4">
        <v>-64.010000000000005</v>
      </c>
      <c r="L1890" s="9">
        <f>SalesTable[[#This Row],[Profit]]/SalesTable[[#This Row],[Sales]]</f>
        <v>-0.36064003605836947</v>
      </c>
    </row>
    <row r="1891" spans="1:12" ht="14" x14ac:dyDescent="0.15">
      <c r="A1891" s="1">
        <v>11890</v>
      </c>
      <c r="B1891" s="2">
        <v>46451</v>
      </c>
      <c r="C1891" s="1" t="s">
        <v>11</v>
      </c>
      <c r="D1891" s="1" t="s">
        <v>13</v>
      </c>
      <c r="E1891" s="1" t="s">
        <v>19</v>
      </c>
      <c r="F1891" s="1" t="s">
        <v>24</v>
      </c>
      <c r="G1891" s="4">
        <v>662.52</v>
      </c>
      <c r="H1891" s="1">
        <v>1</v>
      </c>
      <c r="I1891" s="1" t="str">
        <f>TEXT(SalesTable[[#This Row],[Order_Date]],"mmm")</f>
        <v>Mar</v>
      </c>
      <c r="J1891" s="1">
        <f>YEAR(SalesTable[[#This Row],[Order_Date]])</f>
        <v>2027</v>
      </c>
      <c r="K1891" s="4">
        <v>125.35</v>
      </c>
      <c r="L1891" s="9">
        <f>SalesTable[[#This Row],[Profit]]/SalesTable[[#This Row],[Sales]]</f>
        <v>0.18920183541628932</v>
      </c>
    </row>
    <row r="1892" spans="1:12" ht="14" x14ac:dyDescent="0.15">
      <c r="A1892" s="1">
        <v>11891</v>
      </c>
      <c r="B1892" s="2">
        <v>46452</v>
      </c>
      <c r="C1892" s="1" t="s">
        <v>12</v>
      </c>
      <c r="D1892" s="1" t="s">
        <v>13</v>
      </c>
      <c r="E1892" s="1" t="s">
        <v>17</v>
      </c>
      <c r="F1892" s="1" t="s">
        <v>21</v>
      </c>
      <c r="G1892" s="4">
        <v>372.68</v>
      </c>
      <c r="H1892" s="1">
        <v>4</v>
      </c>
      <c r="I1892" s="1" t="str">
        <f>TEXT(SalesTable[[#This Row],[Order_Date]],"mmm")</f>
        <v>Mar</v>
      </c>
      <c r="J1892" s="1">
        <f>YEAR(SalesTable[[#This Row],[Order_Date]])</f>
        <v>2027</v>
      </c>
      <c r="K1892" s="4">
        <v>-54.5</v>
      </c>
      <c r="L1892" s="9">
        <f>SalesTable[[#This Row],[Profit]]/SalesTable[[#This Row],[Sales]]</f>
        <v>-0.14623805946119994</v>
      </c>
    </row>
    <row r="1893" spans="1:12" ht="14" x14ac:dyDescent="0.15">
      <c r="A1893" s="1">
        <v>11892</v>
      </c>
      <c r="B1893" s="2">
        <v>46453</v>
      </c>
      <c r="C1893" s="1" t="s">
        <v>12</v>
      </c>
      <c r="D1893" s="1" t="s">
        <v>15</v>
      </c>
      <c r="E1893" s="1" t="s">
        <v>20</v>
      </c>
      <c r="F1893" s="1" t="s">
        <v>22</v>
      </c>
      <c r="G1893" s="4">
        <v>722.55</v>
      </c>
      <c r="H1893" s="1">
        <v>6</v>
      </c>
      <c r="I1893" s="1" t="str">
        <f>TEXT(SalesTable[[#This Row],[Order_Date]],"mmm")</f>
        <v>Mar</v>
      </c>
      <c r="J1893" s="1">
        <f>YEAR(SalesTable[[#This Row],[Order_Date]])</f>
        <v>2027</v>
      </c>
      <c r="K1893" s="4">
        <v>-44.49</v>
      </c>
      <c r="L1893" s="9">
        <f>SalesTable[[#This Row],[Profit]]/SalesTable[[#This Row],[Sales]]</f>
        <v>-6.1573593522939597E-2</v>
      </c>
    </row>
    <row r="1894" spans="1:12" ht="14" x14ac:dyDescent="0.15">
      <c r="A1894" s="1">
        <v>11893</v>
      </c>
      <c r="B1894" s="2">
        <v>46454</v>
      </c>
      <c r="C1894" s="1" t="s">
        <v>11</v>
      </c>
      <c r="D1894" s="1" t="s">
        <v>15</v>
      </c>
      <c r="E1894" s="1" t="s">
        <v>18</v>
      </c>
      <c r="F1894" s="1" t="s">
        <v>25</v>
      </c>
      <c r="G1894" s="4">
        <v>579.54999999999995</v>
      </c>
      <c r="H1894" s="1">
        <v>4</v>
      </c>
      <c r="I1894" s="1" t="str">
        <f>TEXT(SalesTable[[#This Row],[Order_Date]],"mmm")</f>
        <v>Mar</v>
      </c>
      <c r="J1894" s="1">
        <f>YEAR(SalesTable[[#This Row],[Order_Date]])</f>
        <v>2027</v>
      </c>
      <c r="K1894" s="4">
        <v>20.010000000000002</v>
      </c>
      <c r="L1894" s="9">
        <f>SalesTable[[#This Row],[Profit]]/SalesTable[[#This Row],[Sales]]</f>
        <v>3.4526788025191962E-2</v>
      </c>
    </row>
    <row r="1895" spans="1:12" ht="14" x14ac:dyDescent="0.15">
      <c r="A1895" s="1">
        <v>11894</v>
      </c>
      <c r="B1895" s="2">
        <v>46455</v>
      </c>
      <c r="C1895" s="1" t="s">
        <v>9</v>
      </c>
      <c r="D1895" s="1" t="s">
        <v>13</v>
      </c>
      <c r="E1895" s="1" t="s">
        <v>16</v>
      </c>
      <c r="F1895" s="1" t="s">
        <v>22</v>
      </c>
      <c r="G1895" s="4">
        <v>293.22000000000003</v>
      </c>
      <c r="H1895" s="1">
        <v>6</v>
      </c>
      <c r="I1895" s="1" t="str">
        <f>TEXT(SalesTable[[#This Row],[Order_Date]],"mmm")</f>
        <v>Mar</v>
      </c>
      <c r="J1895" s="1">
        <f>YEAR(SalesTable[[#This Row],[Order_Date]])</f>
        <v>2027</v>
      </c>
      <c r="K1895" s="4">
        <v>12.66</v>
      </c>
      <c r="L1895" s="9">
        <f>SalesTable[[#This Row],[Profit]]/SalesTable[[#This Row],[Sales]]</f>
        <v>4.3175772457540409E-2</v>
      </c>
    </row>
    <row r="1896" spans="1:12" ht="14" x14ac:dyDescent="0.15">
      <c r="A1896" s="1">
        <v>11895</v>
      </c>
      <c r="B1896" s="2">
        <v>46456</v>
      </c>
      <c r="C1896" s="1" t="s">
        <v>11</v>
      </c>
      <c r="D1896" s="1" t="s">
        <v>14</v>
      </c>
      <c r="E1896" s="1" t="s">
        <v>18</v>
      </c>
      <c r="F1896" s="1" t="s">
        <v>21</v>
      </c>
      <c r="G1896" s="4">
        <v>668.29</v>
      </c>
      <c r="H1896" s="1">
        <v>5</v>
      </c>
      <c r="I1896" s="1" t="str">
        <f>TEXT(SalesTable[[#This Row],[Order_Date]],"mmm")</f>
        <v>Mar</v>
      </c>
      <c r="J1896" s="1">
        <f>YEAR(SalesTable[[#This Row],[Order_Date]])</f>
        <v>2027</v>
      </c>
      <c r="K1896" s="4">
        <v>141.69999999999999</v>
      </c>
      <c r="L1896" s="9">
        <f>SalesTable[[#This Row],[Profit]]/SalesTable[[#This Row],[Sales]]</f>
        <v>0.2120336979455027</v>
      </c>
    </row>
    <row r="1897" spans="1:12" ht="14" x14ac:dyDescent="0.15">
      <c r="A1897" s="1">
        <v>11896</v>
      </c>
      <c r="B1897" s="2">
        <v>46457</v>
      </c>
      <c r="C1897" s="1" t="s">
        <v>9</v>
      </c>
      <c r="D1897" s="1" t="s">
        <v>14</v>
      </c>
      <c r="E1897" s="1" t="s">
        <v>20</v>
      </c>
      <c r="F1897" s="1" t="s">
        <v>22</v>
      </c>
      <c r="G1897" s="4">
        <v>160.46</v>
      </c>
      <c r="H1897" s="1">
        <v>9</v>
      </c>
      <c r="I1897" s="1" t="str">
        <f>TEXT(SalesTable[[#This Row],[Order_Date]],"mmm")</f>
        <v>Mar</v>
      </c>
      <c r="J1897" s="1">
        <f>YEAR(SalesTable[[#This Row],[Order_Date]])</f>
        <v>2027</v>
      </c>
      <c r="K1897" s="4">
        <v>226.7</v>
      </c>
      <c r="L1897" s="9">
        <f>SalesTable[[#This Row],[Profit]]/SalesTable[[#This Row],[Sales]]</f>
        <v>1.4128131621587934</v>
      </c>
    </row>
    <row r="1898" spans="1:12" ht="14" x14ac:dyDescent="0.15">
      <c r="A1898" s="1">
        <v>11897</v>
      </c>
      <c r="B1898" s="2">
        <v>46458</v>
      </c>
      <c r="C1898" s="1" t="s">
        <v>12</v>
      </c>
      <c r="D1898" s="1" t="s">
        <v>14</v>
      </c>
      <c r="E1898" s="1" t="s">
        <v>17</v>
      </c>
      <c r="F1898" s="1" t="s">
        <v>22</v>
      </c>
      <c r="G1898" s="4">
        <v>559.59</v>
      </c>
      <c r="H1898" s="1">
        <v>9</v>
      </c>
      <c r="I1898" s="1" t="str">
        <f>TEXT(SalesTable[[#This Row],[Order_Date]],"mmm")</f>
        <v>Mar</v>
      </c>
      <c r="J1898" s="1">
        <f>YEAR(SalesTable[[#This Row],[Order_Date]])</f>
        <v>2027</v>
      </c>
      <c r="K1898" s="4">
        <v>204.54</v>
      </c>
      <c r="L1898" s="9">
        <f>SalesTable[[#This Row],[Profit]]/SalesTable[[#This Row],[Sales]]</f>
        <v>0.36551761110813269</v>
      </c>
    </row>
    <row r="1899" spans="1:12" ht="14" x14ac:dyDescent="0.15">
      <c r="A1899" s="1">
        <v>11898</v>
      </c>
      <c r="B1899" s="2">
        <v>46459</v>
      </c>
      <c r="C1899" s="1" t="s">
        <v>9</v>
      </c>
      <c r="D1899" s="1" t="s">
        <v>15</v>
      </c>
      <c r="E1899" s="1" t="s">
        <v>20</v>
      </c>
      <c r="F1899" s="1" t="s">
        <v>23</v>
      </c>
      <c r="G1899" s="4">
        <v>465.29</v>
      </c>
      <c r="H1899" s="1">
        <v>4</v>
      </c>
      <c r="I1899" s="1" t="str">
        <f>TEXT(SalesTable[[#This Row],[Order_Date]],"mmm")</f>
        <v>Mar</v>
      </c>
      <c r="J1899" s="1">
        <f>YEAR(SalesTable[[#This Row],[Order_Date]])</f>
        <v>2027</v>
      </c>
      <c r="K1899" s="4">
        <v>4.99</v>
      </c>
      <c r="L1899" s="9">
        <f>SalesTable[[#This Row],[Profit]]/SalesTable[[#This Row],[Sales]]</f>
        <v>1.0724494401341099E-2</v>
      </c>
    </row>
    <row r="1900" spans="1:12" ht="14" x14ac:dyDescent="0.15">
      <c r="A1900" s="1">
        <v>11899</v>
      </c>
      <c r="B1900" s="2">
        <v>46460</v>
      </c>
      <c r="C1900" s="1" t="s">
        <v>10</v>
      </c>
      <c r="D1900" s="1" t="s">
        <v>14</v>
      </c>
      <c r="E1900" s="1" t="s">
        <v>20</v>
      </c>
      <c r="F1900" s="1" t="s">
        <v>22</v>
      </c>
      <c r="G1900" s="4">
        <v>304.48</v>
      </c>
      <c r="H1900" s="1">
        <v>4</v>
      </c>
      <c r="I1900" s="1" t="str">
        <f>TEXT(SalesTable[[#This Row],[Order_Date]],"mmm")</f>
        <v>Mar</v>
      </c>
      <c r="J1900" s="1">
        <f>YEAR(SalesTable[[#This Row],[Order_Date]])</f>
        <v>2027</v>
      </c>
      <c r="K1900" s="4">
        <v>-1.88</v>
      </c>
      <c r="L1900" s="9">
        <f>SalesTable[[#This Row],[Profit]]/SalesTable[[#This Row],[Sales]]</f>
        <v>-6.1744613767735152E-3</v>
      </c>
    </row>
    <row r="1901" spans="1:12" ht="14" x14ac:dyDescent="0.15">
      <c r="A1901" s="1">
        <v>11900</v>
      </c>
      <c r="B1901" s="2">
        <v>46461</v>
      </c>
      <c r="C1901" s="1" t="s">
        <v>12</v>
      </c>
      <c r="D1901" s="1" t="s">
        <v>15</v>
      </c>
      <c r="E1901" s="1" t="s">
        <v>18</v>
      </c>
      <c r="F1901" s="1" t="s">
        <v>24</v>
      </c>
      <c r="G1901" s="4">
        <v>623.79999999999995</v>
      </c>
      <c r="H1901" s="1">
        <v>8</v>
      </c>
      <c r="I1901" s="1" t="str">
        <f>TEXT(SalesTable[[#This Row],[Order_Date]],"mmm")</f>
        <v>Mar</v>
      </c>
      <c r="J1901" s="1">
        <f>YEAR(SalesTable[[#This Row],[Order_Date]])</f>
        <v>2027</v>
      </c>
      <c r="K1901" s="4">
        <v>286.32</v>
      </c>
      <c r="L1901" s="9">
        <f>SalesTable[[#This Row],[Profit]]/SalesTable[[#This Row],[Sales]]</f>
        <v>0.45899326707277976</v>
      </c>
    </row>
    <row r="1902" spans="1:12" ht="14" x14ac:dyDescent="0.15">
      <c r="A1902" s="1">
        <v>11901</v>
      </c>
      <c r="B1902" s="2">
        <v>46462</v>
      </c>
      <c r="C1902" s="1" t="s">
        <v>10</v>
      </c>
      <c r="D1902" s="1" t="s">
        <v>15</v>
      </c>
      <c r="E1902" s="1" t="s">
        <v>16</v>
      </c>
      <c r="F1902" s="1" t="s">
        <v>25</v>
      </c>
      <c r="G1902" s="4">
        <v>877.77</v>
      </c>
      <c r="H1902" s="1">
        <v>4</v>
      </c>
      <c r="I1902" s="1" t="str">
        <f>TEXT(SalesTable[[#This Row],[Order_Date]],"mmm")</f>
        <v>Mar</v>
      </c>
      <c r="J1902" s="1">
        <f>YEAR(SalesTable[[#This Row],[Order_Date]])</f>
        <v>2027</v>
      </c>
      <c r="K1902" s="4">
        <v>-96.71</v>
      </c>
      <c r="L1902" s="9">
        <f>SalesTable[[#This Row],[Profit]]/SalesTable[[#This Row],[Sales]]</f>
        <v>-0.11017692561832826</v>
      </c>
    </row>
    <row r="1903" spans="1:12" ht="14" x14ac:dyDescent="0.15">
      <c r="A1903" s="1">
        <v>11902</v>
      </c>
      <c r="B1903" s="2">
        <v>46463</v>
      </c>
      <c r="C1903" s="1" t="s">
        <v>11</v>
      </c>
      <c r="D1903" s="1" t="s">
        <v>14</v>
      </c>
      <c r="E1903" s="1" t="s">
        <v>20</v>
      </c>
      <c r="F1903" s="1" t="s">
        <v>23</v>
      </c>
      <c r="G1903" s="4">
        <v>998.96</v>
      </c>
      <c r="H1903" s="1">
        <v>2</v>
      </c>
      <c r="I1903" s="1" t="str">
        <f>TEXT(SalesTable[[#This Row],[Order_Date]],"mmm")</f>
        <v>Mar</v>
      </c>
      <c r="J1903" s="1">
        <f>YEAR(SalesTable[[#This Row],[Order_Date]])</f>
        <v>2027</v>
      </c>
      <c r="K1903" s="4">
        <v>251.89</v>
      </c>
      <c r="L1903" s="9">
        <f>SalesTable[[#This Row],[Profit]]/SalesTable[[#This Row],[Sales]]</f>
        <v>0.25215223832786093</v>
      </c>
    </row>
    <row r="1904" spans="1:12" ht="14" x14ac:dyDescent="0.15">
      <c r="A1904" s="1">
        <v>11903</v>
      </c>
      <c r="B1904" s="2">
        <v>46464</v>
      </c>
      <c r="C1904" s="1" t="s">
        <v>11</v>
      </c>
      <c r="D1904" s="1" t="s">
        <v>14</v>
      </c>
      <c r="E1904" s="1" t="s">
        <v>18</v>
      </c>
      <c r="F1904" s="1" t="s">
        <v>25</v>
      </c>
      <c r="G1904" s="4">
        <v>627.37</v>
      </c>
      <c r="H1904" s="1">
        <v>2</v>
      </c>
      <c r="I1904" s="1" t="str">
        <f>TEXT(SalesTable[[#This Row],[Order_Date]],"mmm")</f>
        <v>Mar</v>
      </c>
      <c r="J1904" s="1">
        <f>YEAR(SalesTable[[#This Row],[Order_Date]])</f>
        <v>2027</v>
      </c>
      <c r="K1904" s="4">
        <v>-20.11</v>
      </c>
      <c r="L1904" s="9">
        <f>SalesTable[[#This Row],[Profit]]/SalesTable[[#This Row],[Sales]]</f>
        <v>-3.2054449527392129E-2</v>
      </c>
    </row>
    <row r="1905" spans="1:12" ht="14" x14ac:dyDescent="0.15">
      <c r="A1905" s="1">
        <v>11904</v>
      </c>
      <c r="B1905" s="2">
        <v>46465</v>
      </c>
      <c r="C1905" s="1" t="s">
        <v>11</v>
      </c>
      <c r="D1905" s="1" t="s">
        <v>13</v>
      </c>
      <c r="E1905" s="1" t="s">
        <v>16</v>
      </c>
      <c r="F1905" s="1" t="s">
        <v>25</v>
      </c>
      <c r="G1905" s="4">
        <v>434.47</v>
      </c>
      <c r="H1905" s="1">
        <v>1</v>
      </c>
      <c r="I1905" s="1" t="str">
        <f>TEXT(SalesTable[[#This Row],[Order_Date]],"mmm")</f>
        <v>Mar</v>
      </c>
      <c r="J1905" s="1">
        <f>YEAR(SalesTable[[#This Row],[Order_Date]])</f>
        <v>2027</v>
      </c>
      <c r="K1905" s="4">
        <v>278.91000000000003</v>
      </c>
      <c r="L1905" s="9">
        <f>SalesTable[[#This Row],[Profit]]/SalesTable[[#This Row],[Sales]]</f>
        <v>0.64195456533247408</v>
      </c>
    </row>
    <row r="1906" spans="1:12" ht="14" x14ac:dyDescent="0.15">
      <c r="A1906" s="1">
        <v>11905</v>
      </c>
      <c r="B1906" s="2">
        <v>46466</v>
      </c>
      <c r="C1906" s="1" t="s">
        <v>9</v>
      </c>
      <c r="D1906" s="1" t="s">
        <v>13</v>
      </c>
      <c r="E1906" s="1" t="s">
        <v>17</v>
      </c>
      <c r="F1906" s="1" t="s">
        <v>21</v>
      </c>
      <c r="G1906" s="4">
        <v>263.95</v>
      </c>
      <c r="H1906" s="1">
        <v>5</v>
      </c>
      <c r="I1906" s="1" t="str">
        <f>TEXT(SalesTable[[#This Row],[Order_Date]],"mmm")</f>
        <v>Mar</v>
      </c>
      <c r="J1906" s="1">
        <f>YEAR(SalesTable[[#This Row],[Order_Date]])</f>
        <v>2027</v>
      </c>
      <c r="K1906" s="4">
        <v>36.92</v>
      </c>
      <c r="L1906" s="9">
        <f>SalesTable[[#This Row],[Profit]]/SalesTable[[#This Row],[Sales]]</f>
        <v>0.13987497632127299</v>
      </c>
    </row>
    <row r="1907" spans="1:12" ht="14" x14ac:dyDescent="0.15">
      <c r="A1907" s="1">
        <v>11906</v>
      </c>
      <c r="B1907" s="2">
        <v>46467</v>
      </c>
      <c r="C1907" s="1" t="s">
        <v>12</v>
      </c>
      <c r="D1907" s="1" t="s">
        <v>14</v>
      </c>
      <c r="E1907" s="1" t="s">
        <v>17</v>
      </c>
      <c r="F1907" s="1" t="s">
        <v>21</v>
      </c>
      <c r="G1907" s="4">
        <v>294.24</v>
      </c>
      <c r="H1907" s="1">
        <v>6</v>
      </c>
      <c r="I1907" s="1" t="str">
        <f>TEXT(SalesTable[[#This Row],[Order_Date]],"mmm")</f>
        <v>Mar</v>
      </c>
      <c r="J1907" s="1">
        <f>YEAR(SalesTable[[#This Row],[Order_Date]])</f>
        <v>2027</v>
      </c>
      <c r="K1907" s="4">
        <v>76.14</v>
      </c>
      <c r="L1907" s="9">
        <f>SalesTable[[#This Row],[Profit]]/SalesTable[[#This Row],[Sales]]</f>
        <v>0.25876835236541595</v>
      </c>
    </row>
    <row r="1908" spans="1:12" ht="14" x14ac:dyDescent="0.15">
      <c r="A1908" s="1">
        <v>11907</v>
      </c>
      <c r="B1908" s="2">
        <v>46468</v>
      </c>
      <c r="C1908" s="1" t="s">
        <v>11</v>
      </c>
      <c r="D1908" s="1" t="s">
        <v>15</v>
      </c>
      <c r="E1908" s="1" t="s">
        <v>19</v>
      </c>
      <c r="F1908" s="1" t="s">
        <v>23</v>
      </c>
      <c r="G1908" s="4">
        <v>505.48</v>
      </c>
      <c r="H1908" s="1">
        <v>9</v>
      </c>
      <c r="I1908" s="1" t="str">
        <f>TEXT(SalesTable[[#This Row],[Order_Date]],"mmm")</f>
        <v>Mar</v>
      </c>
      <c r="J1908" s="1">
        <f>YEAR(SalesTable[[#This Row],[Order_Date]])</f>
        <v>2027</v>
      </c>
      <c r="K1908" s="4">
        <v>182.85</v>
      </c>
      <c r="L1908" s="9">
        <f>SalesTable[[#This Row],[Profit]]/SalesTable[[#This Row],[Sales]]</f>
        <v>0.36173538023265012</v>
      </c>
    </row>
    <row r="1909" spans="1:12" ht="14" x14ac:dyDescent="0.15">
      <c r="A1909" s="1">
        <v>11908</v>
      </c>
      <c r="B1909" s="2">
        <v>46469</v>
      </c>
      <c r="C1909" s="1" t="s">
        <v>11</v>
      </c>
      <c r="D1909" s="1" t="s">
        <v>15</v>
      </c>
      <c r="E1909" s="1" t="s">
        <v>18</v>
      </c>
      <c r="F1909" s="1" t="s">
        <v>21</v>
      </c>
      <c r="G1909" s="4">
        <v>398.91</v>
      </c>
      <c r="H1909" s="1">
        <v>5</v>
      </c>
      <c r="I1909" s="1" t="str">
        <f>TEXT(SalesTable[[#This Row],[Order_Date]],"mmm")</f>
        <v>Mar</v>
      </c>
      <c r="J1909" s="1">
        <f>YEAR(SalesTable[[#This Row],[Order_Date]])</f>
        <v>2027</v>
      </c>
      <c r="K1909" s="4">
        <v>135.07</v>
      </c>
      <c r="L1909" s="9">
        <f>SalesTable[[#This Row],[Profit]]/SalesTable[[#This Row],[Sales]]</f>
        <v>0.33859767867438767</v>
      </c>
    </row>
    <row r="1910" spans="1:12" ht="14" x14ac:dyDescent="0.15">
      <c r="A1910" s="1">
        <v>11909</v>
      </c>
      <c r="B1910" s="2">
        <v>46470</v>
      </c>
      <c r="C1910" s="1" t="s">
        <v>12</v>
      </c>
      <c r="D1910" s="1" t="s">
        <v>15</v>
      </c>
      <c r="E1910" s="1" t="s">
        <v>16</v>
      </c>
      <c r="F1910" s="1" t="s">
        <v>21</v>
      </c>
      <c r="G1910" s="4">
        <v>918.12</v>
      </c>
      <c r="H1910" s="1">
        <v>6</v>
      </c>
      <c r="I1910" s="1" t="str">
        <f>TEXT(SalesTable[[#This Row],[Order_Date]],"mmm")</f>
        <v>Mar</v>
      </c>
      <c r="J1910" s="1">
        <f>YEAR(SalesTable[[#This Row],[Order_Date]])</f>
        <v>2027</v>
      </c>
      <c r="K1910" s="4">
        <v>27.18</v>
      </c>
      <c r="L1910" s="9">
        <f>SalesTable[[#This Row],[Profit]]/SalesTable[[#This Row],[Sales]]</f>
        <v>2.9603973336818717E-2</v>
      </c>
    </row>
    <row r="1911" spans="1:12" ht="14" x14ac:dyDescent="0.15">
      <c r="A1911" s="1">
        <v>11910</v>
      </c>
      <c r="B1911" s="2">
        <v>46471</v>
      </c>
      <c r="C1911" s="1" t="s">
        <v>11</v>
      </c>
      <c r="D1911" s="1" t="s">
        <v>15</v>
      </c>
      <c r="E1911" s="1" t="s">
        <v>20</v>
      </c>
      <c r="F1911" s="1" t="s">
        <v>21</v>
      </c>
      <c r="G1911" s="4">
        <v>399.88</v>
      </c>
      <c r="H1911" s="1">
        <v>6</v>
      </c>
      <c r="I1911" s="1" t="str">
        <f>TEXT(SalesTable[[#This Row],[Order_Date]],"mmm")</f>
        <v>Mar</v>
      </c>
      <c r="J1911" s="1">
        <f>YEAR(SalesTable[[#This Row],[Order_Date]])</f>
        <v>2027</v>
      </c>
      <c r="K1911" s="4">
        <v>121.53</v>
      </c>
      <c r="L1911" s="9">
        <f>SalesTable[[#This Row],[Profit]]/SalesTable[[#This Row],[Sales]]</f>
        <v>0.30391617485245576</v>
      </c>
    </row>
    <row r="1912" spans="1:12" ht="14" x14ac:dyDescent="0.15">
      <c r="A1912" s="1">
        <v>11911</v>
      </c>
      <c r="B1912" s="2">
        <v>46472</v>
      </c>
      <c r="C1912" s="1" t="s">
        <v>10</v>
      </c>
      <c r="D1912" s="1" t="s">
        <v>15</v>
      </c>
      <c r="E1912" s="1" t="s">
        <v>17</v>
      </c>
      <c r="F1912" s="1" t="s">
        <v>25</v>
      </c>
      <c r="G1912" s="4">
        <v>404.77</v>
      </c>
      <c r="H1912" s="1">
        <v>3</v>
      </c>
      <c r="I1912" s="1" t="str">
        <f>TEXT(SalesTable[[#This Row],[Order_Date]],"mmm")</f>
        <v>Mar</v>
      </c>
      <c r="J1912" s="1">
        <f>YEAR(SalesTable[[#This Row],[Order_Date]])</f>
        <v>2027</v>
      </c>
      <c r="K1912" s="4">
        <v>192.28</v>
      </c>
      <c r="L1912" s="9">
        <f>SalesTable[[#This Row],[Profit]]/SalesTable[[#This Row],[Sales]]</f>
        <v>0.47503520517824938</v>
      </c>
    </row>
    <row r="1913" spans="1:12" ht="14" x14ac:dyDescent="0.15">
      <c r="A1913" s="1">
        <v>11912</v>
      </c>
      <c r="B1913" s="2">
        <v>46473</v>
      </c>
      <c r="C1913" s="1" t="s">
        <v>12</v>
      </c>
      <c r="D1913" s="1" t="s">
        <v>13</v>
      </c>
      <c r="E1913" s="1" t="s">
        <v>16</v>
      </c>
      <c r="F1913" s="1" t="s">
        <v>23</v>
      </c>
      <c r="G1913" s="4">
        <v>414.36</v>
      </c>
      <c r="H1913" s="1">
        <v>4</v>
      </c>
      <c r="I1913" s="1" t="str">
        <f>TEXT(SalesTable[[#This Row],[Order_Date]],"mmm")</f>
        <v>Mar</v>
      </c>
      <c r="J1913" s="1">
        <f>YEAR(SalesTable[[#This Row],[Order_Date]])</f>
        <v>2027</v>
      </c>
      <c r="K1913" s="4">
        <v>-83.07</v>
      </c>
      <c r="L1913" s="9">
        <f>SalesTable[[#This Row],[Profit]]/SalesTable[[#This Row],[Sales]]</f>
        <v>-0.20047784535186791</v>
      </c>
    </row>
    <row r="1914" spans="1:12" ht="14" x14ac:dyDescent="0.15">
      <c r="A1914" s="1">
        <v>11913</v>
      </c>
      <c r="B1914" s="2">
        <v>46474</v>
      </c>
      <c r="C1914" s="1" t="s">
        <v>12</v>
      </c>
      <c r="D1914" s="1" t="s">
        <v>14</v>
      </c>
      <c r="E1914" s="1" t="s">
        <v>18</v>
      </c>
      <c r="F1914" s="1" t="s">
        <v>25</v>
      </c>
      <c r="G1914" s="4">
        <v>844.79</v>
      </c>
      <c r="H1914" s="1">
        <v>1</v>
      </c>
      <c r="I1914" s="1" t="str">
        <f>TEXT(SalesTable[[#This Row],[Order_Date]],"mmm")</f>
        <v>Mar</v>
      </c>
      <c r="J1914" s="1">
        <f>YEAR(SalesTable[[#This Row],[Order_Date]])</f>
        <v>2027</v>
      </c>
      <c r="K1914" s="4">
        <v>-95.52</v>
      </c>
      <c r="L1914" s="9">
        <f>SalesTable[[#This Row],[Profit]]/SalesTable[[#This Row],[Sales]]</f>
        <v>-0.11306952023579825</v>
      </c>
    </row>
    <row r="1915" spans="1:12" ht="14" x14ac:dyDescent="0.15">
      <c r="A1915" s="1">
        <v>11914</v>
      </c>
      <c r="B1915" s="2">
        <v>46475</v>
      </c>
      <c r="C1915" s="1" t="s">
        <v>12</v>
      </c>
      <c r="D1915" s="1" t="s">
        <v>13</v>
      </c>
      <c r="E1915" s="1" t="s">
        <v>19</v>
      </c>
      <c r="F1915" s="1" t="s">
        <v>24</v>
      </c>
      <c r="G1915" s="4">
        <v>668.25</v>
      </c>
      <c r="H1915" s="1">
        <v>4</v>
      </c>
      <c r="I1915" s="1" t="str">
        <f>TEXT(SalesTable[[#This Row],[Order_Date]],"mmm")</f>
        <v>Mar</v>
      </c>
      <c r="J1915" s="1">
        <f>YEAR(SalesTable[[#This Row],[Order_Date]])</f>
        <v>2027</v>
      </c>
      <c r="K1915" s="4">
        <v>83.23</v>
      </c>
      <c r="L1915" s="9">
        <f>SalesTable[[#This Row],[Profit]]/SalesTable[[#This Row],[Sales]]</f>
        <v>0.12454919566030678</v>
      </c>
    </row>
    <row r="1916" spans="1:12" ht="14" x14ac:dyDescent="0.15">
      <c r="A1916" s="1">
        <v>11915</v>
      </c>
      <c r="B1916" s="2">
        <v>46476</v>
      </c>
      <c r="C1916" s="1" t="s">
        <v>10</v>
      </c>
      <c r="D1916" s="1" t="s">
        <v>15</v>
      </c>
      <c r="E1916" s="1" t="s">
        <v>17</v>
      </c>
      <c r="F1916" s="1" t="s">
        <v>25</v>
      </c>
      <c r="G1916" s="4">
        <v>633.46</v>
      </c>
      <c r="H1916" s="1">
        <v>1</v>
      </c>
      <c r="I1916" s="1" t="str">
        <f>TEXT(SalesTable[[#This Row],[Order_Date]],"mmm")</f>
        <v>Mar</v>
      </c>
      <c r="J1916" s="1">
        <f>YEAR(SalesTable[[#This Row],[Order_Date]])</f>
        <v>2027</v>
      </c>
      <c r="K1916" s="4">
        <v>-47.27</v>
      </c>
      <c r="L1916" s="9">
        <f>SalesTable[[#This Row],[Profit]]/SalesTable[[#This Row],[Sales]]</f>
        <v>-7.462191772171882E-2</v>
      </c>
    </row>
    <row r="1917" spans="1:12" ht="14" x14ac:dyDescent="0.15">
      <c r="A1917" s="1">
        <v>11916</v>
      </c>
      <c r="B1917" s="2">
        <v>46477</v>
      </c>
      <c r="C1917" s="1" t="s">
        <v>12</v>
      </c>
      <c r="D1917" s="1" t="s">
        <v>15</v>
      </c>
      <c r="E1917" s="1" t="s">
        <v>16</v>
      </c>
      <c r="F1917" s="1" t="s">
        <v>24</v>
      </c>
      <c r="G1917" s="4">
        <v>367.44</v>
      </c>
      <c r="H1917" s="1">
        <v>5</v>
      </c>
      <c r="I1917" s="1" t="str">
        <f>TEXT(SalesTable[[#This Row],[Order_Date]],"mmm")</f>
        <v>Mar</v>
      </c>
      <c r="J1917" s="1">
        <f>YEAR(SalesTable[[#This Row],[Order_Date]])</f>
        <v>2027</v>
      </c>
      <c r="K1917" s="4">
        <v>165.74</v>
      </c>
      <c r="L1917" s="9">
        <f>SalesTable[[#This Row],[Profit]]/SalesTable[[#This Row],[Sales]]</f>
        <v>0.45106684084476378</v>
      </c>
    </row>
    <row r="1918" spans="1:12" ht="14" x14ac:dyDescent="0.15">
      <c r="A1918" s="1">
        <v>11917</v>
      </c>
      <c r="B1918" s="2">
        <v>46478</v>
      </c>
      <c r="C1918" s="1" t="s">
        <v>10</v>
      </c>
      <c r="D1918" s="1" t="s">
        <v>15</v>
      </c>
      <c r="E1918" s="1" t="s">
        <v>16</v>
      </c>
      <c r="F1918" s="1" t="s">
        <v>22</v>
      </c>
      <c r="G1918" s="4">
        <v>827.01</v>
      </c>
      <c r="H1918" s="1">
        <v>8</v>
      </c>
      <c r="I1918" s="1" t="str">
        <f>TEXT(SalesTable[[#This Row],[Order_Date]],"mmm")</f>
        <v>Apr</v>
      </c>
      <c r="J1918" s="1">
        <f>YEAR(SalesTable[[#This Row],[Order_Date]])</f>
        <v>2027</v>
      </c>
      <c r="K1918" s="4">
        <v>-14.38</v>
      </c>
      <c r="L1918" s="9">
        <f>SalesTable[[#This Row],[Profit]]/SalesTable[[#This Row],[Sales]]</f>
        <v>-1.7387939686339948E-2</v>
      </c>
    </row>
    <row r="1919" spans="1:12" ht="14" x14ac:dyDescent="0.15">
      <c r="A1919" s="1">
        <v>11918</v>
      </c>
      <c r="B1919" s="2">
        <v>46479</v>
      </c>
      <c r="C1919" s="1" t="s">
        <v>12</v>
      </c>
      <c r="D1919" s="1" t="s">
        <v>15</v>
      </c>
      <c r="E1919" s="1" t="s">
        <v>16</v>
      </c>
      <c r="F1919" s="1" t="s">
        <v>22</v>
      </c>
      <c r="G1919" s="4">
        <v>86.45</v>
      </c>
      <c r="H1919" s="1">
        <v>8</v>
      </c>
      <c r="I1919" s="1" t="str">
        <f>TEXT(SalesTable[[#This Row],[Order_Date]],"mmm")</f>
        <v>Apr</v>
      </c>
      <c r="J1919" s="1">
        <f>YEAR(SalesTable[[#This Row],[Order_Date]])</f>
        <v>2027</v>
      </c>
      <c r="K1919" s="4">
        <v>73.14</v>
      </c>
      <c r="L1919" s="9">
        <f>SalesTable[[#This Row],[Profit]]/SalesTable[[#This Row],[Sales]]</f>
        <v>0.84603817235396184</v>
      </c>
    </row>
    <row r="1920" spans="1:12" ht="14" x14ac:dyDescent="0.15">
      <c r="A1920" s="1">
        <v>11919</v>
      </c>
      <c r="B1920" s="2">
        <v>46480</v>
      </c>
      <c r="C1920" s="1" t="s">
        <v>9</v>
      </c>
      <c r="D1920" s="1" t="s">
        <v>14</v>
      </c>
      <c r="E1920" s="1" t="s">
        <v>18</v>
      </c>
      <c r="F1920" s="1" t="s">
        <v>24</v>
      </c>
      <c r="G1920" s="4">
        <v>877.26</v>
      </c>
      <c r="H1920" s="1">
        <v>5</v>
      </c>
      <c r="I1920" s="1" t="str">
        <f>TEXT(SalesTable[[#This Row],[Order_Date]],"mmm")</f>
        <v>Apr</v>
      </c>
      <c r="J1920" s="1">
        <f>YEAR(SalesTable[[#This Row],[Order_Date]])</f>
        <v>2027</v>
      </c>
      <c r="K1920" s="4">
        <v>-20.93</v>
      </c>
      <c r="L1920" s="9">
        <f>SalesTable[[#This Row],[Profit]]/SalesTable[[#This Row],[Sales]]</f>
        <v>-2.3858377219980395E-2</v>
      </c>
    </row>
    <row r="1921" spans="1:12" ht="14" x14ac:dyDescent="0.15">
      <c r="A1921" s="1">
        <v>11920</v>
      </c>
      <c r="B1921" s="2">
        <v>46481</v>
      </c>
      <c r="C1921" s="1" t="s">
        <v>11</v>
      </c>
      <c r="D1921" s="1" t="s">
        <v>15</v>
      </c>
      <c r="E1921" s="1" t="s">
        <v>18</v>
      </c>
      <c r="F1921" s="1" t="s">
        <v>24</v>
      </c>
      <c r="G1921" s="4">
        <v>537.11</v>
      </c>
      <c r="H1921" s="1">
        <v>2</v>
      </c>
      <c r="I1921" s="1" t="str">
        <f>TEXT(SalesTable[[#This Row],[Order_Date]],"mmm")</f>
        <v>Apr</v>
      </c>
      <c r="J1921" s="1">
        <f>YEAR(SalesTable[[#This Row],[Order_Date]])</f>
        <v>2027</v>
      </c>
      <c r="K1921" s="4">
        <v>119.39</v>
      </c>
      <c r="L1921" s="9">
        <f>SalesTable[[#This Row],[Profit]]/SalesTable[[#This Row],[Sales]]</f>
        <v>0.22228221407160545</v>
      </c>
    </row>
    <row r="1922" spans="1:12" ht="14" x14ac:dyDescent="0.15">
      <c r="A1922" s="1">
        <v>11921</v>
      </c>
      <c r="B1922" s="2">
        <v>46482</v>
      </c>
      <c r="C1922" s="1" t="s">
        <v>9</v>
      </c>
      <c r="D1922" s="1" t="s">
        <v>14</v>
      </c>
      <c r="E1922" s="1" t="s">
        <v>18</v>
      </c>
      <c r="F1922" s="1" t="s">
        <v>25</v>
      </c>
      <c r="G1922" s="4">
        <v>428.34</v>
      </c>
      <c r="H1922" s="1">
        <v>6</v>
      </c>
      <c r="I1922" s="1" t="str">
        <f>TEXT(SalesTable[[#This Row],[Order_Date]],"mmm")</f>
        <v>Apr</v>
      </c>
      <c r="J1922" s="1">
        <f>YEAR(SalesTable[[#This Row],[Order_Date]])</f>
        <v>2027</v>
      </c>
      <c r="K1922" s="4">
        <v>-53.58</v>
      </c>
      <c r="L1922" s="9">
        <f>SalesTable[[#This Row],[Profit]]/SalesTable[[#This Row],[Sales]]</f>
        <v>-0.12508754727552879</v>
      </c>
    </row>
    <row r="1923" spans="1:12" ht="14" x14ac:dyDescent="0.15">
      <c r="A1923" s="1">
        <v>11922</v>
      </c>
      <c r="B1923" s="2">
        <v>46483</v>
      </c>
      <c r="C1923" s="1" t="s">
        <v>11</v>
      </c>
      <c r="D1923" s="1" t="s">
        <v>15</v>
      </c>
      <c r="E1923" s="1" t="s">
        <v>20</v>
      </c>
      <c r="F1923" s="1" t="s">
        <v>24</v>
      </c>
      <c r="G1923" s="4">
        <v>522.30999999999995</v>
      </c>
      <c r="H1923" s="1">
        <v>1</v>
      </c>
      <c r="I1923" s="1" t="str">
        <f>TEXT(SalesTable[[#This Row],[Order_Date]],"mmm")</f>
        <v>Apr</v>
      </c>
      <c r="J1923" s="1">
        <f>YEAR(SalesTable[[#This Row],[Order_Date]])</f>
        <v>2027</v>
      </c>
      <c r="K1923" s="4">
        <v>-90.76</v>
      </c>
      <c r="L1923" s="9">
        <f>SalesTable[[#This Row],[Profit]]/SalesTable[[#This Row],[Sales]]</f>
        <v>-0.1737665371139745</v>
      </c>
    </row>
    <row r="1924" spans="1:12" ht="14" x14ac:dyDescent="0.15">
      <c r="A1924" s="1">
        <v>11923</v>
      </c>
      <c r="B1924" s="2">
        <v>46484</v>
      </c>
      <c r="C1924" s="1" t="s">
        <v>10</v>
      </c>
      <c r="D1924" s="1" t="s">
        <v>14</v>
      </c>
      <c r="E1924" s="1" t="s">
        <v>16</v>
      </c>
      <c r="F1924" s="1" t="s">
        <v>23</v>
      </c>
      <c r="G1924" s="4">
        <v>684.04</v>
      </c>
      <c r="H1924" s="1">
        <v>7</v>
      </c>
      <c r="I1924" s="1" t="str">
        <f>TEXT(SalesTable[[#This Row],[Order_Date]],"mmm")</f>
        <v>Apr</v>
      </c>
      <c r="J1924" s="1">
        <f>YEAR(SalesTable[[#This Row],[Order_Date]])</f>
        <v>2027</v>
      </c>
      <c r="K1924" s="4">
        <v>-79.55</v>
      </c>
      <c r="L1924" s="9">
        <f>SalesTable[[#This Row],[Profit]]/SalesTable[[#This Row],[Sales]]</f>
        <v>-0.11629436875036547</v>
      </c>
    </row>
    <row r="1925" spans="1:12" ht="14" x14ac:dyDescent="0.15">
      <c r="A1925" s="1">
        <v>11924</v>
      </c>
      <c r="B1925" s="2">
        <v>46485</v>
      </c>
      <c r="C1925" s="1" t="s">
        <v>9</v>
      </c>
      <c r="D1925" s="1" t="s">
        <v>13</v>
      </c>
      <c r="E1925" s="1" t="s">
        <v>17</v>
      </c>
      <c r="F1925" s="1" t="s">
        <v>22</v>
      </c>
      <c r="G1925" s="4">
        <v>62.13</v>
      </c>
      <c r="H1925" s="1">
        <v>4</v>
      </c>
      <c r="I1925" s="1" t="str">
        <f>TEXT(SalesTable[[#This Row],[Order_Date]],"mmm")</f>
        <v>Apr</v>
      </c>
      <c r="J1925" s="1">
        <f>YEAR(SalesTable[[#This Row],[Order_Date]])</f>
        <v>2027</v>
      </c>
      <c r="K1925" s="4">
        <v>281.7</v>
      </c>
      <c r="L1925" s="9">
        <f>SalesTable[[#This Row],[Profit]]/SalesTable[[#This Row],[Sales]]</f>
        <v>4.5340415258329303</v>
      </c>
    </row>
    <row r="1926" spans="1:12" ht="14" x14ac:dyDescent="0.15">
      <c r="A1926" s="1">
        <v>11925</v>
      </c>
      <c r="B1926" s="2">
        <v>46486</v>
      </c>
      <c r="C1926" s="1" t="s">
        <v>12</v>
      </c>
      <c r="D1926" s="1" t="s">
        <v>15</v>
      </c>
      <c r="E1926" s="1" t="s">
        <v>18</v>
      </c>
      <c r="F1926" s="1" t="s">
        <v>22</v>
      </c>
      <c r="G1926" s="4">
        <v>877.97</v>
      </c>
      <c r="H1926" s="1">
        <v>5</v>
      </c>
      <c r="I1926" s="1" t="str">
        <f>TEXT(SalesTable[[#This Row],[Order_Date]],"mmm")</f>
        <v>Apr</v>
      </c>
      <c r="J1926" s="1">
        <f>YEAR(SalesTable[[#This Row],[Order_Date]])</f>
        <v>2027</v>
      </c>
      <c r="K1926" s="4">
        <v>-43.09</v>
      </c>
      <c r="L1926" s="9">
        <f>SalesTable[[#This Row],[Profit]]/SalesTable[[#This Row],[Sales]]</f>
        <v>-4.907912571044569E-2</v>
      </c>
    </row>
    <row r="1927" spans="1:12" ht="14" x14ac:dyDescent="0.15">
      <c r="A1927" s="1">
        <v>11926</v>
      </c>
      <c r="B1927" s="2">
        <v>46487</v>
      </c>
      <c r="C1927" s="1" t="s">
        <v>11</v>
      </c>
      <c r="D1927" s="1" t="s">
        <v>14</v>
      </c>
      <c r="E1927" s="1" t="s">
        <v>18</v>
      </c>
      <c r="F1927" s="1" t="s">
        <v>24</v>
      </c>
      <c r="G1927" s="4">
        <v>474.4</v>
      </c>
      <c r="H1927" s="1">
        <v>6</v>
      </c>
      <c r="I1927" s="1" t="str">
        <f>TEXT(SalesTable[[#This Row],[Order_Date]],"mmm")</f>
        <v>Apr</v>
      </c>
      <c r="J1927" s="1">
        <f>YEAR(SalesTable[[#This Row],[Order_Date]])</f>
        <v>2027</v>
      </c>
      <c r="K1927" s="4">
        <v>183.39</v>
      </c>
      <c r="L1927" s="9">
        <f>SalesTable[[#This Row],[Profit]]/SalesTable[[#This Row],[Sales]]</f>
        <v>0.38657251264755482</v>
      </c>
    </row>
    <row r="1928" spans="1:12" ht="14" x14ac:dyDescent="0.15">
      <c r="A1928" s="1">
        <v>11927</v>
      </c>
      <c r="B1928" s="2">
        <v>46488</v>
      </c>
      <c r="C1928" s="1" t="s">
        <v>11</v>
      </c>
      <c r="D1928" s="1" t="s">
        <v>13</v>
      </c>
      <c r="E1928" s="1" t="s">
        <v>16</v>
      </c>
      <c r="F1928" s="1" t="s">
        <v>21</v>
      </c>
      <c r="G1928" s="4">
        <v>375.82</v>
      </c>
      <c r="H1928" s="1">
        <v>1</v>
      </c>
      <c r="I1928" s="1" t="str">
        <f>TEXT(SalesTable[[#This Row],[Order_Date]],"mmm")</f>
        <v>Apr</v>
      </c>
      <c r="J1928" s="1">
        <f>YEAR(SalesTable[[#This Row],[Order_Date]])</f>
        <v>2027</v>
      </c>
      <c r="K1928" s="4">
        <v>-72.83</v>
      </c>
      <c r="L1928" s="9">
        <f>SalesTable[[#This Row],[Profit]]/SalesTable[[#This Row],[Sales]]</f>
        <v>-0.19378958011814165</v>
      </c>
    </row>
    <row r="1929" spans="1:12" ht="14" x14ac:dyDescent="0.15">
      <c r="A1929" s="1">
        <v>11928</v>
      </c>
      <c r="B1929" s="2">
        <v>46489</v>
      </c>
      <c r="C1929" s="1" t="s">
        <v>9</v>
      </c>
      <c r="D1929" s="1" t="s">
        <v>15</v>
      </c>
      <c r="E1929" s="1" t="s">
        <v>18</v>
      </c>
      <c r="F1929" s="1" t="s">
        <v>21</v>
      </c>
      <c r="G1929" s="4">
        <v>181.33</v>
      </c>
      <c r="H1929" s="1">
        <v>9</v>
      </c>
      <c r="I1929" s="1" t="str">
        <f>TEXT(SalesTable[[#This Row],[Order_Date]],"mmm")</f>
        <v>Apr</v>
      </c>
      <c r="J1929" s="1">
        <f>YEAR(SalesTable[[#This Row],[Order_Date]])</f>
        <v>2027</v>
      </c>
      <c r="K1929" s="4">
        <v>-56.74</v>
      </c>
      <c r="L1929" s="9">
        <f>SalesTable[[#This Row],[Profit]]/SalesTable[[#This Row],[Sales]]</f>
        <v>-0.31291016378977554</v>
      </c>
    </row>
    <row r="1930" spans="1:12" ht="14" x14ac:dyDescent="0.15">
      <c r="A1930" s="1">
        <v>11929</v>
      </c>
      <c r="B1930" s="2">
        <v>46490</v>
      </c>
      <c r="C1930" s="1" t="s">
        <v>10</v>
      </c>
      <c r="D1930" s="1" t="s">
        <v>15</v>
      </c>
      <c r="E1930" s="1" t="s">
        <v>20</v>
      </c>
      <c r="F1930" s="1" t="s">
        <v>24</v>
      </c>
      <c r="G1930" s="4">
        <v>467.49</v>
      </c>
      <c r="H1930" s="1">
        <v>4</v>
      </c>
      <c r="I1930" s="1" t="str">
        <f>TEXT(SalesTable[[#This Row],[Order_Date]],"mmm")</f>
        <v>Apr</v>
      </c>
      <c r="J1930" s="1">
        <f>YEAR(SalesTable[[#This Row],[Order_Date]])</f>
        <v>2027</v>
      </c>
      <c r="K1930" s="4">
        <v>103.55</v>
      </c>
      <c r="L1930" s="9">
        <f>SalesTable[[#This Row],[Profit]]/SalesTable[[#This Row],[Sales]]</f>
        <v>0.22150206421527732</v>
      </c>
    </row>
    <row r="1931" spans="1:12" ht="14" x14ac:dyDescent="0.15">
      <c r="A1931" s="1">
        <v>11930</v>
      </c>
      <c r="B1931" s="2">
        <v>46491</v>
      </c>
      <c r="C1931" s="1" t="s">
        <v>9</v>
      </c>
      <c r="D1931" s="1" t="s">
        <v>15</v>
      </c>
      <c r="E1931" s="1" t="s">
        <v>20</v>
      </c>
      <c r="F1931" s="1" t="s">
        <v>23</v>
      </c>
      <c r="G1931" s="4">
        <v>521.51</v>
      </c>
      <c r="H1931" s="1">
        <v>8</v>
      </c>
      <c r="I1931" s="1" t="str">
        <f>TEXT(SalesTable[[#This Row],[Order_Date]],"mmm")</f>
        <v>Apr</v>
      </c>
      <c r="J1931" s="1">
        <f>YEAR(SalesTable[[#This Row],[Order_Date]])</f>
        <v>2027</v>
      </c>
      <c r="K1931" s="4">
        <v>85.95</v>
      </c>
      <c r="L1931" s="9">
        <f>SalesTable[[#This Row],[Profit]]/SalesTable[[#This Row],[Sales]]</f>
        <v>0.16480987900519645</v>
      </c>
    </row>
    <row r="1932" spans="1:12" ht="14" x14ac:dyDescent="0.15">
      <c r="A1932" s="1">
        <v>11931</v>
      </c>
      <c r="B1932" s="2">
        <v>46492</v>
      </c>
      <c r="C1932" s="1" t="s">
        <v>10</v>
      </c>
      <c r="D1932" s="1" t="s">
        <v>14</v>
      </c>
      <c r="E1932" s="1" t="s">
        <v>18</v>
      </c>
      <c r="F1932" s="1" t="s">
        <v>21</v>
      </c>
      <c r="G1932" s="4">
        <v>433.46</v>
      </c>
      <c r="H1932" s="1">
        <v>5</v>
      </c>
      <c r="I1932" s="1" t="str">
        <f>TEXT(SalesTable[[#This Row],[Order_Date]],"mmm")</f>
        <v>Apr</v>
      </c>
      <c r="J1932" s="1">
        <f>YEAR(SalesTable[[#This Row],[Order_Date]])</f>
        <v>2027</v>
      </c>
      <c r="K1932" s="4">
        <v>280.63</v>
      </c>
      <c r="L1932" s="9">
        <f>SalesTable[[#This Row],[Profit]]/SalesTable[[#This Row],[Sales]]</f>
        <v>0.64741844691551698</v>
      </c>
    </row>
    <row r="1933" spans="1:12" ht="14" x14ac:dyDescent="0.15">
      <c r="A1933" s="1">
        <v>11932</v>
      </c>
      <c r="B1933" s="2">
        <v>46493</v>
      </c>
      <c r="C1933" s="1" t="s">
        <v>10</v>
      </c>
      <c r="D1933" s="1" t="s">
        <v>14</v>
      </c>
      <c r="E1933" s="1" t="s">
        <v>16</v>
      </c>
      <c r="F1933" s="1" t="s">
        <v>24</v>
      </c>
      <c r="G1933" s="4">
        <v>694.73</v>
      </c>
      <c r="H1933" s="1">
        <v>8</v>
      </c>
      <c r="I1933" s="1" t="str">
        <f>TEXT(SalesTable[[#This Row],[Order_Date]],"mmm")</f>
        <v>Apr</v>
      </c>
      <c r="J1933" s="1">
        <f>YEAR(SalesTable[[#This Row],[Order_Date]])</f>
        <v>2027</v>
      </c>
      <c r="K1933" s="4">
        <v>277.93</v>
      </c>
      <c r="L1933" s="9">
        <f>SalesTable[[#This Row],[Profit]]/SalesTable[[#This Row],[Sales]]</f>
        <v>0.40005469750838457</v>
      </c>
    </row>
    <row r="1934" spans="1:12" ht="14" x14ac:dyDescent="0.15">
      <c r="A1934" s="1">
        <v>11933</v>
      </c>
      <c r="B1934" s="2">
        <v>46494</v>
      </c>
      <c r="C1934" s="1" t="s">
        <v>11</v>
      </c>
      <c r="D1934" s="1" t="s">
        <v>13</v>
      </c>
      <c r="E1934" s="1" t="s">
        <v>16</v>
      </c>
      <c r="F1934" s="1" t="s">
        <v>23</v>
      </c>
      <c r="G1934" s="4">
        <v>449.85</v>
      </c>
      <c r="H1934" s="1">
        <v>1</v>
      </c>
      <c r="I1934" s="1" t="str">
        <f>TEXT(SalesTable[[#This Row],[Order_Date]],"mmm")</f>
        <v>Apr</v>
      </c>
      <c r="J1934" s="1">
        <f>YEAR(SalesTable[[#This Row],[Order_Date]])</f>
        <v>2027</v>
      </c>
      <c r="K1934" s="4">
        <v>211.84</v>
      </c>
      <c r="L1934" s="9">
        <f>SalesTable[[#This Row],[Profit]]/SalesTable[[#This Row],[Sales]]</f>
        <v>0.4709125263976881</v>
      </c>
    </row>
    <row r="1935" spans="1:12" ht="14" x14ac:dyDescent="0.15">
      <c r="A1935" s="1">
        <v>11934</v>
      </c>
      <c r="B1935" s="2">
        <v>46495</v>
      </c>
      <c r="C1935" s="1" t="s">
        <v>9</v>
      </c>
      <c r="D1935" s="1" t="s">
        <v>14</v>
      </c>
      <c r="E1935" s="1" t="s">
        <v>16</v>
      </c>
      <c r="F1935" s="1" t="s">
        <v>23</v>
      </c>
      <c r="G1935" s="4">
        <v>963.35</v>
      </c>
      <c r="H1935" s="1">
        <v>8</v>
      </c>
      <c r="I1935" s="1" t="str">
        <f>TEXT(SalesTable[[#This Row],[Order_Date]],"mmm")</f>
        <v>Apr</v>
      </c>
      <c r="J1935" s="1">
        <f>YEAR(SalesTable[[#This Row],[Order_Date]])</f>
        <v>2027</v>
      </c>
      <c r="K1935" s="4">
        <v>140.84</v>
      </c>
      <c r="L1935" s="9">
        <f>SalesTable[[#This Row],[Profit]]/SalesTable[[#This Row],[Sales]]</f>
        <v>0.14619816266154564</v>
      </c>
    </row>
    <row r="1936" spans="1:12" ht="14" x14ac:dyDescent="0.15">
      <c r="A1936" s="1">
        <v>11935</v>
      </c>
      <c r="B1936" s="2">
        <v>46496</v>
      </c>
      <c r="C1936" s="1" t="s">
        <v>9</v>
      </c>
      <c r="D1936" s="1" t="s">
        <v>14</v>
      </c>
      <c r="E1936" s="1" t="s">
        <v>19</v>
      </c>
      <c r="F1936" s="1" t="s">
        <v>25</v>
      </c>
      <c r="G1936" s="4">
        <v>619.30999999999995</v>
      </c>
      <c r="H1936" s="1">
        <v>4</v>
      </c>
      <c r="I1936" s="1" t="str">
        <f>TEXT(SalesTable[[#This Row],[Order_Date]],"mmm")</f>
        <v>Apr</v>
      </c>
      <c r="J1936" s="1">
        <f>YEAR(SalesTable[[#This Row],[Order_Date]])</f>
        <v>2027</v>
      </c>
      <c r="K1936" s="4">
        <v>81.98</v>
      </c>
      <c r="L1936" s="9">
        <f>SalesTable[[#This Row],[Profit]]/SalesTable[[#This Row],[Sales]]</f>
        <v>0.13237312492935688</v>
      </c>
    </row>
    <row r="1937" spans="1:12" ht="14" x14ac:dyDescent="0.15">
      <c r="A1937" s="1">
        <v>11936</v>
      </c>
      <c r="B1937" s="2">
        <v>46497</v>
      </c>
      <c r="C1937" s="1" t="s">
        <v>10</v>
      </c>
      <c r="D1937" s="1" t="s">
        <v>15</v>
      </c>
      <c r="E1937" s="1" t="s">
        <v>18</v>
      </c>
      <c r="F1937" s="1" t="s">
        <v>23</v>
      </c>
      <c r="G1937" s="4">
        <v>817.1</v>
      </c>
      <c r="H1937" s="1">
        <v>2</v>
      </c>
      <c r="I1937" s="1" t="str">
        <f>TEXT(SalesTable[[#This Row],[Order_Date]],"mmm")</f>
        <v>Apr</v>
      </c>
      <c r="J1937" s="1">
        <f>YEAR(SalesTable[[#This Row],[Order_Date]])</f>
        <v>2027</v>
      </c>
      <c r="K1937" s="4">
        <v>42.47</v>
      </c>
      <c r="L1937" s="9">
        <f>SalesTable[[#This Row],[Profit]]/SalesTable[[#This Row],[Sales]]</f>
        <v>5.197650226410476E-2</v>
      </c>
    </row>
    <row r="1938" spans="1:12" ht="14" x14ac:dyDescent="0.15">
      <c r="A1938" s="1">
        <v>11937</v>
      </c>
      <c r="B1938" s="2">
        <v>46498</v>
      </c>
      <c r="C1938" s="1" t="s">
        <v>9</v>
      </c>
      <c r="D1938" s="1" t="s">
        <v>15</v>
      </c>
      <c r="E1938" s="1" t="s">
        <v>16</v>
      </c>
      <c r="F1938" s="1" t="s">
        <v>21</v>
      </c>
      <c r="G1938" s="4">
        <v>153.88999999999999</v>
      </c>
      <c r="H1938" s="1">
        <v>6</v>
      </c>
      <c r="I1938" s="1" t="str">
        <f>TEXT(SalesTable[[#This Row],[Order_Date]],"mmm")</f>
        <v>Apr</v>
      </c>
      <c r="J1938" s="1">
        <f>YEAR(SalesTable[[#This Row],[Order_Date]])</f>
        <v>2027</v>
      </c>
      <c r="K1938" s="4">
        <v>278.83999999999997</v>
      </c>
      <c r="L1938" s="9">
        <f>SalesTable[[#This Row],[Profit]]/SalesTable[[#This Row],[Sales]]</f>
        <v>1.8119435960751187</v>
      </c>
    </row>
    <row r="1939" spans="1:12" ht="14" x14ac:dyDescent="0.15">
      <c r="A1939" s="1">
        <v>11938</v>
      </c>
      <c r="B1939" s="2">
        <v>46499</v>
      </c>
      <c r="C1939" s="1" t="s">
        <v>12</v>
      </c>
      <c r="D1939" s="1" t="s">
        <v>15</v>
      </c>
      <c r="E1939" s="1" t="s">
        <v>20</v>
      </c>
      <c r="F1939" s="1" t="s">
        <v>21</v>
      </c>
      <c r="G1939" s="4">
        <v>427.43</v>
      </c>
      <c r="H1939" s="1">
        <v>2</v>
      </c>
      <c r="I1939" s="1" t="str">
        <f>TEXT(SalesTable[[#This Row],[Order_Date]],"mmm")</f>
        <v>Apr</v>
      </c>
      <c r="J1939" s="1">
        <f>YEAR(SalesTable[[#This Row],[Order_Date]])</f>
        <v>2027</v>
      </c>
      <c r="K1939" s="4">
        <v>141.16</v>
      </c>
      <c r="L1939" s="9">
        <f>SalesTable[[#This Row],[Profit]]/SalesTable[[#This Row],[Sales]]</f>
        <v>0.3302529069087336</v>
      </c>
    </row>
    <row r="1940" spans="1:12" ht="14" x14ac:dyDescent="0.15">
      <c r="A1940" s="1">
        <v>11939</v>
      </c>
      <c r="B1940" s="2">
        <v>46500</v>
      </c>
      <c r="C1940" s="1" t="s">
        <v>12</v>
      </c>
      <c r="D1940" s="1" t="s">
        <v>15</v>
      </c>
      <c r="E1940" s="1" t="s">
        <v>17</v>
      </c>
      <c r="F1940" s="1" t="s">
        <v>24</v>
      </c>
      <c r="G1940" s="4">
        <v>370.01</v>
      </c>
      <c r="H1940" s="1">
        <v>5</v>
      </c>
      <c r="I1940" s="1" t="str">
        <f>TEXT(SalesTable[[#This Row],[Order_Date]],"mmm")</f>
        <v>Apr</v>
      </c>
      <c r="J1940" s="1">
        <f>YEAR(SalesTable[[#This Row],[Order_Date]])</f>
        <v>2027</v>
      </c>
      <c r="K1940" s="4">
        <v>131.63</v>
      </c>
      <c r="L1940" s="9">
        <f>SalesTable[[#This Row],[Profit]]/SalesTable[[#This Row],[Sales]]</f>
        <v>0.35574714196913598</v>
      </c>
    </row>
    <row r="1941" spans="1:12" ht="14" x14ac:dyDescent="0.15">
      <c r="A1941" s="1">
        <v>11940</v>
      </c>
      <c r="B1941" s="2">
        <v>46501</v>
      </c>
      <c r="C1941" s="1" t="s">
        <v>9</v>
      </c>
      <c r="D1941" s="1" t="s">
        <v>15</v>
      </c>
      <c r="E1941" s="1" t="s">
        <v>17</v>
      </c>
      <c r="F1941" s="1" t="s">
        <v>24</v>
      </c>
      <c r="G1941" s="4">
        <v>591.01</v>
      </c>
      <c r="H1941" s="1">
        <v>2</v>
      </c>
      <c r="I1941" s="1" t="str">
        <f>TEXT(SalesTable[[#This Row],[Order_Date]],"mmm")</f>
        <v>Apr</v>
      </c>
      <c r="J1941" s="1">
        <f>YEAR(SalesTable[[#This Row],[Order_Date]])</f>
        <v>2027</v>
      </c>
      <c r="K1941" s="4">
        <v>-7.24</v>
      </c>
      <c r="L1941" s="9">
        <f>SalesTable[[#This Row],[Profit]]/SalesTable[[#This Row],[Sales]]</f>
        <v>-1.2250215732390315E-2</v>
      </c>
    </row>
    <row r="1942" spans="1:12" ht="14" x14ac:dyDescent="0.15">
      <c r="A1942" s="1">
        <v>11941</v>
      </c>
      <c r="B1942" s="2">
        <v>46502</v>
      </c>
      <c r="C1942" s="1" t="s">
        <v>9</v>
      </c>
      <c r="D1942" s="1" t="s">
        <v>15</v>
      </c>
      <c r="E1942" s="1" t="s">
        <v>16</v>
      </c>
      <c r="F1942" s="1" t="s">
        <v>23</v>
      </c>
      <c r="G1942" s="4">
        <v>868.06</v>
      </c>
      <c r="H1942" s="1">
        <v>3</v>
      </c>
      <c r="I1942" s="1" t="str">
        <f>TEXT(SalesTable[[#This Row],[Order_Date]],"mmm")</f>
        <v>Apr</v>
      </c>
      <c r="J1942" s="1">
        <f>YEAR(SalesTable[[#This Row],[Order_Date]])</f>
        <v>2027</v>
      </c>
      <c r="K1942" s="4">
        <v>-81.319999999999993</v>
      </c>
      <c r="L1942" s="9">
        <f>SalesTable[[#This Row],[Profit]]/SalesTable[[#This Row],[Sales]]</f>
        <v>-9.3680160357578965E-2</v>
      </c>
    </row>
    <row r="1943" spans="1:12" ht="14" x14ac:dyDescent="0.15">
      <c r="A1943" s="1">
        <v>11942</v>
      </c>
      <c r="B1943" s="2">
        <v>46503</v>
      </c>
      <c r="C1943" s="1" t="s">
        <v>10</v>
      </c>
      <c r="D1943" s="1" t="s">
        <v>15</v>
      </c>
      <c r="E1943" s="1" t="s">
        <v>17</v>
      </c>
      <c r="F1943" s="1" t="s">
        <v>22</v>
      </c>
      <c r="G1943" s="4">
        <v>124.42</v>
      </c>
      <c r="H1943" s="1">
        <v>6</v>
      </c>
      <c r="I1943" s="1" t="str">
        <f>TEXT(SalesTable[[#This Row],[Order_Date]],"mmm")</f>
        <v>Apr</v>
      </c>
      <c r="J1943" s="1">
        <f>YEAR(SalesTable[[#This Row],[Order_Date]])</f>
        <v>2027</v>
      </c>
      <c r="K1943" s="4">
        <v>278.08</v>
      </c>
      <c r="L1943" s="9">
        <f>SalesTable[[#This Row],[Profit]]/SalesTable[[#This Row],[Sales]]</f>
        <v>2.2350104484809514</v>
      </c>
    </row>
    <row r="1944" spans="1:12" ht="14" x14ac:dyDescent="0.15">
      <c r="A1944" s="1">
        <v>11943</v>
      </c>
      <c r="B1944" s="2">
        <v>46504</v>
      </c>
      <c r="C1944" s="1" t="s">
        <v>12</v>
      </c>
      <c r="D1944" s="1" t="s">
        <v>13</v>
      </c>
      <c r="E1944" s="1" t="s">
        <v>17</v>
      </c>
      <c r="F1944" s="1" t="s">
        <v>25</v>
      </c>
      <c r="G1944" s="4">
        <v>118.95</v>
      </c>
      <c r="H1944" s="1">
        <v>1</v>
      </c>
      <c r="I1944" s="1" t="str">
        <f>TEXT(SalesTable[[#This Row],[Order_Date]],"mmm")</f>
        <v>Apr</v>
      </c>
      <c r="J1944" s="1">
        <f>YEAR(SalesTable[[#This Row],[Order_Date]])</f>
        <v>2027</v>
      </c>
      <c r="K1944" s="4">
        <v>25.49</v>
      </c>
      <c r="L1944" s="9">
        <f>SalesTable[[#This Row],[Profit]]/SalesTable[[#This Row],[Sales]]</f>
        <v>0.21429171920975199</v>
      </c>
    </row>
    <row r="1945" spans="1:12" ht="14" x14ac:dyDescent="0.15">
      <c r="A1945" s="1">
        <v>11944</v>
      </c>
      <c r="B1945" s="2">
        <v>46505</v>
      </c>
      <c r="C1945" s="1" t="s">
        <v>12</v>
      </c>
      <c r="D1945" s="1" t="s">
        <v>13</v>
      </c>
      <c r="E1945" s="1" t="s">
        <v>19</v>
      </c>
      <c r="F1945" s="1" t="s">
        <v>22</v>
      </c>
      <c r="G1945" s="4">
        <v>857.8</v>
      </c>
      <c r="H1945" s="1">
        <v>6</v>
      </c>
      <c r="I1945" s="1" t="str">
        <f>TEXT(SalesTable[[#This Row],[Order_Date]],"mmm")</f>
        <v>Apr</v>
      </c>
      <c r="J1945" s="1">
        <f>YEAR(SalesTable[[#This Row],[Order_Date]])</f>
        <v>2027</v>
      </c>
      <c r="K1945" s="4">
        <v>77.040000000000006</v>
      </c>
      <c r="L1945" s="9">
        <f>SalesTable[[#This Row],[Profit]]/SalesTable[[#This Row],[Sales]]</f>
        <v>8.9811144788995115E-2</v>
      </c>
    </row>
    <row r="1946" spans="1:12" ht="14" x14ac:dyDescent="0.15">
      <c r="A1946" s="1">
        <v>11945</v>
      </c>
      <c r="B1946" s="2">
        <v>46506</v>
      </c>
      <c r="C1946" s="1" t="s">
        <v>11</v>
      </c>
      <c r="D1946" s="1" t="s">
        <v>13</v>
      </c>
      <c r="E1946" s="1" t="s">
        <v>20</v>
      </c>
      <c r="F1946" s="1" t="s">
        <v>23</v>
      </c>
      <c r="G1946" s="4">
        <v>252.21</v>
      </c>
      <c r="H1946" s="1">
        <v>3</v>
      </c>
      <c r="I1946" s="1" t="str">
        <f>TEXT(SalesTable[[#This Row],[Order_Date]],"mmm")</f>
        <v>Apr</v>
      </c>
      <c r="J1946" s="1">
        <f>YEAR(SalesTable[[#This Row],[Order_Date]])</f>
        <v>2027</v>
      </c>
      <c r="K1946" s="4">
        <v>-54.14</v>
      </c>
      <c r="L1946" s="9">
        <f>SalesTable[[#This Row],[Profit]]/SalesTable[[#This Row],[Sales]]</f>
        <v>-0.2146623845208358</v>
      </c>
    </row>
    <row r="1947" spans="1:12" ht="14" x14ac:dyDescent="0.15">
      <c r="A1947" s="1">
        <v>11946</v>
      </c>
      <c r="B1947" s="2">
        <v>46507</v>
      </c>
      <c r="C1947" s="1" t="s">
        <v>10</v>
      </c>
      <c r="D1947" s="1" t="s">
        <v>13</v>
      </c>
      <c r="E1947" s="1" t="s">
        <v>20</v>
      </c>
      <c r="F1947" s="1" t="s">
        <v>23</v>
      </c>
      <c r="G1947" s="4">
        <v>685.32</v>
      </c>
      <c r="H1947" s="1">
        <v>7</v>
      </c>
      <c r="I1947" s="1" t="str">
        <f>TEXT(SalesTable[[#This Row],[Order_Date]],"mmm")</f>
        <v>Apr</v>
      </c>
      <c r="J1947" s="1">
        <f>YEAR(SalesTable[[#This Row],[Order_Date]])</f>
        <v>2027</v>
      </c>
      <c r="K1947" s="4">
        <v>234.77</v>
      </c>
      <c r="L1947" s="9">
        <f>SalesTable[[#This Row],[Profit]]/SalesTable[[#This Row],[Sales]]</f>
        <v>0.34256989435592133</v>
      </c>
    </row>
    <row r="1948" spans="1:12" ht="14" x14ac:dyDescent="0.15">
      <c r="A1948" s="1">
        <v>11947</v>
      </c>
      <c r="B1948" s="2">
        <v>46508</v>
      </c>
      <c r="C1948" s="1" t="s">
        <v>11</v>
      </c>
      <c r="D1948" s="1" t="s">
        <v>15</v>
      </c>
      <c r="E1948" s="1" t="s">
        <v>19</v>
      </c>
      <c r="F1948" s="1" t="s">
        <v>22</v>
      </c>
      <c r="G1948" s="4">
        <v>565.73</v>
      </c>
      <c r="H1948" s="1">
        <v>2</v>
      </c>
      <c r="I1948" s="1" t="str">
        <f>TEXT(SalesTable[[#This Row],[Order_Date]],"mmm")</f>
        <v>May</v>
      </c>
      <c r="J1948" s="1">
        <f>YEAR(SalesTable[[#This Row],[Order_Date]])</f>
        <v>2027</v>
      </c>
      <c r="K1948" s="4">
        <v>-88.95</v>
      </c>
      <c r="L1948" s="9">
        <f>SalesTable[[#This Row],[Profit]]/SalesTable[[#This Row],[Sales]]</f>
        <v>-0.15723048097148817</v>
      </c>
    </row>
    <row r="1949" spans="1:12" ht="14" x14ac:dyDescent="0.15">
      <c r="A1949" s="1">
        <v>11948</v>
      </c>
      <c r="B1949" s="2">
        <v>46509</v>
      </c>
      <c r="C1949" s="1" t="s">
        <v>12</v>
      </c>
      <c r="D1949" s="1" t="s">
        <v>13</v>
      </c>
      <c r="E1949" s="1" t="s">
        <v>19</v>
      </c>
      <c r="F1949" s="1" t="s">
        <v>25</v>
      </c>
      <c r="G1949" s="4">
        <v>841.25</v>
      </c>
      <c r="H1949" s="1">
        <v>6</v>
      </c>
      <c r="I1949" s="1" t="str">
        <f>TEXT(SalesTable[[#This Row],[Order_Date]],"mmm")</f>
        <v>May</v>
      </c>
      <c r="J1949" s="1">
        <f>YEAR(SalesTable[[#This Row],[Order_Date]])</f>
        <v>2027</v>
      </c>
      <c r="K1949" s="4">
        <v>233.6</v>
      </c>
      <c r="L1949" s="9">
        <f>SalesTable[[#This Row],[Profit]]/SalesTable[[#This Row],[Sales]]</f>
        <v>0.27768202080237742</v>
      </c>
    </row>
    <row r="1950" spans="1:12" ht="14" x14ac:dyDescent="0.15">
      <c r="A1950" s="1">
        <v>11949</v>
      </c>
      <c r="B1950" s="2">
        <v>46510</v>
      </c>
      <c r="C1950" s="1" t="s">
        <v>10</v>
      </c>
      <c r="D1950" s="1" t="s">
        <v>15</v>
      </c>
      <c r="E1950" s="1" t="s">
        <v>17</v>
      </c>
      <c r="F1950" s="1" t="s">
        <v>22</v>
      </c>
      <c r="G1950" s="4">
        <v>168.83</v>
      </c>
      <c r="H1950" s="1">
        <v>8</v>
      </c>
      <c r="I1950" s="1" t="str">
        <f>TEXT(SalesTable[[#This Row],[Order_Date]],"mmm")</f>
        <v>May</v>
      </c>
      <c r="J1950" s="1">
        <f>YEAR(SalesTable[[#This Row],[Order_Date]])</f>
        <v>2027</v>
      </c>
      <c r="K1950" s="4">
        <v>-43.89</v>
      </c>
      <c r="L1950" s="9">
        <f>SalesTable[[#This Row],[Profit]]/SalesTable[[#This Row],[Sales]]</f>
        <v>-0.25996564591601018</v>
      </c>
    </row>
    <row r="1951" spans="1:12" ht="14" x14ac:dyDescent="0.15">
      <c r="A1951" s="1">
        <v>11950</v>
      </c>
      <c r="B1951" s="2">
        <v>46511</v>
      </c>
      <c r="C1951" s="1" t="s">
        <v>9</v>
      </c>
      <c r="D1951" s="1" t="s">
        <v>13</v>
      </c>
      <c r="E1951" s="1" t="s">
        <v>18</v>
      </c>
      <c r="F1951" s="1" t="s">
        <v>24</v>
      </c>
      <c r="G1951" s="4">
        <v>173.29</v>
      </c>
      <c r="H1951" s="1">
        <v>1</v>
      </c>
      <c r="I1951" s="1" t="str">
        <f>TEXT(SalesTable[[#This Row],[Order_Date]],"mmm")</f>
        <v>May</v>
      </c>
      <c r="J1951" s="1">
        <f>YEAR(SalesTable[[#This Row],[Order_Date]])</f>
        <v>2027</v>
      </c>
      <c r="K1951" s="4">
        <v>254.63</v>
      </c>
      <c r="L1951" s="9">
        <f>SalesTable[[#This Row],[Profit]]/SalesTable[[#This Row],[Sales]]</f>
        <v>1.4693865774135841</v>
      </c>
    </row>
    <row r="1952" spans="1:12" ht="14" x14ac:dyDescent="0.15">
      <c r="A1952" s="1">
        <v>11951</v>
      </c>
      <c r="B1952" s="2">
        <v>46512</v>
      </c>
      <c r="C1952" s="1" t="s">
        <v>10</v>
      </c>
      <c r="D1952" s="1" t="s">
        <v>14</v>
      </c>
      <c r="E1952" s="1" t="s">
        <v>17</v>
      </c>
      <c r="F1952" s="1" t="s">
        <v>21</v>
      </c>
      <c r="G1952" s="4">
        <v>578.98</v>
      </c>
      <c r="H1952" s="1">
        <v>9</v>
      </c>
      <c r="I1952" s="1" t="str">
        <f>TEXT(SalesTable[[#This Row],[Order_Date]],"mmm")</f>
        <v>May</v>
      </c>
      <c r="J1952" s="1">
        <f>YEAR(SalesTable[[#This Row],[Order_Date]])</f>
        <v>2027</v>
      </c>
      <c r="K1952" s="4">
        <v>191.91</v>
      </c>
      <c r="L1952" s="9">
        <f>SalesTable[[#This Row],[Profit]]/SalesTable[[#This Row],[Sales]]</f>
        <v>0.33146222667449649</v>
      </c>
    </row>
    <row r="1953" spans="1:12" ht="14" x14ac:dyDescent="0.15">
      <c r="A1953" s="1">
        <v>11952</v>
      </c>
      <c r="B1953" s="2">
        <v>46513</v>
      </c>
      <c r="C1953" s="1" t="s">
        <v>9</v>
      </c>
      <c r="D1953" s="1" t="s">
        <v>13</v>
      </c>
      <c r="E1953" s="1" t="s">
        <v>19</v>
      </c>
      <c r="F1953" s="1" t="s">
        <v>24</v>
      </c>
      <c r="G1953" s="4">
        <v>949.06</v>
      </c>
      <c r="H1953" s="1">
        <v>5</v>
      </c>
      <c r="I1953" s="1" t="str">
        <f>TEXT(SalesTable[[#This Row],[Order_Date]],"mmm")</f>
        <v>May</v>
      </c>
      <c r="J1953" s="1">
        <f>YEAR(SalesTable[[#This Row],[Order_Date]])</f>
        <v>2027</v>
      </c>
      <c r="K1953" s="4">
        <v>-34.130000000000003</v>
      </c>
      <c r="L1953" s="9">
        <f>SalesTable[[#This Row],[Profit]]/SalesTable[[#This Row],[Sales]]</f>
        <v>-3.5961899142309239E-2</v>
      </c>
    </row>
    <row r="1954" spans="1:12" ht="14" x14ac:dyDescent="0.15">
      <c r="A1954" s="1">
        <v>11953</v>
      </c>
      <c r="B1954" s="2">
        <v>46514</v>
      </c>
      <c r="C1954" s="1" t="s">
        <v>9</v>
      </c>
      <c r="D1954" s="1" t="s">
        <v>13</v>
      </c>
      <c r="E1954" s="1" t="s">
        <v>20</v>
      </c>
      <c r="F1954" s="1" t="s">
        <v>21</v>
      </c>
      <c r="G1954" s="4">
        <v>444.25</v>
      </c>
      <c r="H1954" s="1">
        <v>5</v>
      </c>
      <c r="I1954" s="1" t="str">
        <f>TEXT(SalesTable[[#This Row],[Order_Date]],"mmm")</f>
        <v>May</v>
      </c>
      <c r="J1954" s="1">
        <f>YEAR(SalesTable[[#This Row],[Order_Date]])</f>
        <v>2027</v>
      </c>
      <c r="K1954" s="4">
        <v>126.33</v>
      </c>
      <c r="L1954" s="9">
        <f>SalesTable[[#This Row],[Profit]]/SalesTable[[#This Row],[Sales]]</f>
        <v>0.28436691052335394</v>
      </c>
    </row>
    <row r="1955" spans="1:12" ht="14" x14ac:dyDescent="0.15">
      <c r="A1955" s="1">
        <v>11954</v>
      </c>
      <c r="B1955" s="2">
        <v>46515</v>
      </c>
      <c r="C1955" s="1" t="s">
        <v>10</v>
      </c>
      <c r="D1955" s="1" t="s">
        <v>15</v>
      </c>
      <c r="E1955" s="1" t="s">
        <v>17</v>
      </c>
      <c r="F1955" s="1" t="s">
        <v>23</v>
      </c>
      <c r="G1955" s="4">
        <v>360.59</v>
      </c>
      <c r="H1955" s="1">
        <v>5</v>
      </c>
      <c r="I1955" s="1" t="str">
        <f>TEXT(SalesTable[[#This Row],[Order_Date]],"mmm")</f>
        <v>May</v>
      </c>
      <c r="J1955" s="1">
        <f>YEAR(SalesTable[[#This Row],[Order_Date]])</f>
        <v>2027</v>
      </c>
      <c r="K1955" s="4">
        <v>25.06</v>
      </c>
      <c r="L1955" s="9">
        <f>SalesTable[[#This Row],[Profit]]/SalesTable[[#This Row],[Sales]]</f>
        <v>6.9497212901078784E-2</v>
      </c>
    </row>
    <row r="1956" spans="1:12" ht="14" x14ac:dyDescent="0.15">
      <c r="A1956" s="1">
        <v>11955</v>
      </c>
      <c r="B1956" s="2">
        <v>46516</v>
      </c>
      <c r="C1956" s="1" t="s">
        <v>9</v>
      </c>
      <c r="D1956" s="1" t="s">
        <v>13</v>
      </c>
      <c r="E1956" s="1" t="s">
        <v>18</v>
      </c>
      <c r="F1956" s="1" t="s">
        <v>25</v>
      </c>
      <c r="G1956" s="4">
        <v>626.35</v>
      </c>
      <c r="H1956" s="1">
        <v>6</v>
      </c>
      <c r="I1956" s="1" t="str">
        <f>TEXT(SalesTable[[#This Row],[Order_Date]],"mmm")</f>
        <v>May</v>
      </c>
      <c r="J1956" s="1">
        <f>YEAR(SalesTable[[#This Row],[Order_Date]])</f>
        <v>2027</v>
      </c>
      <c r="K1956" s="4">
        <v>-28.71</v>
      </c>
      <c r="L1956" s="9">
        <f>SalesTable[[#This Row],[Profit]]/SalesTable[[#This Row],[Sales]]</f>
        <v>-4.5836992097070331E-2</v>
      </c>
    </row>
    <row r="1957" spans="1:12" ht="14" x14ac:dyDescent="0.15">
      <c r="A1957" s="1">
        <v>11956</v>
      </c>
      <c r="B1957" s="2">
        <v>46517</v>
      </c>
      <c r="C1957" s="1" t="s">
        <v>11</v>
      </c>
      <c r="D1957" s="1" t="s">
        <v>14</v>
      </c>
      <c r="E1957" s="1" t="s">
        <v>17</v>
      </c>
      <c r="F1957" s="1" t="s">
        <v>22</v>
      </c>
      <c r="G1957" s="4">
        <v>933.93</v>
      </c>
      <c r="H1957" s="1">
        <v>2</v>
      </c>
      <c r="I1957" s="1" t="str">
        <f>TEXT(SalesTable[[#This Row],[Order_Date]],"mmm")</f>
        <v>May</v>
      </c>
      <c r="J1957" s="1">
        <f>YEAR(SalesTable[[#This Row],[Order_Date]])</f>
        <v>2027</v>
      </c>
      <c r="K1957" s="4">
        <v>243.67</v>
      </c>
      <c r="L1957" s="9">
        <f>SalesTable[[#This Row],[Profit]]/SalesTable[[#This Row],[Sales]]</f>
        <v>0.26090820511173213</v>
      </c>
    </row>
    <row r="1958" spans="1:12" ht="14" x14ac:dyDescent="0.15">
      <c r="A1958" s="1">
        <v>11957</v>
      </c>
      <c r="B1958" s="2">
        <v>46518</v>
      </c>
      <c r="C1958" s="1" t="s">
        <v>12</v>
      </c>
      <c r="D1958" s="1" t="s">
        <v>15</v>
      </c>
      <c r="E1958" s="1" t="s">
        <v>16</v>
      </c>
      <c r="F1958" s="1" t="s">
        <v>25</v>
      </c>
      <c r="G1958" s="4">
        <v>845.08</v>
      </c>
      <c r="H1958" s="1">
        <v>6</v>
      </c>
      <c r="I1958" s="1" t="str">
        <f>TEXT(SalesTable[[#This Row],[Order_Date]],"mmm")</f>
        <v>May</v>
      </c>
      <c r="J1958" s="1">
        <f>YEAR(SalesTable[[#This Row],[Order_Date]])</f>
        <v>2027</v>
      </c>
      <c r="K1958" s="4">
        <v>61.41</v>
      </c>
      <c r="L1958" s="9">
        <f>SalesTable[[#This Row],[Profit]]/SalesTable[[#This Row],[Sales]]</f>
        <v>7.2667676433000414E-2</v>
      </c>
    </row>
    <row r="1959" spans="1:12" ht="14" x14ac:dyDescent="0.15">
      <c r="A1959" s="1">
        <v>11958</v>
      </c>
      <c r="B1959" s="2">
        <v>46519</v>
      </c>
      <c r="C1959" s="1" t="s">
        <v>9</v>
      </c>
      <c r="D1959" s="1" t="s">
        <v>15</v>
      </c>
      <c r="E1959" s="1" t="s">
        <v>17</v>
      </c>
      <c r="F1959" s="1" t="s">
        <v>22</v>
      </c>
      <c r="G1959" s="4">
        <v>995.71</v>
      </c>
      <c r="H1959" s="1">
        <v>4</v>
      </c>
      <c r="I1959" s="1" t="str">
        <f>TEXT(SalesTable[[#This Row],[Order_Date]],"mmm")</f>
        <v>May</v>
      </c>
      <c r="J1959" s="1">
        <f>YEAR(SalesTable[[#This Row],[Order_Date]])</f>
        <v>2027</v>
      </c>
      <c r="K1959" s="4">
        <v>59.42</v>
      </c>
      <c r="L1959" s="9">
        <f>SalesTable[[#This Row],[Profit]]/SalesTable[[#This Row],[Sales]]</f>
        <v>5.9676010083257174E-2</v>
      </c>
    </row>
    <row r="1960" spans="1:12" ht="14" x14ac:dyDescent="0.15">
      <c r="A1960" s="1">
        <v>11959</v>
      </c>
      <c r="B1960" s="2">
        <v>46520</v>
      </c>
      <c r="C1960" s="1" t="s">
        <v>11</v>
      </c>
      <c r="D1960" s="1" t="s">
        <v>13</v>
      </c>
      <c r="E1960" s="1" t="s">
        <v>19</v>
      </c>
      <c r="F1960" s="1" t="s">
        <v>24</v>
      </c>
      <c r="G1960" s="4">
        <v>71.44</v>
      </c>
      <c r="H1960" s="1">
        <v>8</v>
      </c>
      <c r="I1960" s="1" t="str">
        <f>TEXT(SalesTable[[#This Row],[Order_Date]],"mmm")</f>
        <v>May</v>
      </c>
      <c r="J1960" s="1">
        <f>YEAR(SalesTable[[#This Row],[Order_Date]])</f>
        <v>2027</v>
      </c>
      <c r="K1960" s="4">
        <v>-32.049999999999997</v>
      </c>
      <c r="L1960" s="9">
        <f>SalesTable[[#This Row],[Profit]]/SalesTable[[#This Row],[Sales]]</f>
        <v>-0.44862821948488241</v>
      </c>
    </row>
    <row r="1961" spans="1:12" ht="14" x14ac:dyDescent="0.15">
      <c r="A1961" s="1">
        <v>11960</v>
      </c>
      <c r="B1961" s="2">
        <v>46521</v>
      </c>
      <c r="C1961" s="1" t="s">
        <v>9</v>
      </c>
      <c r="D1961" s="1" t="s">
        <v>15</v>
      </c>
      <c r="E1961" s="1" t="s">
        <v>20</v>
      </c>
      <c r="F1961" s="1" t="s">
        <v>24</v>
      </c>
      <c r="G1961" s="4">
        <v>157.22</v>
      </c>
      <c r="H1961" s="1">
        <v>9</v>
      </c>
      <c r="I1961" s="1" t="str">
        <f>TEXT(SalesTable[[#This Row],[Order_Date]],"mmm")</f>
        <v>May</v>
      </c>
      <c r="J1961" s="1">
        <f>YEAR(SalesTable[[#This Row],[Order_Date]])</f>
        <v>2027</v>
      </c>
      <c r="K1961" s="4">
        <v>53.23</v>
      </c>
      <c r="L1961" s="9">
        <f>SalesTable[[#This Row],[Profit]]/SalesTable[[#This Row],[Sales]]</f>
        <v>0.33857015646864264</v>
      </c>
    </row>
    <row r="1962" spans="1:12" ht="14" x14ac:dyDescent="0.15">
      <c r="A1962" s="1">
        <v>11961</v>
      </c>
      <c r="B1962" s="2">
        <v>46522</v>
      </c>
      <c r="C1962" s="1" t="s">
        <v>12</v>
      </c>
      <c r="D1962" s="1" t="s">
        <v>15</v>
      </c>
      <c r="E1962" s="1" t="s">
        <v>20</v>
      </c>
      <c r="F1962" s="1" t="s">
        <v>22</v>
      </c>
      <c r="G1962" s="4">
        <v>628.99</v>
      </c>
      <c r="H1962" s="1">
        <v>9</v>
      </c>
      <c r="I1962" s="1" t="str">
        <f>TEXT(SalesTable[[#This Row],[Order_Date]],"mmm")</f>
        <v>May</v>
      </c>
      <c r="J1962" s="1">
        <f>YEAR(SalesTable[[#This Row],[Order_Date]])</f>
        <v>2027</v>
      </c>
      <c r="K1962" s="4">
        <v>248.65</v>
      </c>
      <c r="L1962" s="9">
        <f>SalesTable[[#This Row],[Profit]]/SalesTable[[#This Row],[Sales]]</f>
        <v>0.39531630073610075</v>
      </c>
    </row>
    <row r="1963" spans="1:12" ht="14" x14ac:dyDescent="0.15">
      <c r="A1963" s="1">
        <v>11962</v>
      </c>
      <c r="B1963" s="2">
        <v>46523</v>
      </c>
      <c r="C1963" s="1" t="s">
        <v>11</v>
      </c>
      <c r="D1963" s="1" t="s">
        <v>15</v>
      </c>
      <c r="E1963" s="1" t="s">
        <v>19</v>
      </c>
      <c r="F1963" s="1" t="s">
        <v>25</v>
      </c>
      <c r="G1963" s="4">
        <v>829.55</v>
      </c>
      <c r="H1963" s="1">
        <v>8</v>
      </c>
      <c r="I1963" s="1" t="str">
        <f>TEXT(SalesTable[[#This Row],[Order_Date]],"mmm")</f>
        <v>May</v>
      </c>
      <c r="J1963" s="1">
        <f>YEAR(SalesTable[[#This Row],[Order_Date]])</f>
        <v>2027</v>
      </c>
      <c r="K1963" s="4">
        <v>45.25</v>
      </c>
      <c r="L1963" s="9">
        <f>SalesTable[[#This Row],[Profit]]/SalesTable[[#This Row],[Sales]]</f>
        <v>5.4547646314266778E-2</v>
      </c>
    </row>
    <row r="1964" spans="1:12" ht="14" x14ac:dyDescent="0.15">
      <c r="A1964" s="1">
        <v>11963</v>
      </c>
      <c r="B1964" s="2">
        <v>46524</v>
      </c>
      <c r="C1964" s="1" t="s">
        <v>12</v>
      </c>
      <c r="D1964" s="1" t="s">
        <v>15</v>
      </c>
      <c r="E1964" s="1" t="s">
        <v>16</v>
      </c>
      <c r="F1964" s="1" t="s">
        <v>22</v>
      </c>
      <c r="G1964" s="4">
        <v>320.98</v>
      </c>
      <c r="H1964" s="1">
        <v>3</v>
      </c>
      <c r="I1964" s="1" t="str">
        <f>TEXT(SalesTable[[#This Row],[Order_Date]],"mmm")</f>
        <v>May</v>
      </c>
      <c r="J1964" s="1">
        <f>YEAR(SalesTable[[#This Row],[Order_Date]])</f>
        <v>2027</v>
      </c>
      <c r="K1964" s="4">
        <v>280.64</v>
      </c>
      <c r="L1964" s="9">
        <f>SalesTable[[#This Row],[Profit]]/SalesTable[[#This Row],[Sales]]</f>
        <v>0.87432238768770631</v>
      </c>
    </row>
    <row r="1965" spans="1:12" ht="14" x14ac:dyDescent="0.15">
      <c r="A1965" s="1">
        <v>11964</v>
      </c>
      <c r="B1965" s="2">
        <v>46525</v>
      </c>
      <c r="C1965" s="1" t="s">
        <v>12</v>
      </c>
      <c r="D1965" s="1" t="s">
        <v>15</v>
      </c>
      <c r="E1965" s="1" t="s">
        <v>19</v>
      </c>
      <c r="F1965" s="1" t="s">
        <v>23</v>
      </c>
      <c r="G1965" s="4">
        <v>277.25</v>
      </c>
      <c r="H1965" s="1">
        <v>4</v>
      </c>
      <c r="I1965" s="1" t="str">
        <f>TEXT(SalesTable[[#This Row],[Order_Date]],"mmm")</f>
        <v>May</v>
      </c>
      <c r="J1965" s="1">
        <f>YEAR(SalesTable[[#This Row],[Order_Date]])</f>
        <v>2027</v>
      </c>
      <c r="K1965" s="4">
        <v>278.52</v>
      </c>
      <c r="L1965" s="9">
        <f>SalesTable[[#This Row],[Profit]]/SalesTable[[#This Row],[Sales]]</f>
        <v>1.004580703336339</v>
      </c>
    </row>
    <row r="1966" spans="1:12" ht="14" x14ac:dyDescent="0.15">
      <c r="A1966" s="1">
        <v>11965</v>
      </c>
      <c r="B1966" s="2">
        <v>46526</v>
      </c>
      <c r="C1966" s="1" t="s">
        <v>11</v>
      </c>
      <c r="D1966" s="1" t="s">
        <v>15</v>
      </c>
      <c r="E1966" s="1" t="s">
        <v>17</v>
      </c>
      <c r="F1966" s="1" t="s">
        <v>24</v>
      </c>
      <c r="G1966" s="4">
        <v>797.63</v>
      </c>
      <c r="H1966" s="1">
        <v>1</v>
      </c>
      <c r="I1966" s="1" t="str">
        <f>TEXT(SalesTable[[#This Row],[Order_Date]],"mmm")</f>
        <v>May</v>
      </c>
      <c r="J1966" s="1">
        <f>YEAR(SalesTable[[#This Row],[Order_Date]])</f>
        <v>2027</v>
      </c>
      <c r="K1966" s="4">
        <v>-42.04</v>
      </c>
      <c r="L1966" s="9">
        <f>SalesTable[[#This Row],[Profit]]/SalesTable[[#This Row],[Sales]]</f>
        <v>-5.2706141945513582E-2</v>
      </c>
    </row>
    <row r="1967" spans="1:12" ht="14" x14ac:dyDescent="0.15">
      <c r="A1967" s="1">
        <v>11966</v>
      </c>
      <c r="B1967" s="2">
        <v>46527</v>
      </c>
      <c r="C1967" s="1" t="s">
        <v>11</v>
      </c>
      <c r="D1967" s="1" t="s">
        <v>14</v>
      </c>
      <c r="E1967" s="1" t="s">
        <v>19</v>
      </c>
      <c r="F1967" s="1" t="s">
        <v>23</v>
      </c>
      <c r="G1967" s="4">
        <v>103.56</v>
      </c>
      <c r="H1967" s="1">
        <v>9</v>
      </c>
      <c r="I1967" s="1" t="str">
        <f>TEXT(SalesTable[[#This Row],[Order_Date]],"mmm")</f>
        <v>May</v>
      </c>
      <c r="J1967" s="1">
        <f>YEAR(SalesTable[[#This Row],[Order_Date]])</f>
        <v>2027</v>
      </c>
      <c r="K1967" s="4">
        <v>-29.08</v>
      </c>
      <c r="L1967" s="9">
        <f>SalesTable[[#This Row],[Profit]]/SalesTable[[#This Row],[Sales]]</f>
        <v>-0.28080339899575124</v>
      </c>
    </row>
    <row r="1968" spans="1:12" ht="14" x14ac:dyDescent="0.15">
      <c r="A1968" s="1">
        <v>11967</v>
      </c>
      <c r="B1968" s="2">
        <v>46528</v>
      </c>
      <c r="C1968" s="1" t="s">
        <v>11</v>
      </c>
      <c r="D1968" s="1" t="s">
        <v>13</v>
      </c>
      <c r="E1968" s="1" t="s">
        <v>19</v>
      </c>
      <c r="F1968" s="1" t="s">
        <v>24</v>
      </c>
      <c r="G1968" s="4">
        <v>400.91</v>
      </c>
      <c r="H1968" s="1">
        <v>5</v>
      </c>
      <c r="I1968" s="1" t="str">
        <f>TEXT(SalesTable[[#This Row],[Order_Date]],"mmm")</f>
        <v>May</v>
      </c>
      <c r="J1968" s="1">
        <f>YEAR(SalesTable[[#This Row],[Order_Date]])</f>
        <v>2027</v>
      </c>
      <c r="K1968" s="4">
        <v>245.07</v>
      </c>
      <c r="L1968" s="9">
        <f>SalesTable[[#This Row],[Profit]]/SalesTable[[#This Row],[Sales]]</f>
        <v>0.6112843281534508</v>
      </c>
    </row>
    <row r="1969" spans="1:12" ht="14" x14ac:dyDescent="0.15">
      <c r="A1969" s="1">
        <v>11968</v>
      </c>
      <c r="B1969" s="2">
        <v>46529</v>
      </c>
      <c r="C1969" s="1" t="s">
        <v>10</v>
      </c>
      <c r="D1969" s="1" t="s">
        <v>14</v>
      </c>
      <c r="E1969" s="1" t="s">
        <v>16</v>
      </c>
      <c r="F1969" s="1" t="s">
        <v>24</v>
      </c>
      <c r="G1969" s="4">
        <v>530.52</v>
      </c>
      <c r="H1969" s="1">
        <v>6</v>
      </c>
      <c r="I1969" s="1" t="str">
        <f>TEXT(SalesTable[[#This Row],[Order_Date]],"mmm")</f>
        <v>May</v>
      </c>
      <c r="J1969" s="1">
        <f>YEAR(SalesTable[[#This Row],[Order_Date]])</f>
        <v>2027</v>
      </c>
      <c r="K1969" s="4">
        <v>57.1</v>
      </c>
      <c r="L1969" s="9">
        <f>SalesTable[[#This Row],[Profit]]/SalesTable[[#This Row],[Sales]]</f>
        <v>0.1076302495664631</v>
      </c>
    </row>
    <row r="1970" spans="1:12" ht="14" x14ac:dyDescent="0.15">
      <c r="A1970" s="1">
        <v>11969</v>
      </c>
      <c r="B1970" s="2">
        <v>46530</v>
      </c>
      <c r="C1970" s="1" t="s">
        <v>11</v>
      </c>
      <c r="D1970" s="1" t="s">
        <v>15</v>
      </c>
      <c r="E1970" s="1" t="s">
        <v>17</v>
      </c>
      <c r="F1970" s="1" t="s">
        <v>21</v>
      </c>
      <c r="G1970" s="4">
        <v>582.33000000000004</v>
      </c>
      <c r="H1970" s="1">
        <v>3</v>
      </c>
      <c r="I1970" s="1" t="str">
        <f>TEXT(SalesTable[[#This Row],[Order_Date]],"mmm")</f>
        <v>May</v>
      </c>
      <c r="J1970" s="1">
        <f>YEAR(SalesTable[[#This Row],[Order_Date]])</f>
        <v>2027</v>
      </c>
      <c r="K1970" s="4">
        <v>-98.25</v>
      </c>
      <c r="L1970" s="9">
        <f>SalesTable[[#This Row],[Profit]]/SalesTable[[#This Row],[Sales]]</f>
        <v>-0.16871876770903094</v>
      </c>
    </row>
    <row r="1971" spans="1:12" ht="14" x14ac:dyDescent="0.15">
      <c r="A1971" s="1">
        <v>11970</v>
      </c>
      <c r="B1971" s="2">
        <v>46531</v>
      </c>
      <c r="C1971" s="1" t="s">
        <v>11</v>
      </c>
      <c r="D1971" s="1" t="s">
        <v>15</v>
      </c>
      <c r="E1971" s="1" t="s">
        <v>18</v>
      </c>
      <c r="F1971" s="1" t="s">
        <v>23</v>
      </c>
      <c r="G1971" s="4">
        <v>742.18</v>
      </c>
      <c r="H1971" s="1">
        <v>8</v>
      </c>
      <c r="I1971" s="1" t="str">
        <f>TEXT(SalesTable[[#This Row],[Order_Date]],"mmm")</f>
        <v>May</v>
      </c>
      <c r="J1971" s="1">
        <f>YEAR(SalesTable[[#This Row],[Order_Date]])</f>
        <v>2027</v>
      </c>
      <c r="K1971" s="4">
        <v>9.5500000000000007</v>
      </c>
      <c r="L1971" s="9">
        <f>SalesTable[[#This Row],[Profit]]/SalesTable[[#This Row],[Sales]]</f>
        <v>1.286749845051066E-2</v>
      </c>
    </row>
    <row r="1972" spans="1:12" ht="14" x14ac:dyDescent="0.15">
      <c r="A1972" s="1">
        <v>11971</v>
      </c>
      <c r="B1972" s="2">
        <v>46532</v>
      </c>
      <c r="C1972" s="1" t="s">
        <v>11</v>
      </c>
      <c r="D1972" s="1" t="s">
        <v>13</v>
      </c>
      <c r="E1972" s="1" t="s">
        <v>18</v>
      </c>
      <c r="F1972" s="1" t="s">
        <v>23</v>
      </c>
      <c r="G1972" s="4">
        <v>387.1</v>
      </c>
      <c r="H1972" s="1">
        <v>7</v>
      </c>
      <c r="I1972" s="1" t="str">
        <f>TEXT(SalesTable[[#This Row],[Order_Date]],"mmm")</f>
        <v>May</v>
      </c>
      <c r="J1972" s="1">
        <f>YEAR(SalesTable[[#This Row],[Order_Date]])</f>
        <v>2027</v>
      </c>
      <c r="K1972" s="4">
        <v>139.05000000000001</v>
      </c>
      <c r="L1972" s="9">
        <f>SalesTable[[#This Row],[Profit]]/SalesTable[[#This Row],[Sales]]</f>
        <v>0.3592095065874451</v>
      </c>
    </row>
    <row r="1973" spans="1:12" ht="14" x14ac:dyDescent="0.15">
      <c r="A1973" s="1">
        <v>11972</v>
      </c>
      <c r="B1973" s="2">
        <v>46533</v>
      </c>
      <c r="C1973" s="1" t="s">
        <v>11</v>
      </c>
      <c r="D1973" s="1" t="s">
        <v>14</v>
      </c>
      <c r="E1973" s="1" t="s">
        <v>20</v>
      </c>
      <c r="F1973" s="1" t="s">
        <v>21</v>
      </c>
      <c r="G1973" s="4">
        <v>632.04999999999995</v>
      </c>
      <c r="H1973" s="1">
        <v>1</v>
      </c>
      <c r="I1973" s="1" t="str">
        <f>TEXT(SalesTable[[#This Row],[Order_Date]],"mmm")</f>
        <v>May</v>
      </c>
      <c r="J1973" s="1">
        <f>YEAR(SalesTable[[#This Row],[Order_Date]])</f>
        <v>2027</v>
      </c>
      <c r="K1973" s="4">
        <v>219.71</v>
      </c>
      <c r="L1973" s="9">
        <f>SalesTable[[#This Row],[Profit]]/SalesTable[[#This Row],[Sales]]</f>
        <v>0.34761490388418642</v>
      </c>
    </row>
    <row r="1974" spans="1:12" ht="14" x14ac:dyDescent="0.15">
      <c r="A1974" s="1">
        <v>11973</v>
      </c>
      <c r="B1974" s="2">
        <v>46534</v>
      </c>
      <c r="C1974" s="1" t="s">
        <v>9</v>
      </c>
      <c r="D1974" s="1" t="s">
        <v>13</v>
      </c>
      <c r="E1974" s="1" t="s">
        <v>19</v>
      </c>
      <c r="F1974" s="1" t="s">
        <v>25</v>
      </c>
      <c r="G1974" s="4">
        <v>606.11</v>
      </c>
      <c r="H1974" s="1">
        <v>5</v>
      </c>
      <c r="I1974" s="1" t="str">
        <f>TEXT(SalesTable[[#This Row],[Order_Date]],"mmm")</f>
        <v>May</v>
      </c>
      <c r="J1974" s="1">
        <f>YEAR(SalesTable[[#This Row],[Order_Date]])</f>
        <v>2027</v>
      </c>
      <c r="K1974" s="4">
        <v>-46.64</v>
      </c>
      <c r="L1974" s="9">
        <f>SalesTable[[#This Row],[Profit]]/SalesTable[[#This Row],[Sales]]</f>
        <v>-7.6949728597119335E-2</v>
      </c>
    </row>
    <row r="1975" spans="1:12" ht="14" x14ac:dyDescent="0.15">
      <c r="A1975" s="1">
        <v>11974</v>
      </c>
      <c r="B1975" s="2">
        <v>46535</v>
      </c>
      <c r="C1975" s="1" t="s">
        <v>10</v>
      </c>
      <c r="D1975" s="1" t="s">
        <v>14</v>
      </c>
      <c r="E1975" s="1" t="s">
        <v>20</v>
      </c>
      <c r="F1975" s="1" t="s">
        <v>23</v>
      </c>
      <c r="G1975" s="4">
        <v>570.24</v>
      </c>
      <c r="H1975" s="1">
        <v>9</v>
      </c>
      <c r="I1975" s="1" t="str">
        <f>TEXT(SalesTable[[#This Row],[Order_Date]],"mmm")</f>
        <v>May</v>
      </c>
      <c r="J1975" s="1">
        <f>YEAR(SalesTable[[#This Row],[Order_Date]])</f>
        <v>2027</v>
      </c>
      <c r="K1975" s="4">
        <v>-55.78</v>
      </c>
      <c r="L1975" s="9">
        <f>SalesTable[[#This Row],[Profit]]/SalesTable[[#This Row],[Sales]]</f>
        <v>-9.781846240179573E-2</v>
      </c>
    </row>
    <row r="1976" spans="1:12" ht="14" x14ac:dyDescent="0.15">
      <c r="A1976" s="1">
        <v>11975</v>
      </c>
      <c r="B1976" s="2">
        <v>46536</v>
      </c>
      <c r="C1976" s="1" t="s">
        <v>12</v>
      </c>
      <c r="D1976" s="1" t="s">
        <v>15</v>
      </c>
      <c r="E1976" s="1" t="s">
        <v>16</v>
      </c>
      <c r="F1976" s="1" t="s">
        <v>22</v>
      </c>
      <c r="G1976" s="4">
        <v>658.46</v>
      </c>
      <c r="H1976" s="1">
        <v>6</v>
      </c>
      <c r="I1976" s="1" t="str">
        <f>TEXT(SalesTable[[#This Row],[Order_Date]],"mmm")</f>
        <v>May</v>
      </c>
      <c r="J1976" s="1">
        <f>YEAR(SalesTable[[#This Row],[Order_Date]])</f>
        <v>2027</v>
      </c>
      <c r="K1976" s="4">
        <v>268.83999999999997</v>
      </c>
      <c r="L1976" s="9">
        <f>SalesTable[[#This Row],[Profit]]/SalesTable[[#This Row],[Sales]]</f>
        <v>0.40828600066822579</v>
      </c>
    </row>
    <row r="1977" spans="1:12" ht="14" x14ac:dyDescent="0.15">
      <c r="A1977" s="1">
        <v>11976</v>
      </c>
      <c r="B1977" s="2">
        <v>46537</v>
      </c>
      <c r="C1977" s="1" t="s">
        <v>11</v>
      </c>
      <c r="D1977" s="1" t="s">
        <v>13</v>
      </c>
      <c r="E1977" s="1" t="s">
        <v>18</v>
      </c>
      <c r="F1977" s="1" t="s">
        <v>21</v>
      </c>
      <c r="G1977" s="4">
        <v>296.48</v>
      </c>
      <c r="H1977" s="1">
        <v>8</v>
      </c>
      <c r="I1977" s="1" t="str">
        <f>TEXT(SalesTable[[#This Row],[Order_Date]],"mmm")</f>
        <v>May</v>
      </c>
      <c r="J1977" s="1">
        <f>YEAR(SalesTable[[#This Row],[Order_Date]])</f>
        <v>2027</v>
      </c>
      <c r="K1977" s="4">
        <v>200.46</v>
      </c>
      <c r="L1977" s="9">
        <f>SalesTable[[#This Row],[Profit]]/SalesTable[[#This Row],[Sales]]</f>
        <v>0.67613329735563954</v>
      </c>
    </row>
    <row r="1978" spans="1:12" ht="14" x14ac:dyDescent="0.15">
      <c r="A1978" s="1">
        <v>11977</v>
      </c>
      <c r="B1978" s="2">
        <v>46538</v>
      </c>
      <c r="C1978" s="1" t="s">
        <v>9</v>
      </c>
      <c r="D1978" s="1" t="s">
        <v>13</v>
      </c>
      <c r="E1978" s="1" t="s">
        <v>19</v>
      </c>
      <c r="F1978" s="1" t="s">
        <v>23</v>
      </c>
      <c r="G1978" s="4">
        <v>130.41999999999999</v>
      </c>
      <c r="H1978" s="1">
        <v>1</v>
      </c>
      <c r="I1978" s="1" t="str">
        <f>TEXT(SalesTable[[#This Row],[Order_Date]],"mmm")</f>
        <v>May</v>
      </c>
      <c r="J1978" s="1">
        <f>YEAR(SalesTable[[#This Row],[Order_Date]])</f>
        <v>2027</v>
      </c>
      <c r="K1978" s="4">
        <v>135.91</v>
      </c>
      <c r="L1978" s="9">
        <f>SalesTable[[#This Row],[Profit]]/SalesTable[[#This Row],[Sales]]</f>
        <v>1.042094770740684</v>
      </c>
    </row>
    <row r="1979" spans="1:12" ht="14" x14ac:dyDescent="0.15">
      <c r="A1979" s="1">
        <v>11978</v>
      </c>
      <c r="B1979" s="2">
        <v>46539</v>
      </c>
      <c r="C1979" s="1" t="s">
        <v>9</v>
      </c>
      <c r="D1979" s="1" t="s">
        <v>15</v>
      </c>
      <c r="E1979" s="1" t="s">
        <v>16</v>
      </c>
      <c r="F1979" s="1" t="s">
        <v>25</v>
      </c>
      <c r="G1979" s="4">
        <v>163.31</v>
      </c>
      <c r="H1979" s="1">
        <v>7</v>
      </c>
      <c r="I1979" s="1" t="str">
        <f>TEXT(SalesTable[[#This Row],[Order_Date]],"mmm")</f>
        <v>Jun</v>
      </c>
      <c r="J1979" s="1">
        <f>YEAR(SalesTable[[#This Row],[Order_Date]])</f>
        <v>2027</v>
      </c>
      <c r="K1979" s="4">
        <v>207.67</v>
      </c>
      <c r="L1979" s="9">
        <f>SalesTable[[#This Row],[Profit]]/SalesTable[[#This Row],[Sales]]</f>
        <v>1.2716306411119955</v>
      </c>
    </row>
    <row r="1980" spans="1:12" ht="14" x14ac:dyDescent="0.15">
      <c r="A1980" s="1">
        <v>11979</v>
      </c>
      <c r="B1980" s="2">
        <v>46540</v>
      </c>
      <c r="C1980" s="1" t="s">
        <v>9</v>
      </c>
      <c r="D1980" s="1" t="s">
        <v>13</v>
      </c>
      <c r="E1980" s="1" t="s">
        <v>16</v>
      </c>
      <c r="F1980" s="1" t="s">
        <v>23</v>
      </c>
      <c r="G1980" s="4">
        <v>263.35000000000002</v>
      </c>
      <c r="H1980" s="1">
        <v>3</v>
      </c>
      <c r="I1980" s="1" t="str">
        <f>TEXT(SalesTable[[#This Row],[Order_Date]],"mmm")</f>
        <v>Jun</v>
      </c>
      <c r="J1980" s="1">
        <f>YEAR(SalesTable[[#This Row],[Order_Date]])</f>
        <v>2027</v>
      </c>
      <c r="K1980" s="4">
        <v>71.540000000000006</v>
      </c>
      <c r="L1980" s="9">
        <f>SalesTable[[#This Row],[Profit]]/SalesTable[[#This Row],[Sales]]</f>
        <v>0.27165369280425289</v>
      </c>
    </row>
    <row r="1981" spans="1:12" ht="14" x14ac:dyDescent="0.15">
      <c r="A1981" s="1">
        <v>11980</v>
      </c>
      <c r="B1981" s="2">
        <v>46541</v>
      </c>
      <c r="C1981" s="1" t="s">
        <v>12</v>
      </c>
      <c r="D1981" s="1" t="s">
        <v>14</v>
      </c>
      <c r="E1981" s="1" t="s">
        <v>19</v>
      </c>
      <c r="F1981" s="1" t="s">
        <v>24</v>
      </c>
      <c r="G1981" s="4">
        <v>525.19000000000005</v>
      </c>
      <c r="H1981" s="1">
        <v>9</v>
      </c>
      <c r="I1981" s="1" t="str">
        <f>TEXT(SalesTable[[#This Row],[Order_Date]],"mmm")</f>
        <v>Jun</v>
      </c>
      <c r="J1981" s="1">
        <f>YEAR(SalesTable[[#This Row],[Order_Date]])</f>
        <v>2027</v>
      </c>
      <c r="K1981" s="4">
        <v>203.38</v>
      </c>
      <c r="L1981" s="9">
        <f>SalesTable[[#This Row],[Profit]]/SalesTable[[#This Row],[Sales]]</f>
        <v>0.38725032845255997</v>
      </c>
    </row>
    <row r="1982" spans="1:12" ht="14" x14ac:dyDescent="0.15">
      <c r="A1982" s="1">
        <v>11981</v>
      </c>
      <c r="B1982" s="2">
        <v>46542</v>
      </c>
      <c r="C1982" s="1" t="s">
        <v>11</v>
      </c>
      <c r="D1982" s="1" t="s">
        <v>14</v>
      </c>
      <c r="E1982" s="1" t="s">
        <v>16</v>
      </c>
      <c r="F1982" s="1" t="s">
        <v>22</v>
      </c>
      <c r="G1982" s="4">
        <v>848.42</v>
      </c>
      <c r="H1982" s="1">
        <v>6</v>
      </c>
      <c r="I1982" s="1" t="str">
        <f>TEXT(SalesTable[[#This Row],[Order_Date]],"mmm")</f>
        <v>Jun</v>
      </c>
      <c r="J1982" s="1">
        <f>YEAR(SalesTable[[#This Row],[Order_Date]])</f>
        <v>2027</v>
      </c>
      <c r="K1982" s="4">
        <v>48.72</v>
      </c>
      <c r="L1982" s="9">
        <f>SalesTable[[#This Row],[Profit]]/SalesTable[[#This Row],[Sales]]</f>
        <v>5.7424388864006033E-2</v>
      </c>
    </row>
    <row r="1983" spans="1:12" ht="14" x14ac:dyDescent="0.15">
      <c r="A1983" s="1">
        <v>11982</v>
      </c>
      <c r="B1983" s="2">
        <v>46543</v>
      </c>
      <c r="C1983" s="1" t="s">
        <v>10</v>
      </c>
      <c r="D1983" s="1" t="s">
        <v>14</v>
      </c>
      <c r="E1983" s="1" t="s">
        <v>19</v>
      </c>
      <c r="F1983" s="1" t="s">
        <v>21</v>
      </c>
      <c r="G1983" s="4">
        <v>716.23</v>
      </c>
      <c r="H1983" s="1">
        <v>5</v>
      </c>
      <c r="I1983" s="1" t="str">
        <f>TEXT(SalesTable[[#This Row],[Order_Date]],"mmm")</f>
        <v>Jun</v>
      </c>
      <c r="J1983" s="1">
        <f>YEAR(SalesTable[[#This Row],[Order_Date]])</f>
        <v>2027</v>
      </c>
      <c r="K1983" s="4">
        <v>-2.36</v>
      </c>
      <c r="L1983" s="9">
        <f>SalesTable[[#This Row],[Profit]]/SalesTable[[#This Row],[Sales]]</f>
        <v>-3.2950309258199181E-3</v>
      </c>
    </row>
    <row r="1984" spans="1:12" ht="14" x14ac:dyDescent="0.15">
      <c r="A1984" s="1">
        <v>11983</v>
      </c>
      <c r="B1984" s="2">
        <v>46544</v>
      </c>
      <c r="C1984" s="1" t="s">
        <v>10</v>
      </c>
      <c r="D1984" s="1" t="s">
        <v>14</v>
      </c>
      <c r="E1984" s="1" t="s">
        <v>19</v>
      </c>
      <c r="F1984" s="1" t="s">
        <v>24</v>
      </c>
      <c r="G1984" s="4">
        <v>799.59</v>
      </c>
      <c r="H1984" s="1">
        <v>8</v>
      </c>
      <c r="I1984" s="1" t="str">
        <f>TEXT(SalesTable[[#This Row],[Order_Date]],"mmm")</f>
        <v>Jun</v>
      </c>
      <c r="J1984" s="1">
        <f>YEAR(SalesTable[[#This Row],[Order_Date]])</f>
        <v>2027</v>
      </c>
      <c r="K1984" s="4">
        <v>191.61</v>
      </c>
      <c r="L1984" s="9">
        <f>SalesTable[[#This Row],[Profit]]/SalesTable[[#This Row],[Sales]]</f>
        <v>0.23963531309796271</v>
      </c>
    </row>
    <row r="1985" spans="1:12" ht="14" x14ac:dyDescent="0.15">
      <c r="A1985" s="1">
        <v>11984</v>
      </c>
      <c r="B1985" s="2">
        <v>46545</v>
      </c>
      <c r="C1985" s="1" t="s">
        <v>9</v>
      </c>
      <c r="D1985" s="1" t="s">
        <v>15</v>
      </c>
      <c r="E1985" s="1" t="s">
        <v>17</v>
      </c>
      <c r="F1985" s="1" t="s">
        <v>25</v>
      </c>
      <c r="G1985" s="4">
        <v>383.43</v>
      </c>
      <c r="H1985" s="1">
        <v>8</v>
      </c>
      <c r="I1985" s="1" t="str">
        <f>TEXT(SalesTable[[#This Row],[Order_Date]],"mmm")</f>
        <v>Jun</v>
      </c>
      <c r="J1985" s="1">
        <f>YEAR(SalesTable[[#This Row],[Order_Date]])</f>
        <v>2027</v>
      </c>
      <c r="K1985" s="4">
        <v>67.87</v>
      </c>
      <c r="L1985" s="9">
        <f>SalesTable[[#This Row],[Profit]]/SalesTable[[#This Row],[Sales]]</f>
        <v>0.17700753722974208</v>
      </c>
    </row>
    <row r="1986" spans="1:12" ht="14" x14ac:dyDescent="0.15">
      <c r="A1986" s="1">
        <v>11985</v>
      </c>
      <c r="B1986" s="2">
        <v>46546</v>
      </c>
      <c r="C1986" s="1" t="s">
        <v>12</v>
      </c>
      <c r="D1986" s="1" t="s">
        <v>13</v>
      </c>
      <c r="E1986" s="1" t="s">
        <v>20</v>
      </c>
      <c r="F1986" s="1" t="s">
        <v>24</v>
      </c>
      <c r="G1986" s="4">
        <v>434.42</v>
      </c>
      <c r="H1986" s="1">
        <v>3</v>
      </c>
      <c r="I1986" s="1" t="str">
        <f>TEXT(SalesTable[[#This Row],[Order_Date]],"mmm")</f>
        <v>Jun</v>
      </c>
      <c r="J1986" s="1">
        <f>YEAR(SalesTable[[#This Row],[Order_Date]])</f>
        <v>2027</v>
      </c>
      <c r="K1986" s="4">
        <v>292.55</v>
      </c>
      <c r="L1986" s="9">
        <f>SalesTable[[#This Row],[Profit]]/SalesTable[[#This Row],[Sales]]</f>
        <v>0.67342663781593848</v>
      </c>
    </row>
    <row r="1987" spans="1:12" ht="14" x14ac:dyDescent="0.15">
      <c r="A1987" s="1">
        <v>11986</v>
      </c>
      <c r="B1987" s="2">
        <v>46547</v>
      </c>
      <c r="C1987" s="1" t="s">
        <v>12</v>
      </c>
      <c r="D1987" s="1" t="s">
        <v>14</v>
      </c>
      <c r="E1987" s="1" t="s">
        <v>16</v>
      </c>
      <c r="F1987" s="1" t="s">
        <v>24</v>
      </c>
      <c r="G1987" s="4">
        <v>424</v>
      </c>
      <c r="H1987" s="1">
        <v>2</v>
      </c>
      <c r="I1987" s="1" t="str">
        <f>TEXT(SalesTable[[#This Row],[Order_Date]],"mmm")</f>
        <v>Jun</v>
      </c>
      <c r="J1987" s="1">
        <f>YEAR(SalesTable[[#This Row],[Order_Date]])</f>
        <v>2027</v>
      </c>
      <c r="K1987" s="4">
        <v>39.79</v>
      </c>
      <c r="L1987" s="9">
        <f>SalesTable[[#This Row],[Profit]]/SalesTable[[#This Row],[Sales]]</f>
        <v>9.3844339622641507E-2</v>
      </c>
    </row>
    <row r="1988" spans="1:12" ht="14" x14ac:dyDescent="0.15">
      <c r="A1988" s="1">
        <v>11987</v>
      </c>
      <c r="B1988" s="2">
        <v>46548</v>
      </c>
      <c r="C1988" s="1" t="s">
        <v>12</v>
      </c>
      <c r="D1988" s="1" t="s">
        <v>15</v>
      </c>
      <c r="E1988" s="1" t="s">
        <v>16</v>
      </c>
      <c r="F1988" s="1" t="s">
        <v>25</v>
      </c>
      <c r="G1988" s="4">
        <v>232.28</v>
      </c>
      <c r="H1988" s="1">
        <v>2</v>
      </c>
      <c r="I1988" s="1" t="str">
        <f>TEXT(SalesTable[[#This Row],[Order_Date]],"mmm")</f>
        <v>Jun</v>
      </c>
      <c r="J1988" s="1">
        <f>YEAR(SalesTable[[#This Row],[Order_Date]])</f>
        <v>2027</v>
      </c>
      <c r="K1988" s="4">
        <v>268.69</v>
      </c>
      <c r="L1988" s="9">
        <f>SalesTable[[#This Row],[Profit]]/SalesTable[[#This Row],[Sales]]</f>
        <v>1.1567504735663854</v>
      </c>
    </row>
    <row r="1989" spans="1:12" ht="14" x14ac:dyDescent="0.15">
      <c r="A1989" s="1">
        <v>11988</v>
      </c>
      <c r="B1989" s="2">
        <v>46549</v>
      </c>
      <c r="C1989" s="1" t="s">
        <v>10</v>
      </c>
      <c r="D1989" s="1" t="s">
        <v>13</v>
      </c>
      <c r="E1989" s="1" t="s">
        <v>17</v>
      </c>
      <c r="F1989" s="1" t="s">
        <v>24</v>
      </c>
      <c r="G1989" s="4">
        <v>108.16</v>
      </c>
      <c r="H1989" s="1">
        <v>5</v>
      </c>
      <c r="I1989" s="1" t="str">
        <f>TEXT(SalesTable[[#This Row],[Order_Date]],"mmm")</f>
        <v>Jun</v>
      </c>
      <c r="J1989" s="1">
        <f>YEAR(SalesTable[[#This Row],[Order_Date]])</f>
        <v>2027</v>
      </c>
      <c r="K1989" s="4">
        <v>273.19</v>
      </c>
      <c r="L1989" s="9">
        <f>SalesTable[[#This Row],[Profit]]/SalesTable[[#This Row],[Sales]]</f>
        <v>2.5257951183431953</v>
      </c>
    </row>
    <row r="1990" spans="1:12" ht="14" x14ac:dyDescent="0.15">
      <c r="A1990" s="1">
        <v>11989</v>
      </c>
      <c r="B1990" s="2">
        <v>46550</v>
      </c>
      <c r="C1990" s="1" t="s">
        <v>9</v>
      </c>
      <c r="D1990" s="1" t="s">
        <v>13</v>
      </c>
      <c r="E1990" s="1" t="s">
        <v>17</v>
      </c>
      <c r="F1990" s="1" t="s">
        <v>21</v>
      </c>
      <c r="G1990" s="4">
        <v>611.37</v>
      </c>
      <c r="H1990" s="1">
        <v>7</v>
      </c>
      <c r="I1990" s="1" t="str">
        <f>TEXT(SalesTable[[#This Row],[Order_Date]],"mmm")</f>
        <v>Jun</v>
      </c>
      <c r="J1990" s="1">
        <f>YEAR(SalesTable[[#This Row],[Order_Date]])</f>
        <v>2027</v>
      </c>
      <c r="K1990" s="4">
        <v>-3.26</v>
      </c>
      <c r="L1990" s="9">
        <f>SalesTable[[#This Row],[Profit]]/SalesTable[[#This Row],[Sales]]</f>
        <v>-5.3322865040809977E-3</v>
      </c>
    </row>
    <row r="1991" spans="1:12" ht="14" x14ac:dyDescent="0.15">
      <c r="A1991" s="1">
        <v>11990</v>
      </c>
      <c r="B1991" s="2">
        <v>46551</v>
      </c>
      <c r="C1991" s="1" t="s">
        <v>11</v>
      </c>
      <c r="D1991" s="1" t="s">
        <v>15</v>
      </c>
      <c r="E1991" s="1" t="s">
        <v>17</v>
      </c>
      <c r="F1991" s="1" t="s">
        <v>23</v>
      </c>
      <c r="G1991" s="4">
        <v>989.76</v>
      </c>
      <c r="H1991" s="1">
        <v>8</v>
      </c>
      <c r="I1991" s="1" t="str">
        <f>TEXT(SalesTable[[#This Row],[Order_Date]],"mmm")</f>
        <v>Jun</v>
      </c>
      <c r="J1991" s="1">
        <f>YEAR(SalesTable[[#This Row],[Order_Date]])</f>
        <v>2027</v>
      </c>
      <c r="K1991" s="4">
        <v>219.29</v>
      </c>
      <c r="L1991" s="9">
        <f>SalesTable[[#This Row],[Profit]]/SalesTable[[#This Row],[Sales]]</f>
        <v>0.22155876172001293</v>
      </c>
    </row>
    <row r="1992" spans="1:12" ht="14" x14ac:dyDescent="0.15">
      <c r="A1992" s="1">
        <v>11991</v>
      </c>
      <c r="B1992" s="2">
        <v>46552</v>
      </c>
      <c r="C1992" s="1" t="s">
        <v>10</v>
      </c>
      <c r="D1992" s="1" t="s">
        <v>15</v>
      </c>
      <c r="E1992" s="1" t="s">
        <v>18</v>
      </c>
      <c r="F1992" s="1" t="s">
        <v>24</v>
      </c>
      <c r="G1992" s="4">
        <v>208.49</v>
      </c>
      <c r="H1992" s="1">
        <v>8</v>
      </c>
      <c r="I1992" s="1" t="str">
        <f>TEXT(SalesTable[[#This Row],[Order_Date]],"mmm")</f>
        <v>Jun</v>
      </c>
      <c r="J1992" s="1">
        <f>YEAR(SalesTable[[#This Row],[Order_Date]])</f>
        <v>2027</v>
      </c>
      <c r="K1992" s="4">
        <v>73.23</v>
      </c>
      <c r="L1992" s="9">
        <f>SalesTable[[#This Row],[Profit]]/SalesTable[[#This Row],[Sales]]</f>
        <v>0.35123986761955012</v>
      </c>
    </row>
    <row r="1993" spans="1:12" ht="14" x14ac:dyDescent="0.15">
      <c r="A1993" s="1">
        <v>11992</v>
      </c>
      <c r="B1993" s="2">
        <v>46553</v>
      </c>
      <c r="C1993" s="1" t="s">
        <v>9</v>
      </c>
      <c r="D1993" s="1" t="s">
        <v>14</v>
      </c>
      <c r="E1993" s="1" t="s">
        <v>18</v>
      </c>
      <c r="F1993" s="1" t="s">
        <v>21</v>
      </c>
      <c r="G1993" s="4">
        <v>94.35</v>
      </c>
      <c r="H1993" s="1">
        <v>8</v>
      </c>
      <c r="I1993" s="1" t="str">
        <f>TEXT(SalesTable[[#This Row],[Order_Date]],"mmm")</f>
        <v>Jun</v>
      </c>
      <c r="J1993" s="1">
        <f>YEAR(SalesTable[[#This Row],[Order_Date]])</f>
        <v>2027</v>
      </c>
      <c r="K1993" s="4">
        <v>267.01</v>
      </c>
      <c r="L1993" s="9">
        <f>SalesTable[[#This Row],[Profit]]/SalesTable[[#This Row],[Sales]]</f>
        <v>2.8299947005829358</v>
      </c>
    </row>
    <row r="1994" spans="1:12" ht="14" x14ac:dyDescent="0.15">
      <c r="A1994" s="1">
        <v>11993</v>
      </c>
      <c r="B1994" s="2">
        <v>46554</v>
      </c>
      <c r="C1994" s="1" t="s">
        <v>9</v>
      </c>
      <c r="D1994" s="1" t="s">
        <v>13</v>
      </c>
      <c r="E1994" s="1" t="s">
        <v>18</v>
      </c>
      <c r="F1994" s="1" t="s">
        <v>23</v>
      </c>
      <c r="G1994" s="4">
        <v>790.56</v>
      </c>
      <c r="H1994" s="1">
        <v>3</v>
      </c>
      <c r="I1994" s="1" t="str">
        <f>TEXT(SalesTable[[#This Row],[Order_Date]],"mmm")</f>
        <v>Jun</v>
      </c>
      <c r="J1994" s="1">
        <f>YEAR(SalesTable[[#This Row],[Order_Date]])</f>
        <v>2027</v>
      </c>
      <c r="K1994" s="4">
        <v>80.05</v>
      </c>
      <c r="L1994" s="9">
        <f>SalesTable[[#This Row],[Profit]]/SalesTable[[#This Row],[Sales]]</f>
        <v>0.10125733657154423</v>
      </c>
    </row>
    <row r="1995" spans="1:12" ht="14" x14ac:dyDescent="0.15">
      <c r="A1995" s="1">
        <v>11994</v>
      </c>
      <c r="B1995" s="2">
        <v>46555</v>
      </c>
      <c r="C1995" s="1" t="s">
        <v>11</v>
      </c>
      <c r="D1995" s="1" t="s">
        <v>13</v>
      </c>
      <c r="E1995" s="1" t="s">
        <v>19</v>
      </c>
      <c r="F1995" s="1" t="s">
        <v>23</v>
      </c>
      <c r="G1995" s="4">
        <v>289.95999999999998</v>
      </c>
      <c r="H1995" s="1">
        <v>2</v>
      </c>
      <c r="I1995" s="1" t="str">
        <f>TEXT(SalesTable[[#This Row],[Order_Date]],"mmm")</f>
        <v>Jun</v>
      </c>
      <c r="J1995" s="1">
        <f>YEAR(SalesTable[[#This Row],[Order_Date]])</f>
        <v>2027</v>
      </c>
      <c r="K1995" s="4">
        <v>197.72</v>
      </c>
      <c r="L1995" s="9">
        <f>SalesTable[[#This Row],[Profit]]/SalesTable[[#This Row],[Sales]]</f>
        <v>0.68188715684922063</v>
      </c>
    </row>
    <row r="1996" spans="1:12" ht="14" x14ac:dyDescent="0.15">
      <c r="A1996" s="1">
        <v>11995</v>
      </c>
      <c r="B1996" s="2">
        <v>46556</v>
      </c>
      <c r="C1996" s="1" t="s">
        <v>11</v>
      </c>
      <c r="D1996" s="1" t="s">
        <v>15</v>
      </c>
      <c r="E1996" s="1" t="s">
        <v>16</v>
      </c>
      <c r="F1996" s="1" t="s">
        <v>24</v>
      </c>
      <c r="G1996" s="4">
        <v>838.16</v>
      </c>
      <c r="H1996" s="1">
        <v>4</v>
      </c>
      <c r="I1996" s="1" t="str">
        <f>TEXT(SalesTable[[#This Row],[Order_Date]],"mmm")</f>
        <v>Jun</v>
      </c>
      <c r="J1996" s="1">
        <f>YEAR(SalesTable[[#This Row],[Order_Date]])</f>
        <v>2027</v>
      </c>
      <c r="K1996" s="4">
        <v>86.79</v>
      </c>
      <c r="L1996" s="9">
        <f>SalesTable[[#This Row],[Profit]]/SalesTable[[#This Row],[Sales]]</f>
        <v>0.10354824854443066</v>
      </c>
    </row>
    <row r="1997" spans="1:12" ht="14" x14ac:dyDescent="0.15">
      <c r="A1997" s="1">
        <v>11996</v>
      </c>
      <c r="B1997" s="2">
        <v>46557</v>
      </c>
      <c r="C1997" s="1" t="s">
        <v>11</v>
      </c>
      <c r="D1997" s="1" t="s">
        <v>13</v>
      </c>
      <c r="E1997" s="1" t="s">
        <v>20</v>
      </c>
      <c r="F1997" s="1" t="s">
        <v>21</v>
      </c>
      <c r="G1997" s="4">
        <v>718.74</v>
      </c>
      <c r="H1997" s="1">
        <v>1</v>
      </c>
      <c r="I1997" s="1" t="str">
        <f>TEXT(SalesTable[[#This Row],[Order_Date]],"mmm")</f>
        <v>Jun</v>
      </c>
      <c r="J1997" s="1">
        <f>YEAR(SalesTable[[#This Row],[Order_Date]])</f>
        <v>2027</v>
      </c>
      <c r="K1997" s="4">
        <v>-8.8800000000000008</v>
      </c>
      <c r="L1997" s="9">
        <f>SalesTable[[#This Row],[Profit]]/SalesTable[[#This Row],[Sales]]</f>
        <v>-1.2354954503714835E-2</v>
      </c>
    </row>
    <row r="1998" spans="1:12" ht="14" x14ac:dyDescent="0.15">
      <c r="A1998" s="1">
        <v>11997</v>
      </c>
      <c r="B1998" s="2">
        <v>46558</v>
      </c>
      <c r="C1998" s="1" t="s">
        <v>12</v>
      </c>
      <c r="D1998" s="1" t="s">
        <v>14</v>
      </c>
      <c r="E1998" s="1" t="s">
        <v>19</v>
      </c>
      <c r="F1998" s="1" t="s">
        <v>24</v>
      </c>
      <c r="G1998" s="4">
        <v>948.39</v>
      </c>
      <c r="H1998" s="1">
        <v>3</v>
      </c>
      <c r="I1998" s="1" t="str">
        <f>TEXT(SalesTable[[#This Row],[Order_Date]],"mmm")</f>
        <v>Jun</v>
      </c>
      <c r="J1998" s="1">
        <f>YEAR(SalesTable[[#This Row],[Order_Date]])</f>
        <v>2027</v>
      </c>
      <c r="K1998" s="4">
        <v>-20.260000000000002</v>
      </c>
      <c r="L1998" s="9">
        <f>SalesTable[[#This Row],[Profit]]/SalesTable[[#This Row],[Sales]]</f>
        <v>-2.1362519638545328E-2</v>
      </c>
    </row>
    <row r="1999" spans="1:12" ht="14" x14ac:dyDescent="0.15">
      <c r="A1999" s="1">
        <v>11998</v>
      </c>
      <c r="B1999" s="2">
        <v>46559</v>
      </c>
      <c r="C1999" s="1" t="s">
        <v>11</v>
      </c>
      <c r="D1999" s="1" t="s">
        <v>13</v>
      </c>
      <c r="E1999" s="1" t="s">
        <v>16</v>
      </c>
      <c r="F1999" s="1" t="s">
        <v>25</v>
      </c>
      <c r="G1999" s="4">
        <v>438.48</v>
      </c>
      <c r="H1999" s="1">
        <v>9</v>
      </c>
      <c r="I1999" s="1" t="str">
        <f>TEXT(SalesTable[[#This Row],[Order_Date]],"mmm")</f>
        <v>Jun</v>
      </c>
      <c r="J1999" s="1">
        <f>YEAR(SalesTable[[#This Row],[Order_Date]])</f>
        <v>2027</v>
      </c>
      <c r="K1999" s="4">
        <v>70.17</v>
      </c>
      <c r="L1999" s="9">
        <f>SalesTable[[#This Row],[Profit]]/SalesTable[[#This Row],[Sales]]</f>
        <v>0.16003010399562123</v>
      </c>
    </row>
    <row r="2000" spans="1:12" ht="14" x14ac:dyDescent="0.15">
      <c r="A2000" s="1">
        <v>11999</v>
      </c>
      <c r="B2000" s="2">
        <v>46560</v>
      </c>
      <c r="C2000" s="1" t="s">
        <v>9</v>
      </c>
      <c r="D2000" s="1" t="s">
        <v>15</v>
      </c>
      <c r="E2000" s="1" t="s">
        <v>16</v>
      </c>
      <c r="F2000" s="1" t="s">
        <v>23</v>
      </c>
      <c r="G2000" s="4">
        <v>678.87</v>
      </c>
      <c r="H2000" s="1">
        <v>7</v>
      </c>
      <c r="I2000" s="1" t="str">
        <f>TEXT(SalesTable[[#This Row],[Order_Date]],"mmm")</f>
        <v>Jun</v>
      </c>
      <c r="J2000" s="1">
        <f>YEAR(SalesTable[[#This Row],[Order_Date]])</f>
        <v>2027</v>
      </c>
      <c r="K2000" s="4">
        <v>202.2</v>
      </c>
      <c r="L2000" s="9">
        <f>SalesTable[[#This Row],[Profit]]/SalesTable[[#This Row],[Sales]]</f>
        <v>0.29784789429493125</v>
      </c>
    </row>
    <row r="2001" spans="1:12" ht="14" x14ac:dyDescent="0.15">
      <c r="A2001" s="1">
        <v>12000</v>
      </c>
      <c r="B2001" s="2">
        <v>46561</v>
      </c>
      <c r="C2001" s="1" t="s">
        <v>11</v>
      </c>
      <c r="D2001" s="1" t="s">
        <v>15</v>
      </c>
      <c r="E2001" s="1" t="s">
        <v>17</v>
      </c>
      <c r="F2001" s="1" t="s">
        <v>24</v>
      </c>
      <c r="G2001" s="4">
        <v>491.61</v>
      </c>
      <c r="H2001" s="1">
        <v>7</v>
      </c>
      <c r="I2001" s="1" t="str">
        <f>TEXT(SalesTable[[#This Row],[Order_Date]],"mmm")</f>
        <v>Jun</v>
      </c>
      <c r="J2001" s="1">
        <f>YEAR(SalesTable[[#This Row],[Order_Date]])</f>
        <v>2027</v>
      </c>
      <c r="K2001" s="4">
        <v>142.03</v>
      </c>
      <c r="L2001" s="9">
        <f>SalesTable[[#This Row],[Profit]]/SalesTable[[#This Row],[Sales]]</f>
        <v>0.28890787412786556</v>
      </c>
    </row>
  </sheetData>
  <pageMargins left="0.7" right="0.7" top="0.75" bottom="0.75" header="0.3" footer="0.3"/>
  <pageSetup paperSize="9" orientation="portrait" horizontalDpi="0" verticalDpi="0"/>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Pivot-Table</vt:lpstr>
      <vt:lpstr>DashBoard</vt:lpstr>
      <vt:lpstr>Record Data</vt:lpstr>
      <vt:lpstr>DashBoard!Print_Area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saba zafar</cp:lastModifiedBy>
  <cp:lastPrinted>2026-03-28T14:07:56Z</cp:lastPrinted>
  <dcterms:created xsi:type="dcterms:W3CDTF">2026-03-25T06:01:30Z</dcterms:created>
  <dcterms:modified xsi:type="dcterms:W3CDTF">2026-03-29T12:29:40Z</dcterms:modified>
</cp:coreProperties>
</file>